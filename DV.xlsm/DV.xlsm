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2879566f666347a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eploy\"/>
    </mc:Choice>
  </mc:AlternateContent>
  <xr:revisionPtr revIDLastSave="0" documentId="13_ncr:1_{123AAD51-5CC0-4D21-A8F5-66B1BCD855E7}" xr6:coauthVersionLast="47" xr6:coauthVersionMax="47" xr10:uidLastSave="{00000000-0000-0000-0000-000000000000}"/>
  <bookViews>
    <workbookView xWindow="3984" yWindow="1572" windowWidth="22188" windowHeight="13992" tabRatio="829" activeTab="9" xr2:uid="{031955BD-B984-48EE-A4BC-37060A031A79}"/>
  </bookViews>
  <sheets>
    <sheet name=" " sheetId="31" r:id="rId1"/>
    <sheet name="SHEETS" sheetId="32" r:id="rId2"/>
    <sheet name="MANIFEST" sheetId="20" r:id="rId3"/>
    <sheet name="Reference" sheetId="19" r:id="rId4"/>
    <sheet name="JOBTITLERULES" sheetId="25" r:id="rId5"/>
    <sheet name="QUERIES" sheetId="26" r:id="rId6"/>
    <sheet name="TEST_ORGANISATION" sheetId="38" r:id="rId7"/>
    <sheet name="TEST_JOIN" sheetId="37" r:id="rId8"/>
    <sheet name="OPPORTUNITY STATS" sheetId="30" r:id="rId9"/>
    <sheet name="JOIN STATS" sheetId="15" r:id="rId10"/>
    <sheet name="ORGANISATION STATS" sheetId="28" r:id="rId11"/>
    <sheet name="PERSON STATS" sheetId="27" r:id="rId12"/>
  </sheets>
  <functionGroups builtInGroupCount="19"/>
  <definedNames>
    <definedName name="_xlnm._FilterDatabase" localSheetId="8" hidden="1">'OPPORTUNITY STATS'!$K$6:$L$429</definedName>
    <definedName name="AVAILABLE_SHEETS">SHEETS!$A$1:$B$20</definedName>
    <definedName name="dataurl">Reference!$G$8</definedName>
    <definedName name="envurl">Reference!$G$7</definedName>
    <definedName name="FILENAME">MANIFEST!$A$2:$A$10</definedName>
    <definedName name="JOBTITLERULES_CSUITE" localSheetId="4">JOBTITLERULES!$B$2:$B$311</definedName>
    <definedName name="JOBTITLERULES_CUSTOM_FIELD" localSheetId="4">JOBTITLERULES!$A$2:$A$312</definedName>
    <definedName name="JOBTITLERULES_DATA" localSheetId="4">JOBTITLERULES!$A$1:$E$312</definedName>
    <definedName name="JOBTITLERULES_DATA_HEADER" localSheetId="4">JOBTITLERULES!$A$1:$E$1</definedName>
    <definedName name="JOBTITLERULES_PATTERN_MATCH" localSheetId="4">JOBTITLERULES!$D$2:$D$312</definedName>
    <definedName name="JOBTITLERULES_PRIORITY" localSheetId="4">JOBTITLERULES!$E$2:$E$312</definedName>
    <definedName name="JOBTITLERULES_SENIORITY" localSheetId="4">JOBTITLERULES!$A$2:$A$311</definedName>
    <definedName name="JOBTITLERULES_SINGLE" localSheetId="4">JOBTITLERULES!$C$2:$C$311</definedName>
    <definedName name="JOBTITLERULES_TYPE" localSheetId="4">JOBTITLERULES!$C$2:$C$312</definedName>
    <definedName name="JOBTITLERULES_VALUE" localSheetId="4">JOBTITLERULES!$B$2:$B$312</definedName>
    <definedName name="JOIN_COMPANY_TYPE">#REF!</definedName>
    <definedName name="JOIN_EMAIL_FLAG">#REF!</definedName>
    <definedName name="JOIN_SENIORITY">#REF!</definedName>
    <definedName name="JOIN_SUB_DEPARTMENT">#REF!</definedName>
    <definedName name="OPPORTUNITIES_CAMPAIGN">#REF!</definedName>
    <definedName name="OPPORTUNITIES_MILESTONE">#REF!</definedName>
    <definedName name="OPPORTUNITIES_NAME">#REF!</definedName>
    <definedName name="OPPORTUNITIES_REPORT">'OPPORTUNITY STATS'!$A$2:$F$1209</definedName>
    <definedName name="ORGANISATION_COMPANY_SIZE">#REF!</definedName>
    <definedName name="ORGANISATION_COMPANY_TYPE">#REF!</definedName>
    <definedName name="PERSON_DEPARTMENT" localSheetId="9">#REF!</definedName>
    <definedName name="PERSON_DEPARTMENT">#REF!</definedName>
    <definedName name="PERSON_JOB_TYPE" localSheetId="9">#REF!</definedName>
    <definedName name="PERSON_JOB_TYPE">#REF!</definedName>
    <definedName name="PERSON_SENIORITY" localSheetId="9">#REF!</definedName>
    <definedName name="PERSON_SENIORITY">#REF!</definedName>
    <definedName name="PERSON_SUB_DEPARTMENT" localSheetId="9">#REF!</definedName>
    <definedName name="PERSON_SUB_DEPARTMENT">#REF!</definedName>
    <definedName name="QUERIES_DATA" localSheetId="5">QUERIES!$A$1:$C$4</definedName>
    <definedName name="QUERIES_DATA_HEADER" localSheetId="5">QUERIES!$A$1:$C$1</definedName>
    <definedName name="QUERIES_FILENAME" localSheetId="5">QUERIES!$C$2:$C$4</definedName>
    <definedName name="QUERIES_QUERY1" localSheetId="5">QUERIES!$A$2:$A$4</definedName>
    <definedName name="QUERIES_QUERY2" localSheetId="5">QUERIES!$B$2:$B$4</definedName>
    <definedName name="ribbonui">Reference!$G$6</definedName>
    <definedName name="TEST_JOIN_COMPANY_TYPE" localSheetId="7">TEST_JOIN!$E$2:$E$6566</definedName>
    <definedName name="TEST_JOIN_DATA" localSheetId="7">TEST_JOIN!$A$1:$E$6566</definedName>
    <definedName name="TEST_JOIN_DATA_HEADER" localSheetId="7">TEST_JOIN!$A$1:$E$1</definedName>
    <definedName name="TEST_JOIN_FIRSTNAME" localSheetId="7">TEST_JOIN!$A$2:$A$6566</definedName>
    <definedName name="TEST_JOIN_JOBTITLE" localSheetId="7">TEST_JOIN!$C$2:$C$6566</definedName>
    <definedName name="TEST_JOIN_LASTNAME" localSheetId="7">TEST_JOIN!$B$2:$B$6566</definedName>
    <definedName name="TEST_JOIN_NAME" localSheetId="7">TEST_JOIN!$D$2:$D$6566</definedName>
    <definedName name="TEST_ORGANISATION_COMPANY_TYPE" localSheetId="6">TEST_ORGANISATION!$B$2:$B$73</definedName>
    <definedName name="TEST_ORGANISATION_DATA" localSheetId="6">TEST_ORGANISATION!$A$1:$B$73</definedName>
    <definedName name="TEST_ORGANISATION_DATA_HEADER" localSheetId="6">TEST_ORGANISATION!$A$1:$B$1</definedName>
    <definedName name="TEST_ORGANISATION_NAME" localSheetId="6">TEST_ORGANISATION!$A$2:$A$73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C10" i="15"/>
  <c r="F2" i="15"/>
  <c r="A61" i="30"/>
  <c r="B61" i="30"/>
  <c r="C61" i="30"/>
  <c r="D61" i="30"/>
  <c r="E61" i="30"/>
  <c r="F61" i="30"/>
  <c r="A62" i="30"/>
  <c r="B62" i="30"/>
  <c r="C62" i="30"/>
  <c r="D62" i="30"/>
  <c r="E62" i="30"/>
  <c r="F62" i="30"/>
  <c r="A63" i="30"/>
  <c r="B63" i="30"/>
  <c r="C63" i="30"/>
  <c r="D63" i="30"/>
  <c r="E63" i="30"/>
  <c r="F63" i="30"/>
  <c r="A64" i="30"/>
  <c r="B64" i="30"/>
  <c r="C64" i="30"/>
  <c r="D64" i="30"/>
  <c r="E64" i="30"/>
  <c r="F64" i="30"/>
  <c r="A65" i="30"/>
  <c r="B65" i="30"/>
  <c r="C65" i="30"/>
  <c r="D65" i="30"/>
  <c r="E65" i="30"/>
  <c r="F65" i="30"/>
  <c r="A66" i="30"/>
  <c r="B66" i="30"/>
  <c r="C66" i="30"/>
  <c r="D66" i="30"/>
  <c r="E66" i="30"/>
  <c r="F66" i="30"/>
  <c r="A67" i="30"/>
  <c r="B67" i="30"/>
  <c r="C67" i="30"/>
  <c r="D67" i="30"/>
  <c r="E67" i="30"/>
  <c r="F67" i="30"/>
  <c r="A68" i="30"/>
  <c r="B68" i="30"/>
  <c r="C68" i="30"/>
  <c r="D68" i="30"/>
  <c r="E68" i="30"/>
  <c r="F68" i="30"/>
  <c r="A69" i="30"/>
  <c r="B69" i="30"/>
  <c r="C69" i="30"/>
  <c r="D69" i="30"/>
  <c r="E69" i="30"/>
  <c r="F69" i="30"/>
  <c r="A70" i="30"/>
  <c r="B70" i="30"/>
  <c r="C70" i="30"/>
  <c r="D70" i="30"/>
  <c r="E70" i="30"/>
  <c r="F70" i="30"/>
  <c r="A71" i="30"/>
  <c r="B71" i="30"/>
  <c r="C71" i="30"/>
  <c r="D71" i="30"/>
  <c r="E71" i="30"/>
  <c r="F71" i="30"/>
  <c r="A72" i="30"/>
  <c r="B72" i="30"/>
  <c r="C72" i="30"/>
  <c r="D72" i="30"/>
  <c r="E72" i="30"/>
  <c r="F72" i="30"/>
  <c r="A73" i="30"/>
  <c r="B73" i="30"/>
  <c r="C73" i="30"/>
  <c r="D73" i="30"/>
  <c r="E73" i="30"/>
  <c r="F73" i="30"/>
  <c r="A74" i="30"/>
  <c r="B74" i="30"/>
  <c r="C74" i="30"/>
  <c r="D74" i="30"/>
  <c r="E74" i="30"/>
  <c r="F74" i="30"/>
  <c r="A75" i="30"/>
  <c r="B75" i="30"/>
  <c r="C75" i="30"/>
  <c r="D75" i="30"/>
  <c r="E75" i="30"/>
  <c r="F75" i="30"/>
  <c r="A76" i="30"/>
  <c r="B76" i="30"/>
  <c r="C76" i="30"/>
  <c r="D76" i="30"/>
  <c r="E76" i="30"/>
  <c r="F76" i="30"/>
  <c r="A77" i="30"/>
  <c r="B77" i="30"/>
  <c r="C77" i="30"/>
  <c r="D77" i="30"/>
  <c r="E77" i="30"/>
  <c r="F77" i="30"/>
  <c r="A78" i="30"/>
  <c r="B78" i="30"/>
  <c r="C78" i="30"/>
  <c r="D78" i="30"/>
  <c r="E78" i="30"/>
  <c r="F78" i="30"/>
  <c r="A79" i="30"/>
  <c r="B79" i="30"/>
  <c r="C79" i="30"/>
  <c r="D79" i="30"/>
  <c r="E79" i="30"/>
  <c r="F79" i="30"/>
  <c r="A80" i="30"/>
  <c r="B80" i="30"/>
  <c r="C80" i="30"/>
  <c r="D80" i="30"/>
  <c r="E80" i="30"/>
  <c r="F80" i="30"/>
  <c r="A81" i="30"/>
  <c r="B81" i="30"/>
  <c r="C81" i="30"/>
  <c r="D81" i="30"/>
  <c r="E81" i="30"/>
  <c r="F81" i="30"/>
  <c r="A82" i="30"/>
  <c r="B82" i="30"/>
  <c r="C82" i="30"/>
  <c r="D82" i="30"/>
  <c r="E82" i="30"/>
  <c r="F82" i="30"/>
  <c r="A83" i="30"/>
  <c r="B83" i="30"/>
  <c r="C83" i="30"/>
  <c r="D83" i="30"/>
  <c r="E83" i="30"/>
  <c r="F83" i="30"/>
  <c r="A84" i="30"/>
  <c r="B84" i="30"/>
  <c r="C84" i="30"/>
  <c r="D84" i="30"/>
  <c r="E84" i="30"/>
  <c r="F84" i="30"/>
  <c r="A85" i="30"/>
  <c r="B85" i="30"/>
  <c r="C85" i="30"/>
  <c r="D85" i="30"/>
  <c r="E85" i="30"/>
  <c r="F85" i="30"/>
  <c r="A86" i="30"/>
  <c r="B86" i="30"/>
  <c r="C86" i="30"/>
  <c r="D86" i="30"/>
  <c r="E86" i="30"/>
  <c r="F86" i="30"/>
  <c r="A87" i="30"/>
  <c r="B87" i="30"/>
  <c r="C87" i="30"/>
  <c r="D87" i="30"/>
  <c r="E87" i="30"/>
  <c r="F87" i="30"/>
  <c r="A88" i="30"/>
  <c r="B88" i="30"/>
  <c r="C88" i="30"/>
  <c r="D88" i="30"/>
  <c r="E88" i="30"/>
  <c r="F88" i="30"/>
  <c r="A89" i="30"/>
  <c r="B89" i="30"/>
  <c r="C89" i="30"/>
  <c r="D89" i="30"/>
  <c r="E89" i="30"/>
  <c r="F89" i="30"/>
  <c r="A90" i="30"/>
  <c r="B90" i="30"/>
  <c r="C90" i="30"/>
  <c r="D90" i="30"/>
  <c r="E90" i="30"/>
  <c r="F90" i="30"/>
  <c r="A91" i="30"/>
  <c r="B91" i="30"/>
  <c r="C91" i="30"/>
  <c r="D91" i="30"/>
  <c r="E91" i="30"/>
  <c r="F91" i="30"/>
  <c r="A92" i="30"/>
  <c r="B92" i="30"/>
  <c r="C92" i="30"/>
  <c r="D92" i="30"/>
  <c r="E92" i="30"/>
  <c r="F92" i="30"/>
  <c r="A93" i="30"/>
  <c r="B93" i="30"/>
  <c r="C93" i="30"/>
  <c r="D93" i="30"/>
  <c r="E93" i="30"/>
  <c r="F93" i="30"/>
  <c r="A94" i="30"/>
  <c r="B94" i="30"/>
  <c r="C94" i="30"/>
  <c r="D94" i="30"/>
  <c r="E94" i="30"/>
  <c r="F94" i="30"/>
  <c r="A95" i="30"/>
  <c r="B95" i="30"/>
  <c r="C95" i="30"/>
  <c r="D95" i="30"/>
  <c r="E95" i="30"/>
  <c r="F95" i="30"/>
  <c r="A96" i="30"/>
  <c r="B96" i="30"/>
  <c r="C96" i="30"/>
  <c r="D96" i="30"/>
  <c r="E96" i="30"/>
  <c r="F96" i="30"/>
  <c r="A97" i="30"/>
  <c r="B97" i="30"/>
  <c r="C97" i="30"/>
  <c r="D97" i="30"/>
  <c r="E97" i="30"/>
  <c r="F97" i="30"/>
  <c r="A98" i="30"/>
  <c r="B98" i="30"/>
  <c r="C98" i="30"/>
  <c r="D98" i="30"/>
  <c r="E98" i="30"/>
  <c r="F98" i="30"/>
  <c r="A99" i="30"/>
  <c r="B99" i="30"/>
  <c r="C99" i="30"/>
  <c r="D99" i="30"/>
  <c r="E99" i="30"/>
  <c r="F99" i="30"/>
  <c r="A100" i="30"/>
  <c r="B100" i="30"/>
  <c r="C100" i="30"/>
  <c r="D100" i="30"/>
  <c r="E100" i="30"/>
  <c r="F100" i="30"/>
  <c r="A101" i="30"/>
  <c r="B101" i="30"/>
  <c r="C101" i="30"/>
  <c r="D101" i="30"/>
  <c r="E101" i="30"/>
  <c r="F101" i="30"/>
  <c r="A102" i="30"/>
  <c r="B102" i="30"/>
  <c r="C102" i="30"/>
  <c r="D102" i="30"/>
  <c r="E102" i="30"/>
  <c r="F102" i="30"/>
  <c r="A103" i="30"/>
  <c r="B103" i="30"/>
  <c r="C103" i="30"/>
  <c r="D103" i="30"/>
  <c r="E103" i="30"/>
  <c r="F103" i="30"/>
  <c r="A104" i="30"/>
  <c r="B104" i="30"/>
  <c r="C104" i="30"/>
  <c r="D104" i="30"/>
  <c r="E104" i="30"/>
  <c r="F104" i="30"/>
  <c r="A105" i="30"/>
  <c r="B105" i="30"/>
  <c r="C105" i="30"/>
  <c r="D105" i="30"/>
  <c r="E105" i="30"/>
  <c r="F105" i="30"/>
  <c r="A106" i="30"/>
  <c r="B106" i="30"/>
  <c r="C106" i="30"/>
  <c r="D106" i="30"/>
  <c r="E106" i="30"/>
  <c r="F106" i="30"/>
  <c r="A107" i="30"/>
  <c r="B107" i="30"/>
  <c r="C107" i="30"/>
  <c r="D107" i="30"/>
  <c r="E107" i="30"/>
  <c r="F107" i="30"/>
  <c r="A108" i="30"/>
  <c r="B108" i="30"/>
  <c r="C108" i="30"/>
  <c r="D108" i="30"/>
  <c r="E108" i="30"/>
  <c r="F108" i="30"/>
  <c r="A109" i="30"/>
  <c r="B109" i="30"/>
  <c r="C109" i="30"/>
  <c r="D109" i="30"/>
  <c r="E109" i="30"/>
  <c r="F109" i="30"/>
  <c r="A110" i="30"/>
  <c r="B110" i="30"/>
  <c r="C110" i="30"/>
  <c r="D110" i="30"/>
  <c r="E110" i="30"/>
  <c r="F110" i="30"/>
  <c r="A111" i="30"/>
  <c r="B111" i="30"/>
  <c r="C111" i="30"/>
  <c r="D111" i="30"/>
  <c r="E111" i="30"/>
  <c r="F111" i="30"/>
  <c r="A112" i="30"/>
  <c r="B112" i="30"/>
  <c r="C112" i="30"/>
  <c r="D112" i="30"/>
  <c r="E112" i="30"/>
  <c r="F112" i="30"/>
  <c r="A113" i="30"/>
  <c r="B113" i="30"/>
  <c r="C113" i="30"/>
  <c r="D113" i="30"/>
  <c r="E113" i="30"/>
  <c r="F113" i="30"/>
  <c r="A114" i="30"/>
  <c r="B114" i="30"/>
  <c r="C114" i="30"/>
  <c r="D114" i="30"/>
  <c r="E114" i="30"/>
  <c r="F114" i="30"/>
  <c r="A115" i="30"/>
  <c r="B115" i="30"/>
  <c r="C115" i="30"/>
  <c r="D115" i="30"/>
  <c r="E115" i="30"/>
  <c r="F115" i="30"/>
  <c r="A116" i="30"/>
  <c r="B116" i="30"/>
  <c r="C116" i="30"/>
  <c r="D116" i="30"/>
  <c r="E116" i="30"/>
  <c r="F116" i="30"/>
  <c r="A117" i="30"/>
  <c r="B117" i="30"/>
  <c r="C117" i="30"/>
  <c r="D117" i="30"/>
  <c r="E117" i="30"/>
  <c r="F117" i="30"/>
  <c r="A118" i="30"/>
  <c r="B118" i="30"/>
  <c r="C118" i="30"/>
  <c r="D118" i="30"/>
  <c r="E118" i="30"/>
  <c r="F118" i="30"/>
  <c r="A119" i="30"/>
  <c r="B119" i="30"/>
  <c r="C119" i="30"/>
  <c r="D119" i="30"/>
  <c r="E119" i="30"/>
  <c r="F119" i="30"/>
  <c r="A120" i="30"/>
  <c r="B120" i="30"/>
  <c r="C120" i="30"/>
  <c r="D120" i="30"/>
  <c r="E120" i="30"/>
  <c r="F120" i="30"/>
  <c r="A121" i="30"/>
  <c r="B121" i="30"/>
  <c r="C121" i="30"/>
  <c r="D121" i="30"/>
  <c r="E121" i="30"/>
  <c r="F121" i="30"/>
  <c r="A122" i="30"/>
  <c r="B122" i="30"/>
  <c r="C122" i="30"/>
  <c r="D122" i="30"/>
  <c r="E122" i="30"/>
  <c r="F122" i="30"/>
  <c r="A123" i="30"/>
  <c r="B123" i="30"/>
  <c r="C123" i="30"/>
  <c r="D123" i="30"/>
  <c r="E123" i="30"/>
  <c r="F123" i="30"/>
  <c r="A124" i="30"/>
  <c r="B124" i="30"/>
  <c r="C124" i="30"/>
  <c r="D124" i="30"/>
  <c r="E124" i="30"/>
  <c r="F124" i="30"/>
  <c r="A125" i="30"/>
  <c r="B125" i="30"/>
  <c r="C125" i="30"/>
  <c r="D125" i="30"/>
  <c r="E125" i="30"/>
  <c r="F125" i="30"/>
  <c r="A126" i="30"/>
  <c r="B126" i="30"/>
  <c r="C126" i="30"/>
  <c r="D126" i="30"/>
  <c r="E126" i="30"/>
  <c r="F126" i="30"/>
  <c r="A127" i="30"/>
  <c r="B127" i="30"/>
  <c r="C127" i="30"/>
  <c r="D127" i="30"/>
  <c r="E127" i="30"/>
  <c r="F127" i="30"/>
  <c r="A128" i="30"/>
  <c r="B128" i="30"/>
  <c r="C128" i="30"/>
  <c r="D128" i="30"/>
  <c r="E128" i="30"/>
  <c r="F128" i="30"/>
  <c r="A129" i="30"/>
  <c r="B129" i="30"/>
  <c r="C129" i="30"/>
  <c r="D129" i="30"/>
  <c r="E129" i="30"/>
  <c r="F129" i="30"/>
  <c r="A130" i="30"/>
  <c r="B130" i="30"/>
  <c r="C130" i="30"/>
  <c r="D130" i="30"/>
  <c r="E130" i="30"/>
  <c r="F130" i="30"/>
  <c r="A131" i="30"/>
  <c r="B131" i="30"/>
  <c r="C131" i="30"/>
  <c r="D131" i="30"/>
  <c r="E131" i="30"/>
  <c r="F131" i="30"/>
  <c r="A132" i="30"/>
  <c r="B132" i="30"/>
  <c r="C132" i="30"/>
  <c r="D132" i="30"/>
  <c r="E132" i="30"/>
  <c r="F132" i="30"/>
  <c r="A133" i="30"/>
  <c r="B133" i="30"/>
  <c r="C133" i="30"/>
  <c r="D133" i="30"/>
  <c r="E133" i="30"/>
  <c r="F133" i="30"/>
  <c r="A134" i="30"/>
  <c r="B134" i="30"/>
  <c r="C134" i="30"/>
  <c r="D134" i="30"/>
  <c r="E134" i="30"/>
  <c r="F134" i="30"/>
  <c r="A135" i="30"/>
  <c r="B135" i="30"/>
  <c r="C135" i="30"/>
  <c r="D135" i="30"/>
  <c r="E135" i="30"/>
  <c r="F135" i="30"/>
  <c r="A136" i="30"/>
  <c r="B136" i="30"/>
  <c r="C136" i="30"/>
  <c r="D136" i="30"/>
  <c r="E136" i="30"/>
  <c r="F136" i="30"/>
  <c r="A137" i="30"/>
  <c r="B137" i="30"/>
  <c r="C137" i="30"/>
  <c r="D137" i="30"/>
  <c r="E137" i="30"/>
  <c r="F137" i="30"/>
  <c r="A138" i="30"/>
  <c r="B138" i="30"/>
  <c r="C138" i="30"/>
  <c r="D138" i="30"/>
  <c r="E138" i="30"/>
  <c r="F138" i="30"/>
  <c r="A139" i="30"/>
  <c r="B139" i="30"/>
  <c r="C139" i="30"/>
  <c r="D139" i="30"/>
  <c r="E139" i="30"/>
  <c r="F139" i="30"/>
  <c r="A140" i="30"/>
  <c r="B140" i="30"/>
  <c r="C140" i="30"/>
  <c r="D140" i="30"/>
  <c r="E140" i="30"/>
  <c r="F140" i="30"/>
  <c r="A141" i="30"/>
  <c r="B141" i="30"/>
  <c r="C141" i="30"/>
  <c r="D141" i="30"/>
  <c r="E141" i="30"/>
  <c r="F141" i="30"/>
  <c r="A142" i="30"/>
  <c r="B142" i="30"/>
  <c r="C142" i="30"/>
  <c r="D142" i="30"/>
  <c r="E142" i="30"/>
  <c r="F142" i="30"/>
  <c r="A143" i="30"/>
  <c r="B143" i="30"/>
  <c r="C143" i="30"/>
  <c r="D143" i="30"/>
  <c r="E143" i="30"/>
  <c r="F143" i="30"/>
  <c r="A144" i="30"/>
  <c r="B144" i="30"/>
  <c r="C144" i="30"/>
  <c r="D144" i="30"/>
  <c r="E144" i="30"/>
  <c r="F144" i="30"/>
  <c r="A145" i="30"/>
  <c r="B145" i="30"/>
  <c r="C145" i="30"/>
  <c r="D145" i="30"/>
  <c r="E145" i="30"/>
  <c r="F145" i="30"/>
  <c r="A146" i="30"/>
  <c r="B146" i="30"/>
  <c r="C146" i="30"/>
  <c r="D146" i="30"/>
  <c r="E146" i="30"/>
  <c r="F146" i="30"/>
  <c r="A147" i="30"/>
  <c r="B147" i="30"/>
  <c r="C147" i="30"/>
  <c r="D147" i="30"/>
  <c r="E147" i="30"/>
  <c r="F147" i="30"/>
  <c r="A148" i="30"/>
  <c r="B148" i="30"/>
  <c r="C148" i="30"/>
  <c r="D148" i="30"/>
  <c r="E148" i="30"/>
  <c r="F148" i="30"/>
  <c r="A149" i="30"/>
  <c r="B149" i="30"/>
  <c r="C149" i="30"/>
  <c r="D149" i="30"/>
  <c r="E149" i="30"/>
  <c r="F149" i="30"/>
  <c r="A150" i="30"/>
  <c r="B150" i="30"/>
  <c r="C150" i="30"/>
  <c r="D150" i="30"/>
  <c r="E150" i="30"/>
  <c r="F150" i="30"/>
  <c r="A151" i="30"/>
  <c r="B151" i="30"/>
  <c r="C151" i="30"/>
  <c r="D151" i="30"/>
  <c r="E151" i="30"/>
  <c r="F151" i="30"/>
  <c r="A152" i="30"/>
  <c r="B152" i="30"/>
  <c r="C152" i="30"/>
  <c r="D152" i="30"/>
  <c r="E152" i="30"/>
  <c r="F152" i="30"/>
  <c r="A153" i="30"/>
  <c r="B153" i="30"/>
  <c r="C153" i="30"/>
  <c r="D153" i="30"/>
  <c r="E153" i="30"/>
  <c r="F153" i="30"/>
  <c r="A154" i="30"/>
  <c r="B154" i="30"/>
  <c r="C154" i="30"/>
  <c r="D154" i="30"/>
  <c r="E154" i="30"/>
  <c r="F154" i="30"/>
  <c r="A155" i="30"/>
  <c r="B155" i="30"/>
  <c r="C155" i="30"/>
  <c r="D155" i="30"/>
  <c r="E155" i="30"/>
  <c r="F155" i="30"/>
  <c r="A156" i="30"/>
  <c r="B156" i="30"/>
  <c r="C156" i="30"/>
  <c r="D156" i="30"/>
  <c r="E156" i="30"/>
  <c r="F156" i="30"/>
  <c r="A157" i="30"/>
  <c r="B157" i="30"/>
  <c r="C157" i="30"/>
  <c r="D157" i="30"/>
  <c r="E157" i="30"/>
  <c r="F157" i="30"/>
  <c r="A158" i="30"/>
  <c r="B158" i="30"/>
  <c r="C158" i="30"/>
  <c r="D158" i="30"/>
  <c r="E158" i="30"/>
  <c r="F158" i="30"/>
  <c r="A159" i="30"/>
  <c r="B159" i="30"/>
  <c r="C159" i="30"/>
  <c r="D159" i="30"/>
  <c r="E159" i="30"/>
  <c r="F159" i="30"/>
  <c r="A160" i="30"/>
  <c r="B160" i="30"/>
  <c r="C160" i="30"/>
  <c r="D160" i="30"/>
  <c r="E160" i="30"/>
  <c r="F160" i="30"/>
  <c r="A161" i="30"/>
  <c r="B161" i="30"/>
  <c r="C161" i="30"/>
  <c r="D161" i="30"/>
  <c r="E161" i="30"/>
  <c r="F161" i="30"/>
  <c r="A162" i="30"/>
  <c r="B162" i="30"/>
  <c r="C162" i="30"/>
  <c r="D162" i="30"/>
  <c r="E162" i="30"/>
  <c r="F162" i="30"/>
  <c r="A163" i="30"/>
  <c r="B163" i="30"/>
  <c r="C163" i="30"/>
  <c r="D163" i="30"/>
  <c r="E163" i="30"/>
  <c r="F163" i="30"/>
  <c r="A164" i="30"/>
  <c r="B164" i="30"/>
  <c r="C164" i="30"/>
  <c r="D164" i="30"/>
  <c r="E164" i="30"/>
  <c r="F164" i="30"/>
  <c r="A165" i="30"/>
  <c r="B165" i="30"/>
  <c r="C165" i="30"/>
  <c r="D165" i="30"/>
  <c r="E165" i="30"/>
  <c r="F165" i="30"/>
  <c r="A166" i="30"/>
  <c r="B166" i="30"/>
  <c r="C166" i="30"/>
  <c r="D166" i="30"/>
  <c r="E166" i="30"/>
  <c r="F166" i="30"/>
  <c r="A167" i="30"/>
  <c r="B167" i="30"/>
  <c r="C167" i="30"/>
  <c r="D167" i="30"/>
  <c r="E167" i="30"/>
  <c r="F167" i="30"/>
  <c r="A168" i="30"/>
  <c r="B168" i="30"/>
  <c r="C168" i="30"/>
  <c r="D168" i="30"/>
  <c r="E168" i="30"/>
  <c r="F168" i="30"/>
  <c r="A169" i="30"/>
  <c r="B169" i="30"/>
  <c r="C169" i="30"/>
  <c r="D169" i="30"/>
  <c r="E169" i="30"/>
  <c r="F169" i="30"/>
  <c r="A170" i="30"/>
  <c r="B170" i="30"/>
  <c r="C170" i="30"/>
  <c r="D170" i="30"/>
  <c r="E170" i="30"/>
  <c r="F170" i="30"/>
  <c r="A171" i="30"/>
  <c r="B171" i="30"/>
  <c r="C171" i="30"/>
  <c r="D171" i="30"/>
  <c r="E171" i="30"/>
  <c r="F171" i="30"/>
  <c r="A172" i="30"/>
  <c r="B172" i="30"/>
  <c r="C172" i="30"/>
  <c r="D172" i="30"/>
  <c r="E172" i="30"/>
  <c r="F172" i="30"/>
  <c r="A173" i="30"/>
  <c r="B173" i="30"/>
  <c r="C173" i="30"/>
  <c r="D173" i="30"/>
  <c r="E173" i="30"/>
  <c r="F173" i="30"/>
  <c r="A174" i="30"/>
  <c r="B174" i="30"/>
  <c r="C174" i="30"/>
  <c r="D174" i="30"/>
  <c r="E174" i="30"/>
  <c r="F174" i="30"/>
  <c r="A175" i="30"/>
  <c r="B175" i="30"/>
  <c r="C175" i="30"/>
  <c r="D175" i="30"/>
  <c r="E175" i="30"/>
  <c r="F175" i="30"/>
  <c r="A176" i="30"/>
  <c r="B176" i="30"/>
  <c r="C176" i="30"/>
  <c r="D176" i="30"/>
  <c r="E176" i="30"/>
  <c r="F176" i="30"/>
  <c r="A177" i="30"/>
  <c r="B177" i="30"/>
  <c r="C177" i="30"/>
  <c r="D177" i="30"/>
  <c r="E177" i="30"/>
  <c r="F177" i="30"/>
  <c r="A178" i="30"/>
  <c r="B178" i="30"/>
  <c r="C178" i="30"/>
  <c r="D178" i="30"/>
  <c r="E178" i="30"/>
  <c r="F178" i="30"/>
  <c r="A179" i="30"/>
  <c r="B179" i="30"/>
  <c r="C179" i="30"/>
  <c r="D179" i="30"/>
  <c r="E179" i="30"/>
  <c r="F179" i="30"/>
  <c r="A180" i="30"/>
  <c r="B180" i="30"/>
  <c r="C180" i="30"/>
  <c r="D180" i="30"/>
  <c r="E180" i="30"/>
  <c r="F180" i="30"/>
  <c r="A181" i="30"/>
  <c r="B181" i="30"/>
  <c r="C181" i="30"/>
  <c r="D181" i="30"/>
  <c r="E181" i="30"/>
  <c r="F181" i="30"/>
  <c r="A182" i="30"/>
  <c r="B182" i="30"/>
  <c r="C182" i="30"/>
  <c r="D182" i="30"/>
  <c r="E182" i="30"/>
  <c r="F182" i="30"/>
  <c r="A183" i="30"/>
  <c r="B183" i="30"/>
  <c r="C183" i="30"/>
  <c r="D183" i="30"/>
  <c r="E183" i="30"/>
  <c r="F183" i="30"/>
  <c r="A184" i="30"/>
  <c r="B184" i="30"/>
  <c r="C184" i="30"/>
  <c r="D184" i="30"/>
  <c r="E184" i="30"/>
  <c r="F184" i="30"/>
  <c r="A185" i="30"/>
  <c r="B185" i="30"/>
  <c r="C185" i="30"/>
  <c r="D185" i="30"/>
  <c r="E185" i="30"/>
  <c r="F185" i="30"/>
  <c r="A186" i="30"/>
  <c r="B186" i="30"/>
  <c r="C186" i="30"/>
  <c r="D186" i="30"/>
  <c r="E186" i="30"/>
  <c r="F186" i="30"/>
  <c r="A187" i="30"/>
  <c r="B187" i="30"/>
  <c r="C187" i="30"/>
  <c r="D187" i="30"/>
  <c r="E187" i="30"/>
  <c r="F187" i="30"/>
  <c r="A188" i="30"/>
  <c r="B188" i="30"/>
  <c r="C188" i="30"/>
  <c r="D188" i="30"/>
  <c r="E188" i="30"/>
  <c r="F188" i="30"/>
  <c r="A189" i="30"/>
  <c r="B189" i="30"/>
  <c r="C189" i="30"/>
  <c r="D189" i="30"/>
  <c r="E189" i="30"/>
  <c r="F189" i="30"/>
  <c r="A190" i="30"/>
  <c r="B190" i="30"/>
  <c r="C190" i="30"/>
  <c r="D190" i="30"/>
  <c r="E190" i="30"/>
  <c r="F190" i="30"/>
  <c r="A191" i="30"/>
  <c r="B191" i="30"/>
  <c r="C191" i="30"/>
  <c r="D191" i="30"/>
  <c r="E191" i="30"/>
  <c r="F191" i="30"/>
  <c r="A192" i="30"/>
  <c r="B192" i="30"/>
  <c r="C192" i="30"/>
  <c r="D192" i="30"/>
  <c r="E192" i="30"/>
  <c r="F192" i="30"/>
  <c r="A193" i="30"/>
  <c r="B193" i="30"/>
  <c r="C193" i="30"/>
  <c r="D193" i="30"/>
  <c r="E193" i="30"/>
  <c r="F193" i="30"/>
  <c r="A194" i="30"/>
  <c r="B194" i="30"/>
  <c r="C194" i="30"/>
  <c r="D194" i="30"/>
  <c r="E194" i="30"/>
  <c r="F194" i="30"/>
  <c r="A195" i="30"/>
  <c r="B195" i="30"/>
  <c r="C195" i="30"/>
  <c r="D195" i="30"/>
  <c r="E195" i="30"/>
  <c r="F195" i="30"/>
  <c r="A196" i="30"/>
  <c r="B196" i="30"/>
  <c r="C196" i="30"/>
  <c r="D196" i="30"/>
  <c r="E196" i="30"/>
  <c r="F196" i="30"/>
  <c r="A197" i="30"/>
  <c r="B197" i="30"/>
  <c r="C197" i="30"/>
  <c r="D197" i="30"/>
  <c r="E197" i="30"/>
  <c r="F197" i="30"/>
  <c r="A198" i="30"/>
  <c r="B198" i="30"/>
  <c r="C198" i="30"/>
  <c r="D198" i="30"/>
  <c r="E198" i="30"/>
  <c r="F198" i="30"/>
  <c r="A199" i="30"/>
  <c r="B199" i="30"/>
  <c r="C199" i="30"/>
  <c r="D199" i="30"/>
  <c r="E199" i="30"/>
  <c r="F199" i="30"/>
  <c r="A200" i="30"/>
  <c r="B200" i="30"/>
  <c r="C200" i="30"/>
  <c r="D200" i="30"/>
  <c r="E200" i="30"/>
  <c r="F200" i="30"/>
  <c r="A201" i="30"/>
  <c r="B201" i="30"/>
  <c r="C201" i="30"/>
  <c r="D201" i="30"/>
  <c r="E201" i="30"/>
  <c r="F201" i="30"/>
  <c r="A202" i="30"/>
  <c r="B202" i="30"/>
  <c r="C202" i="30"/>
  <c r="D202" i="30"/>
  <c r="E202" i="30"/>
  <c r="F202" i="30"/>
  <c r="A203" i="30"/>
  <c r="B203" i="30"/>
  <c r="C203" i="30"/>
  <c r="D203" i="30"/>
  <c r="E203" i="30"/>
  <c r="F203" i="30"/>
  <c r="A204" i="30"/>
  <c r="B204" i="30"/>
  <c r="C204" i="30"/>
  <c r="D204" i="30"/>
  <c r="E204" i="30"/>
  <c r="F204" i="30"/>
  <c r="A205" i="30"/>
  <c r="B205" i="30"/>
  <c r="C205" i="30"/>
  <c r="D205" i="30"/>
  <c r="E205" i="30"/>
  <c r="F205" i="30"/>
  <c r="A206" i="30"/>
  <c r="B206" i="30"/>
  <c r="C206" i="30"/>
  <c r="D206" i="30"/>
  <c r="E206" i="30"/>
  <c r="F206" i="30"/>
  <c r="A207" i="30"/>
  <c r="B207" i="30"/>
  <c r="C207" i="30"/>
  <c r="D207" i="30"/>
  <c r="E207" i="30"/>
  <c r="F207" i="30"/>
  <c r="A208" i="30"/>
  <c r="B208" i="30"/>
  <c r="C208" i="30"/>
  <c r="D208" i="30"/>
  <c r="E208" i="30"/>
  <c r="F208" i="30"/>
  <c r="A209" i="30"/>
  <c r="B209" i="30"/>
  <c r="C209" i="30"/>
  <c r="D209" i="30"/>
  <c r="E209" i="30"/>
  <c r="F209" i="30"/>
  <c r="A210" i="30"/>
  <c r="B210" i="30"/>
  <c r="C210" i="30"/>
  <c r="D210" i="30"/>
  <c r="E210" i="30"/>
  <c r="F210" i="30"/>
  <c r="A211" i="30"/>
  <c r="B211" i="30"/>
  <c r="C211" i="30"/>
  <c r="D211" i="30"/>
  <c r="E211" i="30"/>
  <c r="F211" i="30"/>
  <c r="A212" i="30"/>
  <c r="B212" i="30"/>
  <c r="C212" i="30"/>
  <c r="D212" i="30"/>
  <c r="E212" i="30"/>
  <c r="F212" i="30"/>
  <c r="A213" i="30"/>
  <c r="B213" i="30"/>
  <c r="C213" i="30"/>
  <c r="D213" i="30"/>
  <c r="E213" i="30"/>
  <c r="F213" i="30"/>
  <c r="A214" i="30"/>
  <c r="B214" i="30"/>
  <c r="C214" i="30"/>
  <c r="D214" i="30"/>
  <c r="E214" i="30"/>
  <c r="F214" i="30"/>
  <c r="A215" i="30"/>
  <c r="B215" i="30"/>
  <c r="C215" i="30"/>
  <c r="D215" i="30"/>
  <c r="E215" i="30"/>
  <c r="F215" i="30"/>
  <c r="A216" i="30"/>
  <c r="B216" i="30"/>
  <c r="C216" i="30"/>
  <c r="D216" i="30"/>
  <c r="E216" i="30"/>
  <c r="F216" i="30"/>
  <c r="A217" i="30"/>
  <c r="B217" i="30"/>
  <c r="C217" i="30"/>
  <c r="D217" i="30"/>
  <c r="E217" i="30"/>
  <c r="F217" i="30"/>
  <c r="A218" i="30"/>
  <c r="B218" i="30"/>
  <c r="C218" i="30"/>
  <c r="D218" i="30"/>
  <c r="E218" i="30"/>
  <c r="F218" i="30"/>
  <c r="A219" i="30"/>
  <c r="B219" i="30"/>
  <c r="C219" i="30"/>
  <c r="D219" i="30"/>
  <c r="E219" i="30"/>
  <c r="F219" i="30"/>
  <c r="A220" i="30"/>
  <c r="B220" i="30"/>
  <c r="C220" i="30"/>
  <c r="D220" i="30"/>
  <c r="E220" i="30"/>
  <c r="F220" i="30"/>
  <c r="A221" i="30"/>
  <c r="B221" i="30"/>
  <c r="C221" i="30"/>
  <c r="D221" i="30"/>
  <c r="E221" i="30"/>
  <c r="F221" i="30"/>
  <c r="A222" i="30"/>
  <c r="B222" i="30"/>
  <c r="C222" i="30"/>
  <c r="D222" i="30"/>
  <c r="E222" i="30"/>
  <c r="F222" i="30"/>
  <c r="A223" i="30"/>
  <c r="B223" i="30"/>
  <c r="C223" i="30"/>
  <c r="D223" i="30"/>
  <c r="E223" i="30"/>
  <c r="F223" i="30"/>
  <c r="A224" i="30"/>
  <c r="B224" i="30"/>
  <c r="C224" i="30"/>
  <c r="D224" i="30"/>
  <c r="E224" i="30"/>
  <c r="F224" i="30"/>
  <c r="A225" i="30"/>
  <c r="B225" i="30"/>
  <c r="C225" i="30"/>
  <c r="D225" i="30"/>
  <c r="E225" i="30"/>
  <c r="F225" i="30"/>
  <c r="A226" i="30"/>
  <c r="B226" i="30"/>
  <c r="C226" i="30"/>
  <c r="D226" i="30"/>
  <c r="E226" i="30"/>
  <c r="F226" i="30"/>
  <c r="A227" i="30"/>
  <c r="B227" i="30"/>
  <c r="C227" i="30"/>
  <c r="D227" i="30"/>
  <c r="E227" i="30"/>
  <c r="F227" i="30"/>
  <c r="A228" i="30"/>
  <c r="B228" i="30"/>
  <c r="C228" i="30"/>
  <c r="D228" i="30"/>
  <c r="E228" i="30"/>
  <c r="F228" i="30"/>
  <c r="A229" i="30"/>
  <c r="B229" i="30"/>
  <c r="C229" i="30"/>
  <c r="D229" i="30"/>
  <c r="E229" i="30"/>
  <c r="F229" i="30"/>
  <c r="A230" i="30"/>
  <c r="B230" i="30"/>
  <c r="C230" i="30"/>
  <c r="D230" i="30"/>
  <c r="E230" i="30"/>
  <c r="F230" i="30"/>
  <c r="A231" i="30"/>
  <c r="B231" i="30"/>
  <c r="C231" i="30"/>
  <c r="D231" i="30"/>
  <c r="E231" i="30"/>
  <c r="F231" i="30"/>
  <c r="A232" i="30"/>
  <c r="B232" i="30"/>
  <c r="C232" i="30"/>
  <c r="D232" i="30"/>
  <c r="E232" i="30"/>
  <c r="F232" i="30"/>
  <c r="A233" i="30"/>
  <c r="B233" i="30"/>
  <c r="C233" i="30"/>
  <c r="D233" i="30"/>
  <c r="E233" i="30"/>
  <c r="F233" i="30"/>
  <c r="A234" i="30"/>
  <c r="B234" i="30"/>
  <c r="C234" i="30"/>
  <c r="D234" i="30"/>
  <c r="E234" i="30"/>
  <c r="F234" i="30"/>
  <c r="A235" i="30"/>
  <c r="B235" i="30"/>
  <c r="C235" i="30"/>
  <c r="D235" i="30"/>
  <c r="E235" i="30"/>
  <c r="F235" i="30"/>
  <c r="A236" i="30"/>
  <c r="B236" i="30"/>
  <c r="C236" i="30"/>
  <c r="D236" i="30"/>
  <c r="E236" i="30"/>
  <c r="F236" i="30"/>
  <c r="A237" i="30"/>
  <c r="B237" i="30"/>
  <c r="C237" i="30"/>
  <c r="D237" i="30"/>
  <c r="E237" i="30"/>
  <c r="F237" i="30"/>
  <c r="A238" i="30"/>
  <c r="B238" i="30"/>
  <c r="C238" i="30"/>
  <c r="D238" i="30"/>
  <c r="E238" i="30"/>
  <c r="F238" i="30"/>
  <c r="A239" i="30"/>
  <c r="B239" i="30"/>
  <c r="C239" i="30"/>
  <c r="D239" i="30"/>
  <c r="E239" i="30"/>
  <c r="F239" i="30"/>
  <c r="A240" i="30"/>
  <c r="B240" i="30"/>
  <c r="C240" i="30"/>
  <c r="D240" i="30"/>
  <c r="E240" i="30"/>
  <c r="F240" i="30"/>
  <c r="A241" i="30"/>
  <c r="B241" i="30"/>
  <c r="C241" i="30"/>
  <c r="D241" i="30"/>
  <c r="E241" i="30"/>
  <c r="F241" i="30"/>
  <c r="A242" i="30"/>
  <c r="B242" i="30"/>
  <c r="C242" i="30"/>
  <c r="D242" i="30"/>
  <c r="E242" i="30"/>
  <c r="F242" i="30"/>
  <c r="A243" i="30"/>
  <c r="B243" i="30"/>
  <c r="C243" i="30"/>
  <c r="D243" i="30"/>
  <c r="E243" i="30"/>
  <c r="F243" i="30"/>
  <c r="A244" i="30"/>
  <c r="B244" i="30"/>
  <c r="C244" i="30"/>
  <c r="D244" i="30"/>
  <c r="E244" i="30"/>
  <c r="F244" i="30"/>
  <c r="A245" i="30"/>
  <c r="B245" i="30"/>
  <c r="C245" i="30"/>
  <c r="D245" i="30"/>
  <c r="E245" i="30"/>
  <c r="F245" i="30"/>
  <c r="A246" i="30"/>
  <c r="B246" i="30"/>
  <c r="C246" i="30"/>
  <c r="D246" i="30"/>
  <c r="E246" i="30"/>
  <c r="F246" i="30"/>
  <c r="A247" i="30"/>
  <c r="B247" i="30"/>
  <c r="C247" i="30"/>
  <c r="D247" i="30"/>
  <c r="E247" i="30"/>
  <c r="F247" i="30"/>
  <c r="A248" i="30"/>
  <c r="B248" i="30"/>
  <c r="C248" i="30"/>
  <c r="D248" i="30"/>
  <c r="E248" i="30"/>
  <c r="F248" i="30"/>
  <c r="A249" i="30"/>
  <c r="B249" i="30"/>
  <c r="C249" i="30"/>
  <c r="D249" i="30"/>
  <c r="E249" i="30"/>
  <c r="F249" i="30"/>
  <c r="A250" i="30"/>
  <c r="B250" i="30"/>
  <c r="C250" i="30"/>
  <c r="D250" i="30"/>
  <c r="E250" i="30"/>
  <c r="F250" i="30"/>
  <c r="A251" i="30"/>
  <c r="B251" i="30"/>
  <c r="C251" i="30"/>
  <c r="D251" i="30"/>
  <c r="E251" i="30"/>
  <c r="F251" i="30"/>
  <c r="A252" i="30"/>
  <c r="B252" i="30"/>
  <c r="C252" i="30"/>
  <c r="D252" i="30"/>
  <c r="E252" i="30"/>
  <c r="F252" i="30"/>
  <c r="A253" i="30"/>
  <c r="B253" i="30"/>
  <c r="C253" i="30"/>
  <c r="D253" i="30"/>
  <c r="E253" i="30"/>
  <c r="F253" i="30"/>
  <c r="A254" i="30"/>
  <c r="B254" i="30"/>
  <c r="C254" i="30"/>
  <c r="D254" i="30"/>
  <c r="E254" i="30"/>
  <c r="F254" i="30"/>
  <c r="A255" i="30"/>
  <c r="B255" i="30"/>
  <c r="C255" i="30"/>
  <c r="D255" i="30"/>
  <c r="E255" i="30"/>
  <c r="F255" i="30"/>
  <c r="A256" i="30"/>
  <c r="B256" i="30"/>
  <c r="C256" i="30"/>
  <c r="D256" i="30"/>
  <c r="E256" i="30"/>
  <c r="F256" i="30"/>
  <c r="A257" i="30"/>
  <c r="B257" i="30"/>
  <c r="C257" i="30"/>
  <c r="D257" i="30"/>
  <c r="E257" i="30"/>
  <c r="F257" i="30"/>
  <c r="A258" i="30"/>
  <c r="B258" i="30"/>
  <c r="C258" i="30"/>
  <c r="D258" i="30"/>
  <c r="E258" i="30"/>
  <c r="F258" i="30"/>
  <c r="A259" i="30"/>
  <c r="B259" i="30"/>
  <c r="C259" i="30"/>
  <c r="D259" i="30"/>
  <c r="E259" i="30"/>
  <c r="F259" i="30"/>
  <c r="A260" i="30"/>
  <c r="B260" i="30"/>
  <c r="C260" i="30"/>
  <c r="D260" i="30"/>
  <c r="E260" i="30"/>
  <c r="F260" i="30"/>
  <c r="A261" i="30"/>
  <c r="B261" i="30"/>
  <c r="C261" i="30"/>
  <c r="D261" i="30"/>
  <c r="E261" i="30"/>
  <c r="F261" i="30"/>
  <c r="A262" i="30"/>
  <c r="B262" i="30"/>
  <c r="C262" i="30"/>
  <c r="D262" i="30"/>
  <c r="E262" i="30"/>
  <c r="F262" i="30"/>
  <c r="A263" i="30"/>
  <c r="B263" i="30"/>
  <c r="C263" i="30"/>
  <c r="D263" i="30"/>
  <c r="E263" i="30"/>
  <c r="F263" i="30"/>
  <c r="A264" i="30"/>
  <c r="B264" i="30"/>
  <c r="C264" i="30"/>
  <c r="D264" i="30"/>
  <c r="E264" i="30"/>
  <c r="F264" i="30"/>
  <c r="A265" i="30"/>
  <c r="B265" i="30"/>
  <c r="C265" i="30"/>
  <c r="D265" i="30"/>
  <c r="E265" i="30"/>
  <c r="F265" i="30"/>
  <c r="A266" i="30"/>
  <c r="B266" i="30"/>
  <c r="C266" i="30"/>
  <c r="D266" i="30"/>
  <c r="E266" i="30"/>
  <c r="F266" i="30"/>
  <c r="A267" i="30"/>
  <c r="B267" i="30"/>
  <c r="C267" i="30"/>
  <c r="D267" i="30"/>
  <c r="E267" i="30"/>
  <c r="F267" i="30"/>
  <c r="A268" i="30"/>
  <c r="B268" i="30"/>
  <c r="C268" i="30"/>
  <c r="D268" i="30"/>
  <c r="E268" i="30"/>
  <c r="F268" i="30"/>
  <c r="A269" i="30"/>
  <c r="B269" i="30"/>
  <c r="C269" i="30"/>
  <c r="D269" i="30"/>
  <c r="E269" i="30"/>
  <c r="F269" i="30"/>
  <c r="A270" i="30"/>
  <c r="B270" i="30"/>
  <c r="C270" i="30"/>
  <c r="D270" i="30"/>
  <c r="E270" i="30"/>
  <c r="F270" i="30"/>
  <c r="A271" i="30"/>
  <c r="B271" i="30"/>
  <c r="C271" i="30"/>
  <c r="D271" i="30"/>
  <c r="E271" i="30"/>
  <c r="F271" i="30"/>
  <c r="A272" i="30"/>
  <c r="B272" i="30"/>
  <c r="C272" i="30"/>
  <c r="D272" i="30"/>
  <c r="E272" i="30"/>
  <c r="F272" i="30"/>
  <c r="A273" i="30"/>
  <c r="B273" i="30"/>
  <c r="C273" i="30"/>
  <c r="D273" i="30"/>
  <c r="E273" i="30"/>
  <c r="F273" i="30"/>
  <c r="A274" i="30"/>
  <c r="B274" i="30"/>
  <c r="C274" i="30"/>
  <c r="D274" i="30"/>
  <c r="E274" i="30"/>
  <c r="F274" i="30"/>
  <c r="A275" i="30"/>
  <c r="B275" i="30"/>
  <c r="C275" i="30"/>
  <c r="D275" i="30"/>
  <c r="E275" i="30"/>
  <c r="F275" i="30"/>
  <c r="A276" i="30"/>
  <c r="B276" i="30"/>
  <c r="C276" i="30"/>
  <c r="D276" i="30"/>
  <c r="E276" i="30"/>
  <c r="F276" i="30"/>
  <c r="A277" i="30"/>
  <c r="B277" i="30"/>
  <c r="C277" i="30"/>
  <c r="D277" i="30"/>
  <c r="E277" i="30"/>
  <c r="F277" i="30"/>
  <c r="A278" i="30"/>
  <c r="B278" i="30"/>
  <c r="C278" i="30"/>
  <c r="D278" i="30"/>
  <c r="E278" i="30"/>
  <c r="F278" i="30"/>
  <c r="A279" i="30"/>
  <c r="B279" i="30"/>
  <c r="C279" i="30"/>
  <c r="D279" i="30"/>
  <c r="E279" i="30"/>
  <c r="F279" i="30"/>
  <c r="A280" i="30"/>
  <c r="B280" i="30"/>
  <c r="C280" i="30"/>
  <c r="D280" i="30"/>
  <c r="E280" i="30"/>
  <c r="F280" i="30"/>
  <c r="A281" i="30"/>
  <c r="B281" i="30"/>
  <c r="C281" i="30"/>
  <c r="D281" i="30"/>
  <c r="E281" i="30"/>
  <c r="F281" i="30"/>
  <c r="A282" i="30"/>
  <c r="B282" i="30"/>
  <c r="C282" i="30"/>
  <c r="D282" i="30"/>
  <c r="E282" i="30"/>
  <c r="F282" i="30"/>
  <c r="A283" i="30"/>
  <c r="B283" i="30"/>
  <c r="C283" i="30"/>
  <c r="D283" i="30"/>
  <c r="E283" i="30"/>
  <c r="F283" i="30"/>
  <c r="A284" i="30"/>
  <c r="B284" i="30"/>
  <c r="C284" i="30"/>
  <c r="D284" i="30"/>
  <c r="E284" i="30"/>
  <c r="F284" i="30"/>
  <c r="A285" i="30"/>
  <c r="B285" i="30"/>
  <c r="C285" i="30"/>
  <c r="D285" i="30"/>
  <c r="E285" i="30"/>
  <c r="F285" i="30"/>
  <c r="A286" i="30"/>
  <c r="B286" i="30"/>
  <c r="C286" i="30"/>
  <c r="D286" i="30"/>
  <c r="E286" i="30"/>
  <c r="F286" i="30"/>
  <c r="A287" i="30"/>
  <c r="B287" i="30"/>
  <c r="C287" i="30"/>
  <c r="D287" i="30"/>
  <c r="E287" i="30"/>
  <c r="F287" i="30"/>
  <c r="A288" i="30"/>
  <c r="B288" i="30"/>
  <c r="C288" i="30"/>
  <c r="D288" i="30"/>
  <c r="E288" i="30"/>
  <c r="F288" i="30"/>
  <c r="A289" i="30"/>
  <c r="B289" i="30"/>
  <c r="C289" i="30"/>
  <c r="D289" i="30"/>
  <c r="E289" i="30"/>
  <c r="F289" i="30"/>
  <c r="A290" i="30"/>
  <c r="B290" i="30"/>
  <c r="C290" i="30"/>
  <c r="D290" i="30"/>
  <c r="E290" i="30"/>
  <c r="F290" i="30"/>
  <c r="A291" i="30"/>
  <c r="B291" i="30"/>
  <c r="C291" i="30"/>
  <c r="D291" i="30"/>
  <c r="E291" i="30"/>
  <c r="F291" i="30"/>
  <c r="A292" i="30"/>
  <c r="B292" i="30"/>
  <c r="C292" i="30"/>
  <c r="D292" i="30"/>
  <c r="E292" i="30"/>
  <c r="F292" i="30"/>
  <c r="A293" i="30"/>
  <c r="B293" i="30"/>
  <c r="C293" i="30"/>
  <c r="D293" i="30"/>
  <c r="E293" i="30"/>
  <c r="F293" i="30"/>
  <c r="A294" i="30"/>
  <c r="B294" i="30"/>
  <c r="C294" i="30"/>
  <c r="D294" i="30"/>
  <c r="E294" i="30"/>
  <c r="F294" i="30"/>
  <c r="A295" i="30"/>
  <c r="B295" i="30"/>
  <c r="C295" i="30"/>
  <c r="D295" i="30"/>
  <c r="E295" i="30"/>
  <c r="F295" i="30"/>
  <c r="A296" i="30"/>
  <c r="B296" i="30"/>
  <c r="C296" i="30"/>
  <c r="D296" i="30"/>
  <c r="E296" i="30"/>
  <c r="F296" i="30"/>
  <c r="A297" i="30"/>
  <c r="B297" i="30"/>
  <c r="C297" i="30"/>
  <c r="D297" i="30"/>
  <c r="E297" i="30"/>
  <c r="F297" i="30"/>
  <c r="A298" i="30"/>
  <c r="B298" i="30"/>
  <c r="C298" i="30"/>
  <c r="D298" i="30"/>
  <c r="E298" i="30"/>
  <c r="F298" i="30"/>
  <c r="A299" i="30"/>
  <c r="B299" i="30"/>
  <c r="C299" i="30"/>
  <c r="D299" i="30"/>
  <c r="E299" i="30"/>
  <c r="F299" i="30"/>
  <c r="A300" i="30"/>
  <c r="B300" i="30"/>
  <c r="C300" i="30"/>
  <c r="D300" i="30"/>
  <c r="E300" i="30"/>
  <c r="F300" i="30"/>
  <c r="A301" i="30"/>
  <c r="B301" i="30"/>
  <c r="C301" i="30"/>
  <c r="D301" i="30"/>
  <c r="E301" i="30"/>
  <c r="F301" i="30"/>
  <c r="A302" i="30"/>
  <c r="B302" i="30"/>
  <c r="C302" i="30"/>
  <c r="D302" i="30"/>
  <c r="E302" i="30"/>
  <c r="F302" i="30"/>
  <c r="A303" i="30"/>
  <c r="B303" i="30"/>
  <c r="C303" i="30"/>
  <c r="D303" i="30"/>
  <c r="E303" i="30"/>
  <c r="F303" i="30"/>
  <c r="A304" i="30"/>
  <c r="B304" i="30"/>
  <c r="C304" i="30"/>
  <c r="D304" i="30"/>
  <c r="E304" i="30"/>
  <c r="F304" i="30"/>
  <c r="A305" i="30"/>
  <c r="B305" i="30"/>
  <c r="C305" i="30"/>
  <c r="D305" i="30"/>
  <c r="E305" i="30"/>
  <c r="F305" i="30"/>
  <c r="A306" i="30"/>
  <c r="B306" i="30"/>
  <c r="C306" i="30"/>
  <c r="D306" i="30"/>
  <c r="E306" i="30"/>
  <c r="F306" i="30"/>
  <c r="A307" i="30"/>
  <c r="B307" i="30"/>
  <c r="C307" i="30"/>
  <c r="D307" i="30"/>
  <c r="E307" i="30"/>
  <c r="F307" i="30"/>
  <c r="A308" i="30"/>
  <c r="B308" i="30"/>
  <c r="C308" i="30"/>
  <c r="D308" i="30"/>
  <c r="E308" i="30"/>
  <c r="F308" i="30"/>
  <c r="A309" i="30"/>
  <c r="B309" i="30"/>
  <c r="C309" i="30"/>
  <c r="D309" i="30"/>
  <c r="E309" i="30"/>
  <c r="F309" i="30"/>
  <c r="A310" i="30"/>
  <c r="B310" i="30"/>
  <c r="C310" i="30"/>
  <c r="D310" i="30"/>
  <c r="E310" i="30"/>
  <c r="F310" i="30"/>
  <c r="A311" i="30"/>
  <c r="B311" i="30"/>
  <c r="C311" i="30"/>
  <c r="D311" i="30"/>
  <c r="E311" i="30"/>
  <c r="F311" i="30"/>
  <c r="A312" i="30"/>
  <c r="B312" i="30"/>
  <c r="C312" i="30"/>
  <c r="D312" i="30"/>
  <c r="E312" i="30"/>
  <c r="F312" i="30"/>
  <c r="A313" i="30"/>
  <c r="B313" i="30"/>
  <c r="C313" i="30"/>
  <c r="D313" i="30"/>
  <c r="E313" i="30"/>
  <c r="F313" i="30"/>
  <c r="A314" i="30"/>
  <c r="B314" i="30"/>
  <c r="C314" i="30"/>
  <c r="D314" i="30"/>
  <c r="E314" i="30"/>
  <c r="F314" i="30"/>
  <c r="A315" i="30"/>
  <c r="B315" i="30"/>
  <c r="C315" i="30"/>
  <c r="D315" i="30"/>
  <c r="E315" i="30"/>
  <c r="F315" i="30"/>
  <c r="A316" i="30"/>
  <c r="B316" i="30"/>
  <c r="C316" i="30"/>
  <c r="D316" i="30"/>
  <c r="E316" i="30"/>
  <c r="F316" i="30"/>
  <c r="A317" i="30"/>
  <c r="B317" i="30"/>
  <c r="C317" i="30"/>
  <c r="D317" i="30"/>
  <c r="E317" i="30"/>
  <c r="F317" i="30"/>
  <c r="A318" i="30"/>
  <c r="B318" i="30"/>
  <c r="C318" i="30"/>
  <c r="D318" i="30"/>
  <c r="E318" i="30"/>
  <c r="F318" i="30"/>
  <c r="A319" i="30"/>
  <c r="B319" i="30"/>
  <c r="C319" i="30"/>
  <c r="D319" i="30"/>
  <c r="E319" i="30"/>
  <c r="F319" i="30"/>
  <c r="A320" i="30"/>
  <c r="B320" i="30"/>
  <c r="C320" i="30"/>
  <c r="D320" i="30"/>
  <c r="E320" i="30"/>
  <c r="F320" i="30"/>
  <c r="A321" i="30"/>
  <c r="B321" i="30"/>
  <c r="C321" i="30"/>
  <c r="D321" i="30"/>
  <c r="E321" i="30"/>
  <c r="F321" i="30"/>
  <c r="A322" i="30"/>
  <c r="B322" i="30"/>
  <c r="C322" i="30"/>
  <c r="D322" i="30"/>
  <c r="E322" i="30"/>
  <c r="F322" i="30"/>
  <c r="A323" i="30"/>
  <c r="B323" i="30"/>
  <c r="C323" i="30"/>
  <c r="D323" i="30"/>
  <c r="E323" i="30"/>
  <c r="F323" i="30"/>
  <c r="A324" i="30"/>
  <c r="B324" i="30"/>
  <c r="C324" i="30"/>
  <c r="D324" i="30"/>
  <c r="E324" i="30"/>
  <c r="F324" i="30"/>
  <c r="A325" i="30"/>
  <c r="B325" i="30"/>
  <c r="C325" i="30"/>
  <c r="D325" i="30"/>
  <c r="E325" i="30"/>
  <c r="F325" i="30"/>
  <c r="A326" i="30"/>
  <c r="B326" i="30"/>
  <c r="C326" i="30"/>
  <c r="D326" i="30"/>
  <c r="E326" i="30"/>
  <c r="F326" i="30"/>
  <c r="A327" i="30"/>
  <c r="B327" i="30"/>
  <c r="C327" i="30"/>
  <c r="D327" i="30"/>
  <c r="E327" i="30"/>
  <c r="F327" i="30"/>
  <c r="A328" i="30"/>
  <c r="B328" i="30"/>
  <c r="C328" i="30"/>
  <c r="D328" i="30"/>
  <c r="E328" i="30"/>
  <c r="F328" i="30"/>
  <c r="A329" i="30"/>
  <c r="B329" i="30"/>
  <c r="C329" i="30"/>
  <c r="D329" i="30"/>
  <c r="E329" i="30"/>
  <c r="F329" i="30"/>
  <c r="A330" i="30"/>
  <c r="B330" i="30"/>
  <c r="C330" i="30"/>
  <c r="D330" i="30"/>
  <c r="E330" i="30"/>
  <c r="F330" i="30"/>
  <c r="A331" i="30"/>
  <c r="B331" i="30"/>
  <c r="C331" i="30"/>
  <c r="D331" i="30"/>
  <c r="E331" i="30"/>
  <c r="F331" i="30"/>
  <c r="A332" i="30"/>
  <c r="B332" i="30"/>
  <c r="C332" i="30"/>
  <c r="D332" i="30"/>
  <c r="E332" i="30"/>
  <c r="F332" i="30"/>
  <c r="A333" i="30"/>
  <c r="B333" i="30"/>
  <c r="C333" i="30"/>
  <c r="D333" i="30"/>
  <c r="E333" i="30"/>
  <c r="F333" i="30"/>
  <c r="A334" i="30"/>
  <c r="B334" i="30"/>
  <c r="C334" i="30"/>
  <c r="D334" i="30"/>
  <c r="E334" i="30"/>
  <c r="F334" i="30"/>
  <c r="A335" i="30"/>
  <c r="B335" i="30"/>
  <c r="C335" i="30"/>
  <c r="D335" i="30"/>
  <c r="E335" i="30"/>
  <c r="F335" i="30"/>
  <c r="A336" i="30"/>
  <c r="B336" i="30"/>
  <c r="C336" i="30"/>
  <c r="D336" i="30"/>
  <c r="E336" i="30"/>
  <c r="F336" i="30"/>
  <c r="A337" i="30"/>
  <c r="B337" i="30"/>
  <c r="C337" i="30"/>
  <c r="D337" i="30"/>
  <c r="E337" i="30"/>
  <c r="F337" i="30"/>
  <c r="A338" i="30"/>
  <c r="B338" i="30"/>
  <c r="C338" i="30"/>
  <c r="D338" i="30"/>
  <c r="E338" i="30"/>
  <c r="F338" i="30"/>
  <c r="A339" i="30"/>
  <c r="B339" i="30"/>
  <c r="C339" i="30"/>
  <c r="D339" i="30"/>
  <c r="E339" i="30"/>
  <c r="F339" i="30"/>
  <c r="A340" i="30"/>
  <c r="B340" i="30"/>
  <c r="C340" i="30"/>
  <c r="D340" i="30"/>
  <c r="E340" i="30"/>
  <c r="F340" i="30"/>
  <c r="A341" i="30"/>
  <c r="B341" i="30"/>
  <c r="C341" i="30"/>
  <c r="D341" i="30"/>
  <c r="E341" i="30"/>
  <c r="F341" i="30"/>
  <c r="A342" i="30"/>
  <c r="B342" i="30"/>
  <c r="C342" i="30"/>
  <c r="D342" i="30"/>
  <c r="E342" i="30"/>
  <c r="F342" i="30"/>
  <c r="A343" i="30"/>
  <c r="B343" i="30"/>
  <c r="C343" i="30"/>
  <c r="D343" i="30"/>
  <c r="E343" i="30"/>
  <c r="F343" i="30"/>
  <c r="A344" i="30"/>
  <c r="B344" i="30"/>
  <c r="C344" i="30"/>
  <c r="D344" i="30"/>
  <c r="E344" i="30"/>
  <c r="F344" i="30"/>
  <c r="A345" i="30"/>
  <c r="B345" i="30"/>
  <c r="C345" i="30"/>
  <c r="D345" i="30"/>
  <c r="E345" i="30"/>
  <c r="F345" i="30"/>
  <c r="A346" i="30"/>
  <c r="B346" i="30"/>
  <c r="C346" i="30"/>
  <c r="D346" i="30"/>
  <c r="E346" i="30"/>
  <c r="F346" i="30"/>
  <c r="A347" i="30"/>
  <c r="B347" i="30"/>
  <c r="C347" i="30"/>
  <c r="D347" i="30"/>
  <c r="E347" i="30"/>
  <c r="F347" i="30"/>
  <c r="A348" i="30"/>
  <c r="B348" i="30"/>
  <c r="C348" i="30"/>
  <c r="D348" i="30"/>
  <c r="E348" i="30"/>
  <c r="F348" i="30"/>
  <c r="A349" i="30"/>
  <c r="B349" i="30"/>
  <c r="C349" i="30"/>
  <c r="D349" i="30"/>
  <c r="E349" i="30"/>
  <c r="F349" i="30"/>
  <c r="A350" i="30"/>
  <c r="B350" i="30"/>
  <c r="C350" i="30"/>
  <c r="D350" i="30"/>
  <c r="E350" i="30"/>
  <c r="F350" i="30"/>
  <c r="A351" i="30"/>
  <c r="B351" i="30"/>
  <c r="C351" i="30"/>
  <c r="D351" i="30"/>
  <c r="E351" i="30"/>
  <c r="F351" i="30"/>
  <c r="A352" i="30"/>
  <c r="B352" i="30"/>
  <c r="C352" i="30"/>
  <c r="D352" i="30"/>
  <c r="E352" i="30"/>
  <c r="F352" i="30"/>
  <c r="A353" i="30"/>
  <c r="B353" i="30"/>
  <c r="C353" i="30"/>
  <c r="D353" i="30"/>
  <c r="E353" i="30"/>
  <c r="F353" i="30"/>
  <c r="A354" i="30"/>
  <c r="B354" i="30"/>
  <c r="C354" i="30"/>
  <c r="D354" i="30"/>
  <c r="E354" i="30"/>
  <c r="F354" i="30"/>
  <c r="A355" i="30"/>
  <c r="B355" i="30"/>
  <c r="C355" i="30"/>
  <c r="D355" i="30"/>
  <c r="E355" i="30"/>
  <c r="F355" i="30"/>
  <c r="A356" i="30"/>
  <c r="B356" i="30"/>
  <c r="C356" i="30"/>
  <c r="D356" i="30"/>
  <c r="E356" i="30"/>
  <c r="F356" i="30"/>
  <c r="A357" i="30"/>
  <c r="B357" i="30"/>
  <c r="C357" i="30"/>
  <c r="D357" i="30"/>
  <c r="E357" i="30"/>
  <c r="F357" i="30"/>
  <c r="A358" i="30"/>
  <c r="B358" i="30"/>
  <c r="C358" i="30"/>
  <c r="D358" i="30"/>
  <c r="E358" i="30"/>
  <c r="F358" i="30"/>
  <c r="A359" i="30"/>
  <c r="B359" i="30"/>
  <c r="C359" i="30"/>
  <c r="D359" i="30"/>
  <c r="E359" i="30"/>
  <c r="F359" i="30"/>
  <c r="A360" i="30"/>
  <c r="B360" i="30"/>
  <c r="C360" i="30"/>
  <c r="D360" i="30"/>
  <c r="E360" i="30"/>
  <c r="F360" i="30"/>
  <c r="A361" i="30"/>
  <c r="B361" i="30"/>
  <c r="C361" i="30"/>
  <c r="D361" i="30"/>
  <c r="E361" i="30"/>
  <c r="F361" i="30"/>
  <c r="A362" i="30"/>
  <c r="B362" i="30"/>
  <c r="C362" i="30"/>
  <c r="D362" i="30"/>
  <c r="E362" i="30"/>
  <c r="F362" i="30"/>
  <c r="A363" i="30"/>
  <c r="B363" i="30"/>
  <c r="C363" i="30"/>
  <c r="D363" i="30"/>
  <c r="E363" i="30"/>
  <c r="F363" i="30"/>
  <c r="A364" i="30"/>
  <c r="B364" i="30"/>
  <c r="C364" i="30"/>
  <c r="D364" i="30"/>
  <c r="E364" i="30"/>
  <c r="F364" i="30"/>
  <c r="A365" i="30"/>
  <c r="B365" i="30"/>
  <c r="C365" i="30"/>
  <c r="D365" i="30"/>
  <c r="E365" i="30"/>
  <c r="F365" i="30"/>
  <c r="A366" i="30"/>
  <c r="B366" i="30"/>
  <c r="C366" i="30"/>
  <c r="D366" i="30"/>
  <c r="E366" i="30"/>
  <c r="F366" i="30"/>
  <c r="A367" i="30"/>
  <c r="B367" i="30"/>
  <c r="C367" i="30"/>
  <c r="D367" i="30"/>
  <c r="E367" i="30"/>
  <c r="F367" i="30"/>
  <c r="A368" i="30"/>
  <c r="B368" i="30"/>
  <c r="C368" i="30"/>
  <c r="D368" i="30"/>
  <c r="E368" i="30"/>
  <c r="F368" i="30"/>
  <c r="A369" i="30"/>
  <c r="B369" i="30"/>
  <c r="C369" i="30"/>
  <c r="D369" i="30"/>
  <c r="E369" i="30"/>
  <c r="F369" i="30"/>
  <c r="A370" i="30"/>
  <c r="B370" i="30"/>
  <c r="C370" i="30"/>
  <c r="D370" i="30"/>
  <c r="E370" i="30"/>
  <c r="F370" i="30"/>
  <c r="A371" i="30"/>
  <c r="B371" i="30"/>
  <c r="C371" i="30"/>
  <c r="D371" i="30"/>
  <c r="E371" i="30"/>
  <c r="F371" i="30"/>
  <c r="A372" i="30"/>
  <c r="B372" i="30"/>
  <c r="C372" i="30"/>
  <c r="D372" i="30"/>
  <c r="E372" i="30"/>
  <c r="F372" i="30"/>
  <c r="A373" i="30"/>
  <c r="B373" i="30"/>
  <c r="C373" i="30"/>
  <c r="D373" i="30"/>
  <c r="E373" i="30"/>
  <c r="F373" i="30"/>
  <c r="A374" i="30"/>
  <c r="B374" i="30"/>
  <c r="C374" i="30"/>
  <c r="D374" i="30"/>
  <c r="E374" i="30"/>
  <c r="F374" i="30"/>
  <c r="A375" i="30"/>
  <c r="B375" i="30"/>
  <c r="C375" i="30"/>
  <c r="D375" i="30"/>
  <c r="E375" i="30"/>
  <c r="F375" i="30"/>
  <c r="A376" i="30"/>
  <c r="B376" i="30"/>
  <c r="C376" i="30"/>
  <c r="D376" i="30"/>
  <c r="E376" i="30"/>
  <c r="F376" i="30"/>
  <c r="A377" i="30"/>
  <c r="B377" i="30"/>
  <c r="C377" i="30"/>
  <c r="D377" i="30"/>
  <c r="E377" i="30"/>
  <c r="F377" i="30"/>
  <c r="A378" i="30"/>
  <c r="B378" i="30"/>
  <c r="C378" i="30"/>
  <c r="D378" i="30"/>
  <c r="E378" i="30"/>
  <c r="F378" i="30"/>
  <c r="A379" i="30"/>
  <c r="B379" i="30"/>
  <c r="C379" i="30"/>
  <c r="D379" i="30"/>
  <c r="E379" i="30"/>
  <c r="F379" i="30"/>
  <c r="A380" i="30"/>
  <c r="B380" i="30"/>
  <c r="C380" i="30"/>
  <c r="D380" i="30"/>
  <c r="E380" i="30"/>
  <c r="F380" i="30"/>
  <c r="A381" i="30"/>
  <c r="B381" i="30"/>
  <c r="C381" i="30"/>
  <c r="D381" i="30"/>
  <c r="E381" i="30"/>
  <c r="F381" i="30"/>
  <c r="A382" i="30"/>
  <c r="B382" i="30"/>
  <c r="C382" i="30"/>
  <c r="D382" i="30"/>
  <c r="E382" i="30"/>
  <c r="F382" i="30"/>
  <c r="A383" i="30"/>
  <c r="B383" i="30"/>
  <c r="C383" i="30"/>
  <c r="D383" i="30"/>
  <c r="E383" i="30"/>
  <c r="F383" i="30"/>
  <c r="A384" i="30"/>
  <c r="B384" i="30"/>
  <c r="C384" i="30"/>
  <c r="D384" i="30"/>
  <c r="E384" i="30"/>
  <c r="F384" i="30"/>
  <c r="A385" i="30"/>
  <c r="B385" i="30"/>
  <c r="C385" i="30"/>
  <c r="D385" i="30"/>
  <c r="E385" i="30"/>
  <c r="F385" i="30"/>
  <c r="A386" i="30"/>
  <c r="B386" i="30"/>
  <c r="C386" i="30"/>
  <c r="D386" i="30"/>
  <c r="E386" i="30"/>
  <c r="F386" i="30"/>
  <c r="A387" i="30"/>
  <c r="B387" i="30"/>
  <c r="C387" i="30"/>
  <c r="D387" i="30"/>
  <c r="E387" i="30"/>
  <c r="F387" i="30"/>
  <c r="A388" i="30"/>
  <c r="B388" i="30"/>
  <c r="C388" i="30"/>
  <c r="D388" i="30"/>
  <c r="E388" i="30"/>
  <c r="F388" i="30"/>
  <c r="A389" i="30"/>
  <c r="B389" i="30"/>
  <c r="C389" i="30"/>
  <c r="D389" i="30"/>
  <c r="E389" i="30"/>
  <c r="F389" i="30"/>
  <c r="A390" i="30"/>
  <c r="B390" i="30"/>
  <c r="C390" i="30"/>
  <c r="D390" i="30"/>
  <c r="E390" i="30"/>
  <c r="F390" i="30"/>
  <c r="A391" i="30"/>
  <c r="B391" i="30"/>
  <c r="C391" i="30"/>
  <c r="D391" i="30"/>
  <c r="E391" i="30"/>
  <c r="F391" i="30"/>
  <c r="A392" i="30"/>
  <c r="B392" i="30"/>
  <c r="C392" i="30"/>
  <c r="D392" i="30"/>
  <c r="E392" i="30"/>
  <c r="F392" i="30"/>
  <c r="A393" i="30"/>
  <c r="B393" i="30"/>
  <c r="C393" i="30"/>
  <c r="D393" i="30"/>
  <c r="E393" i="30"/>
  <c r="F393" i="30"/>
  <c r="A394" i="30"/>
  <c r="B394" i="30"/>
  <c r="C394" i="30"/>
  <c r="D394" i="30"/>
  <c r="E394" i="30"/>
  <c r="F394" i="30"/>
  <c r="A395" i="30"/>
  <c r="B395" i="30"/>
  <c r="C395" i="30"/>
  <c r="D395" i="30"/>
  <c r="E395" i="30"/>
  <c r="F395" i="30"/>
  <c r="A396" i="30"/>
  <c r="B396" i="30"/>
  <c r="C396" i="30"/>
  <c r="D396" i="30"/>
  <c r="E396" i="30"/>
  <c r="F396" i="30"/>
  <c r="A397" i="30"/>
  <c r="B397" i="30"/>
  <c r="C397" i="30"/>
  <c r="D397" i="30"/>
  <c r="E397" i="30"/>
  <c r="F397" i="30"/>
  <c r="A398" i="30"/>
  <c r="B398" i="30"/>
  <c r="C398" i="30"/>
  <c r="D398" i="30"/>
  <c r="E398" i="30"/>
  <c r="F398" i="30"/>
  <c r="A399" i="30"/>
  <c r="B399" i="30"/>
  <c r="C399" i="30"/>
  <c r="D399" i="30"/>
  <c r="E399" i="30"/>
  <c r="F399" i="30"/>
  <c r="A400" i="30"/>
  <c r="B400" i="30"/>
  <c r="C400" i="30"/>
  <c r="D400" i="30"/>
  <c r="E400" i="30"/>
  <c r="F400" i="30"/>
  <c r="A401" i="30"/>
  <c r="B401" i="30"/>
  <c r="C401" i="30"/>
  <c r="D401" i="30"/>
  <c r="E401" i="30"/>
  <c r="F401" i="30"/>
  <c r="A402" i="30"/>
  <c r="B402" i="30"/>
  <c r="C402" i="30"/>
  <c r="D402" i="30"/>
  <c r="E402" i="30"/>
  <c r="F402" i="30"/>
  <c r="A403" i="30"/>
  <c r="B403" i="30"/>
  <c r="C403" i="30"/>
  <c r="D403" i="30"/>
  <c r="E403" i="30"/>
  <c r="F403" i="30"/>
  <c r="A404" i="30"/>
  <c r="B404" i="30"/>
  <c r="C404" i="30"/>
  <c r="D404" i="30"/>
  <c r="E404" i="30"/>
  <c r="F404" i="30"/>
  <c r="A405" i="30"/>
  <c r="B405" i="30"/>
  <c r="C405" i="30"/>
  <c r="D405" i="30"/>
  <c r="E405" i="30"/>
  <c r="F405" i="30"/>
  <c r="A406" i="30"/>
  <c r="B406" i="30"/>
  <c r="C406" i="30"/>
  <c r="D406" i="30"/>
  <c r="E406" i="30"/>
  <c r="F406" i="30"/>
  <c r="A407" i="30"/>
  <c r="B407" i="30"/>
  <c r="C407" i="30"/>
  <c r="D407" i="30"/>
  <c r="E407" i="30"/>
  <c r="F407" i="30"/>
  <c r="A408" i="30"/>
  <c r="B408" i="30"/>
  <c r="C408" i="30"/>
  <c r="D408" i="30"/>
  <c r="E408" i="30"/>
  <c r="F408" i="30"/>
  <c r="A409" i="30"/>
  <c r="B409" i="30"/>
  <c r="C409" i="30"/>
  <c r="D409" i="30"/>
  <c r="E409" i="30"/>
  <c r="F409" i="30"/>
  <c r="A410" i="30"/>
  <c r="B410" i="30"/>
  <c r="C410" i="30"/>
  <c r="D410" i="30"/>
  <c r="E410" i="30"/>
  <c r="F410" i="30"/>
  <c r="A411" i="30"/>
  <c r="B411" i="30"/>
  <c r="C411" i="30"/>
  <c r="D411" i="30"/>
  <c r="E411" i="30"/>
  <c r="F411" i="30"/>
  <c r="A412" i="30"/>
  <c r="B412" i="30"/>
  <c r="C412" i="30"/>
  <c r="D412" i="30"/>
  <c r="E412" i="30"/>
  <c r="F412" i="30"/>
  <c r="A413" i="30"/>
  <c r="B413" i="30"/>
  <c r="C413" i="30"/>
  <c r="D413" i="30"/>
  <c r="E413" i="30"/>
  <c r="F413" i="30"/>
  <c r="A414" i="30"/>
  <c r="B414" i="30"/>
  <c r="C414" i="30"/>
  <c r="D414" i="30"/>
  <c r="E414" i="30"/>
  <c r="F414" i="30"/>
  <c r="A415" i="30"/>
  <c r="B415" i="30"/>
  <c r="C415" i="30"/>
  <c r="D415" i="30"/>
  <c r="E415" i="30"/>
  <c r="F415" i="30"/>
  <c r="A416" i="30"/>
  <c r="B416" i="30"/>
  <c r="C416" i="30"/>
  <c r="D416" i="30"/>
  <c r="E416" i="30"/>
  <c r="F416" i="30"/>
  <c r="A417" i="30"/>
  <c r="B417" i="30"/>
  <c r="C417" i="30"/>
  <c r="D417" i="30"/>
  <c r="E417" i="30"/>
  <c r="F417" i="30"/>
  <c r="A418" i="30"/>
  <c r="B418" i="30"/>
  <c r="C418" i="30"/>
  <c r="D418" i="30"/>
  <c r="E418" i="30"/>
  <c r="F418" i="30"/>
  <c r="A419" i="30"/>
  <c r="B419" i="30"/>
  <c r="C419" i="30"/>
  <c r="D419" i="30"/>
  <c r="E419" i="30"/>
  <c r="F419" i="30"/>
  <c r="A420" i="30"/>
  <c r="B420" i="30"/>
  <c r="C420" i="30"/>
  <c r="D420" i="30"/>
  <c r="E420" i="30"/>
  <c r="F420" i="30"/>
  <c r="A421" i="30"/>
  <c r="B421" i="30"/>
  <c r="C421" i="30"/>
  <c r="D421" i="30"/>
  <c r="E421" i="30"/>
  <c r="F421" i="30"/>
  <c r="A422" i="30"/>
  <c r="B422" i="30"/>
  <c r="C422" i="30"/>
  <c r="D422" i="30"/>
  <c r="E422" i="30"/>
  <c r="F422" i="30"/>
  <c r="A423" i="30"/>
  <c r="B423" i="30"/>
  <c r="C423" i="30"/>
  <c r="D423" i="30"/>
  <c r="E423" i="30"/>
  <c r="F423" i="30"/>
  <c r="A424" i="30"/>
  <c r="B424" i="30"/>
  <c r="C424" i="30"/>
  <c r="D424" i="30"/>
  <c r="E424" i="30"/>
  <c r="F424" i="30"/>
  <c r="A425" i="30"/>
  <c r="B425" i="30"/>
  <c r="C425" i="30"/>
  <c r="D425" i="30"/>
  <c r="E425" i="30"/>
  <c r="F425" i="30"/>
  <c r="A426" i="30"/>
  <c r="B426" i="30"/>
  <c r="C426" i="30"/>
  <c r="D426" i="30"/>
  <c r="E426" i="30"/>
  <c r="F426" i="30"/>
  <c r="A427" i="30"/>
  <c r="B427" i="30"/>
  <c r="C427" i="30"/>
  <c r="D427" i="30"/>
  <c r="E427" i="30"/>
  <c r="F427" i="30"/>
  <c r="A428" i="30"/>
  <c r="B428" i="30"/>
  <c r="C428" i="30"/>
  <c r="D428" i="30"/>
  <c r="E428" i="30"/>
  <c r="F428" i="30"/>
  <c r="A429" i="30"/>
  <c r="B429" i="30"/>
  <c r="C429" i="30"/>
  <c r="D429" i="30"/>
  <c r="E429" i="30"/>
  <c r="F429" i="30"/>
  <c r="A430" i="30"/>
  <c r="B430" i="30"/>
  <c r="C430" i="30"/>
  <c r="D430" i="30"/>
  <c r="E430" i="30"/>
  <c r="F430" i="30"/>
  <c r="A431" i="30"/>
  <c r="B431" i="30"/>
  <c r="C431" i="30"/>
  <c r="D431" i="30"/>
  <c r="E431" i="30"/>
  <c r="F431" i="30"/>
  <c r="A432" i="30"/>
  <c r="B432" i="30"/>
  <c r="C432" i="30"/>
  <c r="D432" i="30"/>
  <c r="E432" i="30"/>
  <c r="F432" i="30"/>
  <c r="A433" i="30"/>
  <c r="B433" i="30"/>
  <c r="C433" i="30"/>
  <c r="D433" i="30"/>
  <c r="E433" i="30"/>
  <c r="F433" i="30"/>
  <c r="A434" i="30"/>
  <c r="B434" i="30"/>
  <c r="C434" i="30"/>
  <c r="D434" i="30"/>
  <c r="E434" i="30"/>
  <c r="F434" i="30"/>
  <c r="A435" i="30"/>
  <c r="B435" i="30"/>
  <c r="C435" i="30"/>
  <c r="D435" i="30"/>
  <c r="E435" i="30"/>
  <c r="F435" i="30"/>
  <c r="A436" i="30"/>
  <c r="B436" i="30"/>
  <c r="C436" i="30"/>
  <c r="D436" i="30"/>
  <c r="E436" i="30"/>
  <c r="F436" i="30"/>
  <c r="A437" i="30"/>
  <c r="B437" i="30"/>
  <c r="C437" i="30"/>
  <c r="D437" i="30"/>
  <c r="E437" i="30"/>
  <c r="F437" i="30"/>
  <c r="A438" i="30"/>
  <c r="B438" i="30"/>
  <c r="C438" i="30"/>
  <c r="D438" i="30"/>
  <c r="E438" i="30"/>
  <c r="F438" i="30"/>
  <c r="A439" i="30"/>
  <c r="B439" i="30"/>
  <c r="C439" i="30"/>
  <c r="D439" i="30"/>
  <c r="E439" i="30"/>
  <c r="F439" i="30"/>
  <c r="A440" i="30"/>
  <c r="B440" i="30"/>
  <c r="C440" i="30"/>
  <c r="D440" i="30"/>
  <c r="E440" i="30"/>
  <c r="F440" i="30"/>
  <c r="A441" i="30"/>
  <c r="B441" i="30"/>
  <c r="C441" i="30"/>
  <c r="D441" i="30"/>
  <c r="E441" i="30"/>
  <c r="F441" i="30"/>
  <c r="A442" i="30"/>
  <c r="B442" i="30"/>
  <c r="C442" i="30"/>
  <c r="D442" i="30"/>
  <c r="E442" i="30"/>
  <c r="F442" i="30"/>
  <c r="A443" i="30"/>
  <c r="B443" i="30"/>
  <c r="C443" i="30"/>
  <c r="D443" i="30"/>
  <c r="E443" i="30"/>
  <c r="F443" i="30"/>
  <c r="A444" i="30"/>
  <c r="B444" i="30"/>
  <c r="C444" i="30"/>
  <c r="D444" i="30"/>
  <c r="E444" i="30"/>
  <c r="F444" i="30"/>
  <c r="A445" i="30"/>
  <c r="B445" i="30"/>
  <c r="C445" i="30"/>
  <c r="D445" i="30"/>
  <c r="E445" i="30"/>
  <c r="F445" i="30"/>
  <c r="A446" i="30"/>
  <c r="B446" i="30"/>
  <c r="C446" i="30"/>
  <c r="D446" i="30"/>
  <c r="E446" i="30"/>
  <c r="F446" i="30"/>
  <c r="A447" i="30"/>
  <c r="B447" i="30"/>
  <c r="C447" i="30"/>
  <c r="D447" i="30"/>
  <c r="E447" i="30"/>
  <c r="F447" i="30"/>
  <c r="A448" i="30"/>
  <c r="B448" i="30"/>
  <c r="C448" i="30"/>
  <c r="D448" i="30"/>
  <c r="E448" i="30"/>
  <c r="F448" i="30"/>
  <c r="A449" i="30"/>
  <c r="B449" i="30"/>
  <c r="C449" i="30"/>
  <c r="D449" i="30"/>
  <c r="E449" i="30"/>
  <c r="F449" i="30"/>
  <c r="A450" i="30"/>
  <c r="B450" i="30"/>
  <c r="C450" i="30"/>
  <c r="D450" i="30"/>
  <c r="E450" i="30"/>
  <c r="F450" i="30"/>
  <c r="A451" i="30"/>
  <c r="B451" i="30"/>
  <c r="C451" i="30"/>
  <c r="D451" i="30"/>
  <c r="E451" i="30"/>
  <c r="F451" i="30"/>
  <c r="A452" i="30"/>
  <c r="B452" i="30"/>
  <c r="C452" i="30"/>
  <c r="D452" i="30"/>
  <c r="E452" i="30"/>
  <c r="F452" i="30"/>
  <c r="A453" i="30"/>
  <c r="B453" i="30"/>
  <c r="C453" i="30"/>
  <c r="D453" i="30"/>
  <c r="E453" i="30"/>
  <c r="F453" i="30"/>
  <c r="A454" i="30"/>
  <c r="B454" i="30"/>
  <c r="C454" i="30"/>
  <c r="D454" i="30"/>
  <c r="E454" i="30"/>
  <c r="F454" i="30"/>
  <c r="A455" i="30"/>
  <c r="B455" i="30"/>
  <c r="C455" i="30"/>
  <c r="D455" i="30"/>
  <c r="E455" i="30"/>
  <c r="F455" i="30"/>
  <c r="A456" i="30"/>
  <c r="B456" i="30"/>
  <c r="C456" i="30"/>
  <c r="D456" i="30"/>
  <c r="E456" i="30"/>
  <c r="F456" i="30"/>
  <c r="A457" i="30"/>
  <c r="B457" i="30"/>
  <c r="C457" i="30"/>
  <c r="D457" i="30"/>
  <c r="E457" i="30"/>
  <c r="F457" i="30"/>
  <c r="A458" i="30"/>
  <c r="B458" i="30"/>
  <c r="C458" i="30"/>
  <c r="D458" i="30"/>
  <c r="E458" i="30"/>
  <c r="F458" i="30"/>
  <c r="A459" i="30"/>
  <c r="B459" i="30"/>
  <c r="C459" i="30"/>
  <c r="D459" i="30"/>
  <c r="E459" i="30"/>
  <c r="F459" i="30"/>
  <c r="A460" i="30"/>
  <c r="B460" i="30"/>
  <c r="C460" i="30"/>
  <c r="D460" i="30"/>
  <c r="E460" i="30"/>
  <c r="F460" i="30"/>
  <c r="A461" i="30"/>
  <c r="B461" i="30"/>
  <c r="C461" i="30"/>
  <c r="D461" i="30"/>
  <c r="E461" i="30"/>
  <c r="F461" i="30"/>
  <c r="A462" i="30"/>
  <c r="B462" i="30"/>
  <c r="C462" i="30"/>
  <c r="D462" i="30"/>
  <c r="E462" i="30"/>
  <c r="F462" i="30"/>
  <c r="A463" i="30"/>
  <c r="B463" i="30"/>
  <c r="C463" i="30"/>
  <c r="D463" i="30"/>
  <c r="E463" i="30"/>
  <c r="F463" i="30"/>
  <c r="A464" i="30"/>
  <c r="B464" i="30"/>
  <c r="C464" i="30"/>
  <c r="D464" i="30"/>
  <c r="E464" i="30"/>
  <c r="F464" i="30"/>
  <c r="A465" i="30"/>
  <c r="B465" i="30"/>
  <c r="C465" i="30"/>
  <c r="D465" i="30"/>
  <c r="E465" i="30"/>
  <c r="F465" i="30"/>
  <c r="A466" i="30"/>
  <c r="B466" i="30"/>
  <c r="C466" i="30"/>
  <c r="D466" i="30"/>
  <c r="E466" i="30"/>
  <c r="F466" i="30"/>
  <c r="A467" i="30"/>
  <c r="B467" i="30"/>
  <c r="C467" i="30"/>
  <c r="D467" i="30"/>
  <c r="E467" i="30"/>
  <c r="F467" i="30"/>
  <c r="A468" i="30"/>
  <c r="B468" i="30"/>
  <c r="C468" i="30"/>
  <c r="D468" i="30"/>
  <c r="E468" i="30"/>
  <c r="F468" i="30"/>
  <c r="A469" i="30"/>
  <c r="B469" i="30"/>
  <c r="C469" i="30"/>
  <c r="D469" i="30"/>
  <c r="E469" i="30"/>
  <c r="F469" i="30"/>
  <c r="A470" i="30"/>
  <c r="B470" i="30"/>
  <c r="C470" i="30"/>
  <c r="D470" i="30"/>
  <c r="E470" i="30"/>
  <c r="F470" i="30"/>
  <c r="A471" i="30"/>
  <c r="B471" i="30"/>
  <c r="C471" i="30"/>
  <c r="D471" i="30"/>
  <c r="E471" i="30"/>
  <c r="F471" i="30"/>
  <c r="A472" i="30"/>
  <c r="B472" i="30"/>
  <c r="C472" i="30"/>
  <c r="D472" i="30"/>
  <c r="E472" i="30"/>
  <c r="F472" i="30"/>
  <c r="A473" i="30"/>
  <c r="B473" i="30"/>
  <c r="C473" i="30"/>
  <c r="D473" i="30"/>
  <c r="E473" i="30"/>
  <c r="F473" i="30"/>
  <c r="A474" i="30"/>
  <c r="B474" i="30"/>
  <c r="C474" i="30"/>
  <c r="D474" i="30"/>
  <c r="E474" i="30"/>
  <c r="F474" i="30"/>
  <c r="A475" i="30"/>
  <c r="B475" i="30"/>
  <c r="C475" i="30"/>
  <c r="D475" i="30"/>
  <c r="E475" i="30"/>
  <c r="F475" i="30"/>
  <c r="A476" i="30"/>
  <c r="B476" i="30"/>
  <c r="C476" i="30"/>
  <c r="D476" i="30"/>
  <c r="E476" i="30"/>
  <c r="F476" i="30"/>
  <c r="A477" i="30"/>
  <c r="B477" i="30"/>
  <c r="C477" i="30"/>
  <c r="D477" i="30"/>
  <c r="E477" i="30"/>
  <c r="F477" i="30"/>
  <c r="A478" i="30"/>
  <c r="B478" i="30"/>
  <c r="C478" i="30"/>
  <c r="D478" i="30"/>
  <c r="E478" i="30"/>
  <c r="F478" i="30"/>
  <c r="A479" i="30"/>
  <c r="B479" i="30"/>
  <c r="C479" i="30"/>
  <c r="D479" i="30"/>
  <c r="E479" i="30"/>
  <c r="F479" i="30"/>
  <c r="A480" i="30"/>
  <c r="B480" i="30"/>
  <c r="C480" i="30"/>
  <c r="D480" i="30"/>
  <c r="E480" i="30"/>
  <c r="F480" i="30"/>
  <c r="A481" i="30"/>
  <c r="B481" i="30"/>
  <c r="C481" i="30"/>
  <c r="D481" i="30"/>
  <c r="E481" i="30"/>
  <c r="F481" i="30"/>
  <c r="A482" i="30"/>
  <c r="B482" i="30"/>
  <c r="C482" i="30"/>
  <c r="D482" i="30"/>
  <c r="E482" i="30"/>
  <c r="F482" i="30"/>
  <c r="A483" i="30"/>
  <c r="B483" i="30"/>
  <c r="C483" i="30"/>
  <c r="D483" i="30"/>
  <c r="E483" i="30"/>
  <c r="F483" i="30"/>
  <c r="A484" i="30"/>
  <c r="B484" i="30"/>
  <c r="C484" i="30"/>
  <c r="D484" i="30"/>
  <c r="E484" i="30"/>
  <c r="F484" i="30"/>
  <c r="A485" i="30"/>
  <c r="B485" i="30"/>
  <c r="C485" i="30"/>
  <c r="D485" i="30"/>
  <c r="E485" i="30"/>
  <c r="F485" i="30"/>
  <c r="A486" i="30"/>
  <c r="B486" i="30"/>
  <c r="C486" i="30"/>
  <c r="D486" i="30"/>
  <c r="E486" i="30"/>
  <c r="F486" i="30"/>
  <c r="A487" i="30"/>
  <c r="B487" i="30"/>
  <c r="C487" i="30"/>
  <c r="D487" i="30"/>
  <c r="E487" i="30"/>
  <c r="F487" i="30"/>
  <c r="A488" i="30"/>
  <c r="B488" i="30"/>
  <c r="C488" i="30"/>
  <c r="D488" i="30"/>
  <c r="E488" i="30"/>
  <c r="F488" i="30"/>
  <c r="A489" i="30"/>
  <c r="B489" i="30"/>
  <c r="C489" i="30"/>
  <c r="D489" i="30"/>
  <c r="E489" i="30"/>
  <c r="F489" i="30"/>
  <c r="A490" i="30"/>
  <c r="B490" i="30"/>
  <c r="C490" i="30"/>
  <c r="D490" i="30"/>
  <c r="E490" i="30"/>
  <c r="F490" i="30"/>
  <c r="A491" i="30"/>
  <c r="B491" i="30"/>
  <c r="C491" i="30"/>
  <c r="D491" i="30"/>
  <c r="E491" i="30"/>
  <c r="F491" i="30"/>
  <c r="A492" i="30"/>
  <c r="B492" i="30"/>
  <c r="C492" i="30"/>
  <c r="D492" i="30"/>
  <c r="E492" i="30"/>
  <c r="F492" i="30"/>
  <c r="A493" i="30"/>
  <c r="B493" i="30"/>
  <c r="C493" i="30"/>
  <c r="D493" i="30"/>
  <c r="E493" i="30"/>
  <c r="F493" i="30"/>
  <c r="A494" i="30"/>
  <c r="B494" i="30"/>
  <c r="C494" i="30"/>
  <c r="D494" i="30"/>
  <c r="E494" i="30"/>
  <c r="F494" i="30"/>
  <c r="A495" i="30"/>
  <c r="B495" i="30"/>
  <c r="C495" i="30"/>
  <c r="D495" i="30"/>
  <c r="E495" i="30"/>
  <c r="F495" i="30"/>
  <c r="A496" i="30"/>
  <c r="B496" i="30"/>
  <c r="C496" i="30"/>
  <c r="D496" i="30"/>
  <c r="E496" i="30"/>
  <c r="F496" i="30"/>
  <c r="A497" i="30"/>
  <c r="B497" i="30"/>
  <c r="C497" i="30"/>
  <c r="D497" i="30"/>
  <c r="E497" i="30"/>
  <c r="F497" i="30"/>
  <c r="A498" i="30"/>
  <c r="B498" i="30"/>
  <c r="C498" i="30"/>
  <c r="D498" i="30"/>
  <c r="E498" i="30"/>
  <c r="F498" i="30"/>
  <c r="A499" i="30"/>
  <c r="B499" i="30"/>
  <c r="C499" i="30"/>
  <c r="D499" i="30"/>
  <c r="E499" i="30"/>
  <c r="F499" i="30"/>
  <c r="A500" i="30"/>
  <c r="B500" i="30"/>
  <c r="C500" i="30"/>
  <c r="D500" i="30"/>
  <c r="E500" i="30"/>
  <c r="F500" i="30"/>
  <c r="A501" i="30"/>
  <c r="B501" i="30"/>
  <c r="C501" i="30"/>
  <c r="D501" i="30"/>
  <c r="E501" i="30"/>
  <c r="F501" i="30"/>
  <c r="A502" i="30"/>
  <c r="B502" i="30"/>
  <c r="C502" i="30"/>
  <c r="D502" i="30"/>
  <c r="E502" i="30"/>
  <c r="F502" i="30"/>
  <c r="A503" i="30"/>
  <c r="B503" i="30"/>
  <c r="C503" i="30"/>
  <c r="D503" i="30"/>
  <c r="E503" i="30"/>
  <c r="F503" i="30"/>
  <c r="A504" i="30"/>
  <c r="B504" i="30"/>
  <c r="C504" i="30"/>
  <c r="D504" i="30"/>
  <c r="E504" i="30"/>
  <c r="F504" i="30"/>
  <c r="A505" i="30"/>
  <c r="B505" i="30"/>
  <c r="C505" i="30"/>
  <c r="D505" i="30"/>
  <c r="E505" i="30"/>
  <c r="F505" i="30"/>
  <c r="A506" i="30"/>
  <c r="B506" i="30"/>
  <c r="C506" i="30"/>
  <c r="D506" i="30"/>
  <c r="E506" i="30"/>
  <c r="F506" i="30"/>
  <c r="A507" i="30"/>
  <c r="B507" i="30"/>
  <c r="C507" i="30"/>
  <c r="D507" i="30"/>
  <c r="E507" i="30"/>
  <c r="F507" i="30"/>
  <c r="A508" i="30"/>
  <c r="B508" i="30"/>
  <c r="C508" i="30"/>
  <c r="D508" i="30"/>
  <c r="E508" i="30"/>
  <c r="F508" i="30"/>
  <c r="A509" i="30"/>
  <c r="B509" i="30"/>
  <c r="C509" i="30"/>
  <c r="D509" i="30"/>
  <c r="E509" i="30"/>
  <c r="F509" i="30"/>
  <c r="A510" i="30"/>
  <c r="B510" i="30"/>
  <c r="C510" i="30"/>
  <c r="D510" i="30"/>
  <c r="E510" i="30"/>
  <c r="F510" i="30"/>
  <c r="A511" i="30"/>
  <c r="B511" i="30"/>
  <c r="C511" i="30"/>
  <c r="D511" i="30"/>
  <c r="E511" i="30"/>
  <c r="F511" i="30"/>
  <c r="A512" i="30"/>
  <c r="B512" i="30"/>
  <c r="C512" i="30"/>
  <c r="D512" i="30"/>
  <c r="E512" i="30"/>
  <c r="F512" i="30"/>
  <c r="A513" i="30"/>
  <c r="B513" i="30"/>
  <c r="C513" i="30"/>
  <c r="D513" i="30"/>
  <c r="E513" i="30"/>
  <c r="F513" i="30"/>
  <c r="A514" i="30"/>
  <c r="B514" i="30"/>
  <c r="C514" i="30"/>
  <c r="D514" i="30"/>
  <c r="E514" i="30"/>
  <c r="F514" i="30"/>
  <c r="A515" i="30"/>
  <c r="B515" i="30"/>
  <c r="C515" i="30"/>
  <c r="D515" i="30"/>
  <c r="E515" i="30"/>
  <c r="F515" i="30"/>
  <c r="A516" i="30"/>
  <c r="B516" i="30"/>
  <c r="C516" i="30"/>
  <c r="D516" i="30"/>
  <c r="E516" i="30"/>
  <c r="F516" i="30"/>
  <c r="A517" i="30"/>
  <c r="B517" i="30"/>
  <c r="C517" i="30"/>
  <c r="D517" i="30"/>
  <c r="E517" i="30"/>
  <c r="F517" i="30"/>
  <c r="A518" i="30"/>
  <c r="B518" i="30"/>
  <c r="C518" i="30"/>
  <c r="D518" i="30"/>
  <c r="E518" i="30"/>
  <c r="F518" i="30"/>
  <c r="A519" i="30"/>
  <c r="B519" i="30"/>
  <c r="C519" i="30"/>
  <c r="D519" i="30"/>
  <c r="E519" i="30"/>
  <c r="F519" i="30"/>
  <c r="A520" i="30"/>
  <c r="B520" i="30"/>
  <c r="C520" i="30"/>
  <c r="D520" i="30"/>
  <c r="E520" i="30"/>
  <c r="F520" i="30"/>
  <c r="A521" i="30"/>
  <c r="B521" i="30"/>
  <c r="C521" i="30"/>
  <c r="D521" i="30"/>
  <c r="E521" i="30"/>
  <c r="F521" i="30"/>
  <c r="A522" i="30"/>
  <c r="B522" i="30"/>
  <c r="C522" i="30"/>
  <c r="D522" i="30"/>
  <c r="E522" i="30"/>
  <c r="F522" i="30"/>
  <c r="A523" i="30"/>
  <c r="B523" i="30"/>
  <c r="C523" i="30"/>
  <c r="D523" i="30"/>
  <c r="E523" i="30"/>
  <c r="F523" i="30"/>
  <c r="A524" i="30"/>
  <c r="B524" i="30"/>
  <c r="C524" i="30"/>
  <c r="D524" i="30"/>
  <c r="E524" i="30"/>
  <c r="F524" i="30"/>
  <c r="A525" i="30"/>
  <c r="B525" i="30"/>
  <c r="C525" i="30"/>
  <c r="D525" i="30"/>
  <c r="E525" i="30"/>
  <c r="F525" i="30"/>
  <c r="A526" i="30"/>
  <c r="B526" i="30"/>
  <c r="C526" i="30"/>
  <c r="D526" i="30"/>
  <c r="E526" i="30"/>
  <c r="F526" i="30"/>
  <c r="A527" i="30"/>
  <c r="B527" i="30"/>
  <c r="C527" i="30"/>
  <c r="D527" i="30"/>
  <c r="E527" i="30"/>
  <c r="F527" i="30"/>
  <c r="A528" i="30"/>
  <c r="B528" i="30"/>
  <c r="C528" i="30"/>
  <c r="D528" i="30"/>
  <c r="E528" i="30"/>
  <c r="F528" i="30"/>
  <c r="A529" i="30"/>
  <c r="B529" i="30"/>
  <c r="C529" i="30"/>
  <c r="D529" i="30"/>
  <c r="E529" i="30"/>
  <c r="F529" i="30"/>
  <c r="A530" i="30"/>
  <c r="B530" i="30"/>
  <c r="C530" i="30"/>
  <c r="D530" i="30"/>
  <c r="E530" i="30"/>
  <c r="F530" i="30"/>
  <c r="A531" i="30"/>
  <c r="B531" i="30"/>
  <c r="C531" i="30"/>
  <c r="D531" i="30"/>
  <c r="E531" i="30"/>
  <c r="F531" i="30"/>
  <c r="A532" i="30"/>
  <c r="B532" i="30"/>
  <c r="C532" i="30"/>
  <c r="D532" i="30"/>
  <c r="E532" i="30"/>
  <c r="F532" i="30"/>
  <c r="A533" i="30"/>
  <c r="B533" i="30"/>
  <c r="C533" i="30"/>
  <c r="D533" i="30"/>
  <c r="E533" i="30"/>
  <c r="F533" i="30"/>
  <c r="A534" i="30"/>
  <c r="B534" i="30"/>
  <c r="C534" i="30"/>
  <c r="D534" i="30"/>
  <c r="E534" i="30"/>
  <c r="F534" i="30"/>
  <c r="A535" i="30"/>
  <c r="B535" i="30"/>
  <c r="C535" i="30"/>
  <c r="D535" i="30"/>
  <c r="E535" i="30"/>
  <c r="F535" i="30"/>
  <c r="A536" i="30"/>
  <c r="B536" i="30"/>
  <c r="C536" i="30"/>
  <c r="D536" i="30"/>
  <c r="E536" i="30"/>
  <c r="F536" i="30"/>
  <c r="A537" i="30"/>
  <c r="B537" i="30"/>
  <c r="C537" i="30"/>
  <c r="D537" i="30"/>
  <c r="E537" i="30"/>
  <c r="F537" i="30"/>
  <c r="A538" i="30"/>
  <c r="B538" i="30"/>
  <c r="C538" i="30"/>
  <c r="D538" i="30"/>
  <c r="E538" i="30"/>
  <c r="F538" i="30"/>
  <c r="A539" i="30"/>
  <c r="B539" i="30"/>
  <c r="C539" i="30"/>
  <c r="D539" i="30"/>
  <c r="E539" i="30"/>
  <c r="F539" i="30"/>
  <c r="A540" i="30"/>
  <c r="B540" i="30"/>
  <c r="C540" i="30"/>
  <c r="D540" i="30"/>
  <c r="E540" i="30"/>
  <c r="F540" i="30"/>
  <c r="A541" i="30"/>
  <c r="B541" i="30"/>
  <c r="C541" i="30"/>
  <c r="D541" i="30"/>
  <c r="E541" i="30"/>
  <c r="F541" i="30"/>
  <c r="A542" i="30"/>
  <c r="B542" i="30"/>
  <c r="C542" i="30"/>
  <c r="D542" i="30"/>
  <c r="E542" i="30"/>
  <c r="F542" i="30"/>
  <c r="A543" i="30"/>
  <c r="B543" i="30"/>
  <c r="C543" i="30"/>
  <c r="D543" i="30"/>
  <c r="E543" i="30"/>
  <c r="F543" i="30"/>
  <c r="A544" i="30"/>
  <c r="B544" i="30"/>
  <c r="C544" i="30"/>
  <c r="D544" i="30"/>
  <c r="E544" i="30"/>
  <c r="F544" i="30"/>
  <c r="A545" i="30"/>
  <c r="B545" i="30"/>
  <c r="C545" i="30"/>
  <c r="D545" i="30"/>
  <c r="E545" i="30"/>
  <c r="F545" i="30"/>
  <c r="A546" i="30"/>
  <c r="B546" i="30"/>
  <c r="C546" i="30"/>
  <c r="D546" i="30"/>
  <c r="E546" i="30"/>
  <c r="F546" i="30"/>
  <c r="A547" i="30"/>
  <c r="B547" i="30"/>
  <c r="C547" i="30"/>
  <c r="D547" i="30"/>
  <c r="E547" i="30"/>
  <c r="F547" i="30"/>
  <c r="A548" i="30"/>
  <c r="B548" i="30"/>
  <c r="C548" i="30"/>
  <c r="D548" i="30"/>
  <c r="E548" i="30"/>
  <c r="F548" i="30"/>
  <c r="A549" i="30"/>
  <c r="B549" i="30"/>
  <c r="C549" i="30"/>
  <c r="D549" i="30"/>
  <c r="E549" i="30"/>
  <c r="F549" i="30"/>
  <c r="A550" i="30"/>
  <c r="B550" i="30"/>
  <c r="C550" i="30"/>
  <c r="D550" i="30"/>
  <c r="E550" i="30"/>
  <c r="F550" i="30"/>
  <c r="A551" i="30"/>
  <c r="B551" i="30"/>
  <c r="C551" i="30"/>
  <c r="D551" i="30"/>
  <c r="E551" i="30"/>
  <c r="F551" i="30"/>
  <c r="A552" i="30"/>
  <c r="B552" i="30"/>
  <c r="C552" i="30"/>
  <c r="D552" i="30"/>
  <c r="E552" i="30"/>
  <c r="F552" i="30"/>
  <c r="A553" i="30"/>
  <c r="B553" i="30"/>
  <c r="C553" i="30"/>
  <c r="D553" i="30"/>
  <c r="E553" i="30"/>
  <c r="F553" i="30"/>
  <c r="A554" i="30"/>
  <c r="B554" i="30"/>
  <c r="C554" i="30"/>
  <c r="D554" i="30"/>
  <c r="E554" i="30"/>
  <c r="F554" i="30"/>
  <c r="A555" i="30"/>
  <c r="B555" i="30"/>
  <c r="C555" i="30"/>
  <c r="D555" i="30"/>
  <c r="E555" i="30"/>
  <c r="F555" i="30"/>
  <c r="A556" i="30"/>
  <c r="B556" i="30"/>
  <c r="C556" i="30"/>
  <c r="D556" i="30"/>
  <c r="E556" i="30"/>
  <c r="F556" i="30"/>
  <c r="A557" i="30"/>
  <c r="B557" i="30"/>
  <c r="C557" i="30"/>
  <c r="D557" i="30"/>
  <c r="E557" i="30"/>
  <c r="F557" i="30"/>
  <c r="A558" i="30"/>
  <c r="B558" i="30"/>
  <c r="C558" i="30"/>
  <c r="D558" i="30"/>
  <c r="E558" i="30"/>
  <c r="F558" i="30"/>
  <c r="A559" i="30"/>
  <c r="B559" i="30"/>
  <c r="C559" i="30"/>
  <c r="D559" i="30"/>
  <c r="E559" i="30"/>
  <c r="F559" i="30"/>
  <c r="A560" i="30"/>
  <c r="B560" i="30"/>
  <c r="C560" i="30"/>
  <c r="D560" i="30"/>
  <c r="E560" i="30"/>
  <c r="F560" i="30"/>
  <c r="A561" i="30"/>
  <c r="B561" i="30"/>
  <c r="C561" i="30"/>
  <c r="D561" i="30"/>
  <c r="E561" i="30"/>
  <c r="F561" i="30"/>
  <c r="A562" i="30"/>
  <c r="B562" i="30"/>
  <c r="C562" i="30"/>
  <c r="D562" i="30"/>
  <c r="E562" i="30"/>
  <c r="F562" i="30"/>
  <c r="A563" i="30"/>
  <c r="B563" i="30"/>
  <c r="C563" i="30"/>
  <c r="D563" i="30"/>
  <c r="E563" i="30"/>
  <c r="F563" i="30"/>
  <c r="A564" i="30"/>
  <c r="B564" i="30"/>
  <c r="C564" i="30"/>
  <c r="D564" i="30"/>
  <c r="E564" i="30"/>
  <c r="F564" i="30"/>
  <c r="A565" i="30"/>
  <c r="B565" i="30"/>
  <c r="C565" i="30"/>
  <c r="D565" i="30"/>
  <c r="E565" i="30"/>
  <c r="F565" i="30"/>
  <c r="A566" i="30"/>
  <c r="B566" i="30"/>
  <c r="C566" i="30"/>
  <c r="D566" i="30"/>
  <c r="E566" i="30"/>
  <c r="F566" i="30"/>
  <c r="A567" i="30"/>
  <c r="B567" i="30"/>
  <c r="C567" i="30"/>
  <c r="D567" i="30"/>
  <c r="E567" i="30"/>
  <c r="F567" i="30"/>
  <c r="A568" i="30"/>
  <c r="B568" i="30"/>
  <c r="C568" i="30"/>
  <c r="D568" i="30"/>
  <c r="E568" i="30"/>
  <c r="F568" i="30"/>
  <c r="A569" i="30"/>
  <c r="B569" i="30"/>
  <c r="C569" i="30"/>
  <c r="D569" i="30"/>
  <c r="E569" i="30"/>
  <c r="F569" i="30"/>
  <c r="A570" i="30"/>
  <c r="B570" i="30"/>
  <c r="C570" i="30"/>
  <c r="D570" i="30"/>
  <c r="E570" i="30"/>
  <c r="F570" i="30"/>
  <c r="A571" i="30"/>
  <c r="B571" i="30"/>
  <c r="C571" i="30"/>
  <c r="D571" i="30"/>
  <c r="E571" i="30"/>
  <c r="F571" i="30"/>
  <c r="A572" i="30"/>
  <c r="B572" i="30"/>
  <c r="C572" i="30"/>
  <c r="D572" i="30"/>
  <c r="E572" i="30"/>
  <c r="F572" i="30"/>
  <c r="A573" i="30"/>
  <c r="B573" i="30"/>
  <c r="C573" i="30"/>
  <c r="D573" i="30"/>
  <c r="E573" i="30"/>
  <c r="F573" i="30"/>
  <c r="A574" i="30"/>
  <c r="B574" i="30"/>
  <c r="C574" i="30"/>
  <c r="D574" i="30"/>
  <c r="E574" i="30"/>
  <c r="F574" i="30"/>
  <c r="A575" i="30"/>
  <c r="B575" i="30"/>
  <c r="C575" i="30"/>
  <c r="D575" i="30"/>
  <c r="E575" i="30"/>
  <c r="F575" i="30"/>
  <c r="A576" i="30"/>
  <c r="B576" i="30"/>
  <c r="C576" i="30"/>
  <c r="D576" i="30"/>
  <c r="E576" i="30"/>
  <c r="F576" i="30"/>
  <c r="A577" i="30"/>
  <c r="B577" i="30"/>
  <c r="C577" i="30"/>
  <c r="D577" i="30"/>
  <c r="E577" i="30"/>
  <c r="F577" i="30"/>
  <c r="A578" i="30"/>
  <c r="B578" i="30"/>
  <c r="C578" i="30"/>
  <c r="D578" i="30"/>
  <c r="E578" i="30"/>
  <c r="F578" i="30"/>
  <c r="A579" i="30"/>
  <c r="B579" i="30"/>
  <c r="C579" i="30"/>
  <c r="D579" i="30"/>
  <c r="E579" i="30"/>
  <c r="F579" i="30"/>
  <c r="A580" i="30"/>
  <c r="B580" i="30"/>
  <c r="C580" i="30"/>
  <c r="D580" i="30"/>
  <c r="E580" i="30"/>
  <c r="F580" i="30"/>
  <c r="A581" i="30"/>
  <c r="B581" i="30"/>
  <c r="C581" i="30"/>
  <c r="D581" i="30"/>
  <c r="E581" i="30"/>
  <c r="F581" i="30"/>
  <c r="A582" i="30"/>
  <c r="B582" i="30"/>
  <c r="C582" i="30"/>
  <c r="D582" i="30"/>
  <c r="E582" i="30"/>
  <c r="F582" i="30"/>
  <c r="A583" i="30"/>
  <c r="B583" i="30"/>
  <c r="C583" i="30"/>
  <c r="D583" i="30"/>
  <c r="E583" i="30"/>
  <c r="F583" i="30"/>
  <c r="A584" i="30"/>
  <c r="B584" i="30"/>
  <c r="C584" i="30"/>
  <c r="D584" i="30"/>
  <c r="E584" i="30"/>
  <c r="F584" i="30"/>
  <c r="A585" i="30"/>
  <c r="B585" i="30"/>
  <c r="C585" i="30"/>
  <c r="D585" i="30"/>
  <c r="E585" i="30"/>
  <c r="F585" i="30"/>
  <c r="A586" i="30"/>
  <c r="B586" i="30"/>
  <c r="C586" i="30"/>
  <c r="D586" i="30"/>
  <c r="E586" i="30"/>
  <c r="F586" i="30"/>
  <c r="A587" i="30"/>
  <c r="B587" i="30"/>
  <c r="C587" i="30"/>
  <c r="D587" i="30"/>
  <c r="E587" i="30"/>
  <c r="F587" i="30"/>
  <c r="A588" i="30"/>
  <c r="B588" i="30"/>
  <c r="C588" i="30"/>
  <c r="D588" i="30"/>
  <c r="E588" i="30"/>
  <c r="F588" i="30"/>
  <c r="A589" i="30"/>
  <c r="B589" i="30"/>
  <c r="C589" i="30"/>
  <c r="D589" i="30"/>
  <c r="E589" i="30"/>
  <c r="F589" i="30"/>
  <c r="A590" i="30"/>
  <c r="B590" i="30"/>
  <c r="C590" i="30"/>
  <c r="D590" i="30"/>
  <c r="E590" i="30"/>
  <c r="F590" i="30"/>
  <c r="A591" i="30"/>
  <c r="B591" i="30"/>
  <c r="C591" i="30"/>
  <c r="D591" i="30"/>
  <c r="E591" i="30"/>
  <c r="F591" i="30"/>
  <c r="A592" i="30"/>
  <c r="B592" i="30"/>
  <c r="C592" i="30"/>
  <c r="D592" i="30"/>
  <c r="E592" i="30"/>
  <c r="F592" i="30"/>
  <c r="A593" i="30"/>
  <c r="B593" i="30"/>
  <c r="C593" i="30"/>
  <c r="D593" i="30"/>
  <c r="E593" i="30"/>
  <c r="F593" i="30"/>
  <c r="A594" i="30"/>
  <c r="B594" i="30"/>
  <c r="C594" i="30"/>
  <c r="D594" i="30"/>
  <c r="E594" i="30"/>
  <c r="F594" i="30"/>
  <c r="A595" i="30"/>
  <c r="B595" i="30"/>
  <c r="C595" i="30"/>
  <c r="D595" i="30"/>
  <c r="E595" i="30"/>
  <c r="F595" i="30"/>
  <c r="A596" i="30"/>
  <c r="B596" i="30"/>
  <c r="C596" i="30"/>
  <c r="D596" i="30"/>
  <c r="E596" i="30"/>
  <c r="F596" i="30"/>
  <c r="A597" i="30"/>
  <c r="B597" i="30"/>
  <c r="C597" i="30"/>
  <c r="D597" i="30"/>
  <c r="E597" i="30"/>
  <c r="F597" i="30"/>
  <c r="A598" i="30"/>
  <c r="B598" i="30"/>
  <c r="C598" i="30"/>
  <c r="D598" i="30"/>
  <c r="E598" i="30"/>
  <c r="F598" i="30"/>
  <c r="A599" i="30"/>
  <c r="B599" i="30"/>
  <c r="C599" i="30"/>
  <c r="D599" i="30"/>
  <c r="E599" i="30"/>
  <c r="F599" i="30"/>
  <c r="A600" i="30"/>
  <c r="B600" i="30"/>
  <c r="C600" i="30"/>
  <c r="D600" i="30"/>
  <c r="E600" i="30"/>
  <c r="F600" i="30"/>
  <c r="A601" i="30"/>
  <c r="B601" i="30"/>
  <c r="C601" i="30"/>
  <c r="D601" i="30"/>
  <c r="E601" i="30"/>
  <c r="F601" i="30"/>
  <c r="A602" i="30"/>
  <c r="B602" i="30"/>
  <c r="C602" i="30"/>
  <c r="D602" i="30"/>
  <c r="E602" i="30"/>
  <c r="F602" i="30"/>
  <c r="A603" i="30"/>
  <c r="B603" i="30"/>
  <c r="C603" i="30"/>
  <c r="D603" i="30"/>
  <c r="E603" i="30"/>
  <c r="F603" i="30"/>
  <c r="A604" i="30"/>
  <c r="B604" i="30"/>
  <c r="C604" i="30"/>
  <c r="D604" i="30"/>
  <c r="E604" i="30"/>
  <c r="F604" i="30"/>
  <c r="A605" i="30"/>
  <c r="B605" i="30"/>
  <c r="C605" i="30"/>
  <c r="D605" i="30"/>
  <c r="E605" i="30"/>
  <c r="F605" i="30"/>
  <c r="A606" i="30"/>
  <c r="B606" i="30"/>
  <c r="C606" i="30"/>
  <c r="D606" i="30"/>
  <c r="E606" i="30"/>
  <c r="F606" i="30"/>
  <c r="A607" i="30"/>
  <c r="B607" i="30"/>
  <c r="C607" i="30"/>
  <c r="D607" i="30"/>
  <c r="E607" i="30"/>
  <c r="F607" i="30"/>
  <c r="A608" i="30"/>
  <c r="B608" i="30"/>
  <c r="C608" i="30"/>
  <c r="D608" i="30"/>
  <c r="E608" i="30"/>
  <c r="F608" i="30"/>
  <c r="A609" i="30"/>
  <c r="B609" i="30"/>
  <c r="C609" i="30"/>
  <c r="D609" i="30"/>
  <c r="E609" i="30"/>
  <c r="F609" i="30"/>
  <c r="A610" i="30"/>
  <c r="B610" i="30"/>
  <c r="C610" i="30"/>
  <c r="D610" i="30"/>
  <c r="E610" i="30"/>
  <c r="F610" i="30"/>
  <c r="A611" i="30"/>
  <c r="B611" i="30"/>
  <c r="C611" i="30"/>
  <c r="D611" i="30"/>
  <c r="E611" i="30"/>
  <c r="F611" i="30"/>
  <c r="A612" i="30"/>
  <c r="B612" i="30"/>
  <c r="C612" i="30"/>
  <c r="D612" i="30"/>
  <c r="E612" i="30"/>
  <c r="F612" i="30"/>
  <c r="A613" i="30"/>
  <c r="B613" i="30"/>
  <c r="C613" i="30"/>
  <c r="D613" i="30"/>
  <c r="E613" i="30"/>
  <c r="F613" i="30"/>
  <c r="A614" i="30"/>
  <c r="B614" i="30"/>
  <c r="C614" i="30"/>
  <c r="D614" i="30"/>
  <c r="E614" i="30"/>
  <c r="F614" i="30"/>
  <c r="A615" i="30"/>
  <c r="B615" i="30"/>
  <c r="C615" i="30"/>
  <c r="D615" i="30"/>
  <c r="E615" i="30"/>
  <c r="F615" i="30"/>
  <c r="A616" i="30"/>
  <c r="B616" i="30"/>
  <c r="C616" i="30"/>
  <c r="D616" i="30"/>
  <c r="E616" i="30"/>
  <c r="F616" i="30"/>
  <c r="A617" i="30"/>
  <c r="B617" i="30"/>
  <c r="C617" i="30"/>
  <c r="D617" i="30"/>
  <c r="E617" i="30"/>
  <c r="F617" i="30"/>
  <c r="A618" i="30"/>
  <c r="B618" i="30"/>
  <c r="C618" i="30"/>
  <c r="D618" i="30"/>
  <c r="E618" i="30"/>
  <c r="F618" i="30"/>
  <c r="A619" i="30"/>
  <c r="B619" i="30"/>
  <c r="C619" i="30"/>
  <c r="D619" i="30"/>
  <c r="E619" i="30"/>
  <c r="F619" i="30"/>
  <c r="A620" i="30"/>
  <c r="B620" i="30"/>
  <c r="C620" i="30"/>
  <c r="D620" i="30"/>
  <c r="E620" i="30"/>
  <c r="F620" i="30"/>
  <c r="A621" i="30"/>
  <c r="B621" i="30"/>
  <c r="C621" i="30"/>
  <c r="D621" i="30"/>
  <c r="E621" i="30"/>
  <c r="F621" i="30"/>
  <c r="A622" i="30"/>
  <c r="B622" i="30"/>
  <c r="C622" i="30"/>
  <c r="D622" i="30"/>
  <c r="E622" i="30"/>
  <c r="F622" i="30"/>
  <c r="A623" i="30"/>
  <c r="B623" i="30"/>
  <c r="C623" i="30"/>
  <c r="D623" i="30"/>
  <c r="E623" i="30"/>
  <c r="F623" i="30"/>
  <c r="A624" i="30"/>
  <c r="B624" i="30"/>
  <c r="C624" i="30"/>
  <c r="D624" i="30"/>
  <c r="E624" i="30"/>
  <c r="F624" i="30"/>
  <c r="A625" i="30"/>
  <c r="B625" i="30"/>
  <c r="C625" i="30"/>
  <c r="D625" i="30"/>
  <c r="E625" i="30"/>
  <c r="F625" i="30"/>
  <c r="A626" i="30"/>
  <c r="B626" i="30"/>
  <c r="C626" i="30"/>
  <c r="D626" i="30"/>
  <c r="E626" i="30"/>
  <c r="F626" i="30"/>
  <c r="A627" i="30"/>
  <c r="B627" i="30"/>
  <c r="C627" i="30"/>
  <c r="D627" i="30"/>
  <c r="E627" i="30"/>
  <c r="F627" i="30"/>
  <c r="A628" i="30"/>
  <c r="B628" i="30"/>
  <c r="C628" i="30"/>
  <c r="D628" i="30"/>
  <c r="E628" i="30"/>
  <c r="F628" i="30"/>
  <c r="A629" i="30"/>
  <c r="B629" i="30"/>
  <c r="C629" i="30"/>
  <c r="D629" i="30"/>
  <c r="E629" i="30"/>
  <c r="F629" i="30"/>
  <c r="A630" i="30"/>
  <c r="B630" i="30"/>
  <c r="C630" i="30"/>
  <c r="D630" i="30"/>
  <c r="E630" i="30"/>
  <c r="F630" i="30"/>
  <c r="A631" i="30"/>
  <c r="B631" i="30"/>
  <c r="C631" i="30"/>
  <c r="D631" i="30"/>
  <c r="E631" i="30"/>
  <c r="F631" i="30"/>
  <c r="A632" i="30"/>
  <c r="B632" i="30"/>
  <c r="C632" i="30"/>
  <c r="D632" i="30"/>
  <c r="E632" i="30"/>
  <c r="F632" i="30"/>
  <c r="A633" i="30"/>
  <c r="B633" i="30"/>
  <c r="C633" i="30"/>
  <c r="D633" i="30"/>
  <c r="E633" i="30"/>
  <c r="F633" i="30"/>
  <c r="A634" i="30"/>
  <c r="B634" i="30"/>
  <c r="C634" i="30"/>
  <c r="D634" i="30"/>
  <c r="E634" i="30"/>
  <c r="F634" i="30"/>
  <c r="A635" i="30"/>
  <c r="B635" i="30"/>
  <c r="C635" i="30"/>
  <c r="D635" i="30"/>
  <c r="E635" i="30"/>
  <c r="F635" i="30"/>
  <c r="A636" i="30"/>
  <c r="B636" i="30"/>
  <c r="C636" i="30"/>
  <c r="D636" i="30"/>
  <c r="E636" i="30"/>
  <c r="F636" i="30"/>
  <c r="A637" i="30"/>
  <c r="B637" i="30"/>
  <c r="C637" i="30"/>
  <c r="D637" i="30"/>
  <c r="E637" i="30"/>
  <c r="F637" i="30"/>
  <c r="A638" i="30"/>
  <c r="B638" i="30"/>
  <c r="C638" i="30"/>
  <c r="D638" i="30"/>
  <c r="E638" i="30"/>
  <c r="F638" i="30"/>
  <c r="A639" i="30"/>
  <c r="B639" i="30"/>
  <c r="C639" i="30"/>
  <c r="D639" i="30"/>
  <c r="E639" i="30"/>
  <c r="F639" i="30"/>
  <c r="A640" i="30"/>
  <c r="B640" i="30"/>
  <c r="C640" i="30"/>
  <c r="D640" i="30"/>
  <c r="E640" i="30"/>
  <c r="F640" i="30"/>
  <c r="A641" i="30"/>
  <c r="B641" i="30"/>
  <c r="C641" i="30"/>
  <c r="D641" i="30"/>
  <c r="E641" i="30"/>
  <c r="F641" i="30"/>
  <c r="A642" i="30"/>
  <c r="B642" i="30"/>
  <c r="C642" i="30"/>
  <c r="D642" i="30"/>
  <c r="E642" i="30"/>
  <c r="F642" i="30"/>
  <c r="A643" i="30"/>
  <c r="B643" i="30"/>
  <c r="C643" i="30"/>
  <c r="D643" i="30"/>
  <c r="E643" i="30"/>
  <c r="F643" i="30"/>
  <c r="A644" i="30"/>
  <c r="B644" i="30"/>
  <c r="C644" i="30"/>
  <c r="D644" i="30"/>
  <c r="E644" i="30"/>
  <c r="F644" i="30"/>
  <c r="A645" i="30"/>
  <c r="B645" i="30"/>
  <c r="C645" i="30"/>
  <c r="D645" i="30"/>
  <c r="E645" i="30"/>
  <c r="F645" i="30"/>
  <c r="A646" i="30"/>
  <c r="B646" i="30"/>
  <c r="C646" i="30"/>
  <c r="D646" i="30"/>
  <c r="E646" i="30"/>
  <c r="F646" i="30"/>
  <c r="A647" i="30"/>
  <c r="B647" i="30"/>
  <c r="C647" i="30"/>
  <c r="D647" i="30"/>
  <c r="E647" i="30"/>
  <c r="F647" i="30"/>
  <c r="A648" i="30"/>
  <c r="B648" i="30"/>
  <c r="C648" i="30"/>
  <c r="D648" i="30"/>
  <c r="E648" i="30"/>
  <c r="F648" i="30"/>
  <c r="A649" i="30"/>
  <c r="B649" i="30"/>
  <c r="C649" i="30"/>
  <c r="D649" i="30"/>
  <c r="E649" i="30"/>
  <c r="F649" i="30"/>
  <c r="A650" i="30"/>
  <c r="B650" i="30"/>
  <c r="C650" i="30"/>
  <c r="D650" i="30"/>
  <c r="E650" i="30"/>
  <c r="F650" i="30"/>
  <c r="A651" i="30"/>
  <c r="B651" i="30"/>
  <c r="C651" i="30"/>
  <c r="D651" i="30"/>
  <c r="E651" i="30"/>
  <c r="F651" i="30"/>
  <c r="A652" i="30"/>
  <c r="B652" i="30"/>
  <c r="C652" i="30"/>
  <c r="D652" i="30"/>
  <c r="E652" i="30"/>
  <c r="F652" i="30"/>
  <c r="A653" i="30"/>
  <c r="B653" i="30"/>
  <c r="C653" i="30"/>
  <c r="D653" i="30"/>
  <c r="E653" i="30"/>
  <c r="F653" i="30"/>
  <c r="A654" i="30"/>
  <c r="B654" i="30"/>
  <c r="C654" i="30"/>
  <c r="D654" i="30"/>
  <c r="E654" i="30"/>
  <c r="F654" i="30"/>
  <c r="A655" i="30"/>
  <c r="B655" i="30"/>
  <c r="C655" i="30"/>
  <c r="D655" i="30"/>
  <c r="E655" i="30"/>
  <c r="F655" i="30"/>
  <c r="A656" i="30"/>
  <c r="B656" i="30"/>
  <c r="C656" i="30"/>
  <c r="D656" i="30"/>
  <c r="E656" i="30"/>
  <c r="F656" i="30"/>
  <c r="A657" i="30"/>
  <c r="B657" i="30"/>
  <c r="C657" i="30"/>
  <c r="D657" i="30"/>
  <c r="E657" i="30"/>
  <c r="F657" i="30"/>
  <c r="A658" i="30"/>
  <c r="B658" i="30"/>
  <c r="C658" i="30"/>
  <c r="D658" i="30"/>
  <c r="E658" i="30"/>
  <c r="F658" i="30"/>
  <c r="A659" i="30"/>
  <c r="B659" i="30"/>
  <c r="C659" i="30"/>
  <c r="D659" i="30"/>
  <c r="E659" i="30"/>
  <c r="F659" i="30"/>
  <c r="A660" i="30"/>
  <c r="B660" i="30"/>
  <c r="C660" i="30"/>
  <c r="D660" i="30"/>
  <c r="E660" i="30"/>
  <c r="F660" i="30"/>
  <c r="A661" i="30"/>
  <c r="B661" i="30"/>
  <c r="C661" i="30"/>
  <c r="D661" i="30"/>
  <c r="E661" i="30"/>
  <c r="F661" i="30"/>
  <c r="A662" i="30"/>
  <c r="B662" i="30"/>
  <c r="C662" i="30"/>
  <c r="D662" i="30"/>
  <c r="E662" i="30"/>
  <c r="F662" i="30"/>
  <c r="A663" i="30"/>
  <c r="B663" i="30"/>
  <c r="C663" i="30"/>
  <c r="D663" i="30"/>
  <c r="E663" i="30"/>
  <c r="F663" i="30"/>
  <c r="A664" i="30"/>
  <c r="B664" i="30"/>
  <c r="C664" i="30"/>
  <c r="D664" i="30"/>
  <c r="E664" i="30"/>
  <c r="F664" i="30"/>
  <c r="A665" i="30"/>
  <c r="B665" i="30"/>
  <c r="C665" i="30"/>
  <c r="D665" i="30"/>
  <c r="E665" i="30"/>
  <c r="F665" i="30"/>
  <c r="A666" i="30"/>
  <c r="B666" i="30"/>
  <c r="C666" i="30"/>
  <c r="D666" i="30"/>
  <c r="E666" i="30"/>
  <c r="F666" i="30"/>
  <c r="A667" i="30"/>
  <c r="B667" i="30"/>
  <c r="C667" i="30"/>
  <c r="D667" i="30"/>
  <c r="E667" i="30"/>
  <c r="F667" i="30"/>
  <c r="A668" i="30"/>
  <c r="B668" i="30"/>
  <c r="C668" i="30"/>
  <c r="D668" i="30"/>
  <c r="E668" i="30"/>
  <c r="F668" i="30"/>
  <c r="A669" i="30"/>
  <c r="B669" i="30"/>
  <c r="C669" i="30"/>
  <c r="D669" i="30"/>
  <c r="E669" i="30"/>
  <c r="F669" i="30"/>
  <c r="A670" i="30"/>
  <c r="B670" i="30"/>
  <c r="C670" i="30"/>
  <c r="D670" i="30"/>
  <c r="E670" i="30"/>
  <c r="F670" i="30"/>
  <c r="A671" i="30"/>
  <c r="B671" i="30"/>
  <c r="C671" i="30"/>
  <c r="D671" i="30"/>
  <c r="E671" i="30"/>
  <c r="F671" i="30"/>
  <c r="A672" i="30"/>
  <c r="B672" i="30"/>
  <c r="C672" i="30"/>
  <c r="D672" i="30"/>
  <c r="E672" i="30"/>
  <c r="F672" i="30"/>
  <c r="A673" i="30"/>
  <c r="B673" i="30"/>
  <c r="C673" i="30"/>
  <c r="D673" i="30"/>
  <c r="E673" i="30"/>
  <c r="F673" i="30"/>
  <c r="A674" i="30"/>
  <c r="B674" i="30"/>
  <c r="C674" i="30"/>
  <c r="D674" i="30"/>
  <c r="E674" i="30"/>
  <c r="F674" i="30"/>
  <c r="A675" i="30"/>
  <c r="B675" i="30"/>
  <c r="C675" i="30"/>
  <c r="D675" i="30"/>
  <c r="E675" i="30"/>
  <c r="F675" i="30"/>
  <c r="A676" i="30"/>
  <c r="B676" i="30"/>
  <c r="C676" i="30"/>
  <c r="D676" i="30"/>
  <c r="E676" i="30"/>
  <c r="F676" i="30"/>
  <c r="A677" i="30"/>
  <c r="B677" i="30"/>
  <c r="C677" i="30"/>
  <c r="D677" i="30"/>
  <c r="E677" i="30"/>
  <c r="F677" i="30"/>
  <c r="A678" i="30"/>
  <c r="B678" i="30"/>
  <c r="C678" i="30"/>
  <c r="D678" i="30"/>
  <c r="E678" i="30"/>
  <c r="F678" i="30"/>
  <c r="A679" i="30"/>
  <c r="B679" i="30"/>
  <c r="C679" i="30"/>
  <c r="D679" i="30"/>
  <c r="E679" i="30"/>
  <c r="F679" i="30"/>
  <c r="A680" i="30"/>
  <c r="B680" i="30"/>
  <c r="C680" i="30"/>
  <c r="D680" i="30"/>
  <c r="E680" i="30"/>
  <c r="F680" i="30"/>
  <c r="A681" i="30"/>
  <c r="B681" i="30"/>
  <c r="C681" i="30"/>
  <c r="D681" i="30"/>
  <c r="E681" i="30"/>
  <c r="F681" i="30"/>
  <c r="A682" i="30"/>
  <c r="B682" i="30"/>
  <c r="C682" i="30"/>
  <c r="D682" i="30"/>
  <c r="E682" i="30"/>
  <c r="F682" i="30"/>
  <c r="A683" i="30"/>
  <c r="B683" i="30"/>
  <c r="C683" i="30"/>
  <c r="D683" i="30"/>
  <c r="E683" i="30"/>
  <c r="F683" i="30"/>
  <c r="A684" i="30"/>
  <c r="B684" i="30"/>
  <c r="C684" i="30"/>
  <c r="D684" i="30"/>
  <c r="E684" i="30"/>
  <c r="F684" i="30"/>
  <c r="A685" i="30"/>
  <c r="B685" i="30"/>
  <c r="C685" i="30"/>
  <c r="D685" i="30"/>
  <c r="E685" i="30"/>
  <c r="F685" i="30"/>
  <c r="A686" i="30"/>
  <c r="B686" i="30"/>
  <c r="C686" i="30"/>
  <c r="D686" i="30"/>
  <c r="E686" i="30"/>
  <c r="F686" i="30"/>
  <c r="A687" i="30"/>
  <c r="B687" i="30"/>
  <c r="C687" i="30"/>
  <c r="D687" i="30"/>
  <c r="E687" i="30"/>
  <c r="F687" i="30"/>
  <c r="A688" i="30"/>
  <c r="B688" i="30"/>
  <c r="C688" i="30"/>
  <c r="D688" i="30"/>
  <c r="E688" i="30"/>
  <c r="F688" i="30"/>
  <c r="A689" i="30"/>
  <c r="B689" i="30"/>
  <c r="C689" i="30"/>
  <c r="D689" i="30"/>
  <c r="E689" i="30"/>
  <c r="F689" i="30"/>
  <c r="A690" i="30"/>
  <c r="B690" i="30"/>
  <c r="C690" i="30"/>
  <c r="D690" i="30"/>
  <c r="E690" i="30"/>
  <c r="F690" i="30"/>
  <c r="A691" i="30"/>
  <c r="B691" i="30"/>
  <c r="C691" i="30"/>
  <c r="D691" i="30"/>
  <c r="E691" i="30"/>
  <c r="F691" i="30"/>
  <c r="A692" i="30"/>
  <c r="B692" i="30"/>
  <c r="C692" i="30"/>
  <c r="D692" i="30"/>
  <c r="E692" i="30"/>
  <c r="F692" i="30"/>
  <c r="A693" i="30"/>
  <c r="B693" i="30"/>
  <c r="C693" i="30"/>
  <c r="D693" i="30"/>
  <c r="E693" i="30"/>
  <c r="F693" i="30"/>
  <c r="A694" i="30"/>
  <c r="B694" i="30"/>
  <c r="C694" i="30"/>
  <c r="D694" i="30"/>
  <c r="E694" i="30"/>
  <c r="F694" i="30"/>
  <c r="A695" i="30"/>
  <c r="B695" i="30"/>
  <c r="C695" i="30"/>
  <c r="D695" i="30"/>
  <c r="E695" i="30"/>
  <c r="F695" i="30"/>
  <c r="A696" i="30"/>
  <c r="B696" i="30"/>
  <c r="C696" i="30"/>
  <c r="D696" i="30"/>
  <c r="E696" i="30"/>
  <c r="F696" i="30"/>
  <c r="A697" i="30"/>
  <c r="B697" i="30"/>
  <c r="C697" i="30"/>
  <c r="D697" i="30"/>
  <c r="E697" i="30"/>
  <c r="F697" i="30"/>
  <c r="A698" i="30"/>
  <c r="B698" i="30"/>
  <c r="C698" i="30"/>
  <c r="D698" i="30"/>
  <c r="E698" i="30"/>
  <c r="F698" i="30"/>
  <c r="A699" i="30"/>
  <c r="B699" i="30"/>
  <c r="C699" i="30"/>
  <c r="D699" i="30"/>
  <c r="E699" i="30"/>
  <c r="F699" i="30"/>
  <c r="A700" i="30"/>
  <c r="B700" i="30"/>
  <c r="C700" i="30"/>
  <c r="D700" i="30"/>
  <c r="E700" i="30"/>
  <c r="F700" i="30"/>
  <c r="A701" i="30"/>
  <c r="B701" i="30"/>
  <c r="C701" i="30"/>
  <c r="D701" i="30"/>
  <c r="E701" i="30"/>
  <c r="F701" i="30"/>
  <c r="A702" i="30"/>
  <c r="B702" i="30"/>
  <c r="C702" i="30"/>
  <c r="D702" i="30"/>
  <c r="E702" i="30"/>
  <c r="F702" i="30"/>
  <c r="A703" i="30"/>
  <c r="B703" i="30"/>
  <c r="C703" i="30"/>
  <c r="D703" i="30"/>
  <c r="E703" i="30"/>
  <c r="F703" i="30"/>
  <c r="A704" i="30"/>
  <c r="B704" i="30"/>
  <c r="C704" i="30"/>
  <c r="D704" i="30"/>
  <c r="E704" i="30"/>
  <c r="F704" i="30"/>
  <c r="A705" i="30"/>
  <c r="B705" i="30"/>
  <c r="C705" i="30"/>
  <c r="D705" i="30"/>
  <c r="E705" i="30"/>
  <c r="F705" i="30"/>
  <c r="A706" i="30"/>
  <c r="B706" i="30"/>
  <c r="C706" i="30"/>
  <c r="D706" i="30"/>
  <c r="E706" i="30"/>
  <c r="F706" i="30"/>
  <c r="A707" i="30"/>
  <c r="B707" i="30"/>
  <c r="C707" i="30"/>
  <c r="D707" i="30"/>
  <c r="E707" i="30"/>
  <c r="F707" i="30"/>
  <c r="A708" i="30"/>
  <c r="B708" i="30"/>
  <c r="C708" i="30"/>
  <c r="D708" i="30"/>
  <c r="E708" i="30"/>
  <c r="F708" i="30"/>
  <c r="A709" i="30"/>
  <c r="B709" i="30"/>
  <c r="C709" i="30"/>
  <c r="D709" i="30"/>
  <c r="E709" i="30"/>
  <c r="F709" i="30"/>
  <c r="A710" i="30"/>
  <c r="B710" i="30"/>
  <c r="C710" i="30"/>
  <c r="D710" i="30"/>
  <c r="E710" i="30"/>
  <c r="F710" i="30"/>
  <c r="A711" i="30"/>
  <c r="B711" i="30"/>
  <c r="C711" i="30"/>
  <c r="D711" i="30"/>
  <c r="E711" i="30"/>
  <c r="F711" i="30"/>
  <c r="A712" i="30"/>
  <c r="B712" i="30"/>
  <c r="C712" i="30"/>
  <c r="D712" i="30"/>
  <c r="E712" i="30"/>
  <c r="F712" i="30"/>
  <c r="A713" i="30"/>
  <c r="B713" i="30"/>
  <c r="C713" i="30"/>
  <c r="D713" i="30"/>
  <c r="E713" i="30"/>
  <c r="F713" i="30"/>
  <c r="A714" i="30"/>
  <c r="B714" i="30"/>
  <c r="C714" i="30"/>
  <c r="D714" i="30"/>
  <c r="E714" i="30"/>
  <c r="F714" i="30"/>
  <c r="A715" i="30"/>
  <c r="B715" i="30"/>
  <c r="C715" i="30"/>
  <c r="D715" i="30"/>
  <c r="E715" i="30"/>
  <c r="F715" i="30"/>
  <c r="A716" i="30"/>
  <c r="B716" i="30"/>
  <c r="C716" i="30"/>
  <c r="D716" i="30"/>
  <c r="E716" i="30"/>
  <c r="F716" i="30"/>
  <c r="A717" i="30"/>
  <c r="B717" i="30"/>
  <c r="C717" i="30"/>
  <c r="D717" i="30"/>
  <c r="E717" i="30"/>
  <c r="F717" i="30"/>
  <c r="A718" i="30"/>
  <c r="B718" i="30"/>
  <c r="C718" i="30"/>
  <c r="D718" i="30"/>
  <c r="E718" i="30"/>
  <c r="F718" i="30"/>
  <c r="A719" i="30"/>
  <c r="B719" i="30"/>
  <c r="C719" i="30"/>
  <c r="D719" i="30"/>
  <c r="E719" i="30"/>
  <c r="F719" i="30"/>
  <c r="A720" i="30"/>
  <c r="B720" i="30"/>
  <c r="C720" i="30"/>
  <c r="D720" i="30"/>
  <c r="E720" i="30"/>
  <c r="F720" i="30"/>
  <c r="A721" i="30"/>
  <c r="B721" i="30"/>
  <c r="C721" i="30"/>
  <c r="D721" i="30"/>
  <c r="E721" i="30"/>
  <c r="F721" i="30"/>
  <c r="A722" i="30"/>
  <c r="B722" i="30"/>
  <c r="C722" i="30"/>
  <c r="D722" i="30"/>
  <c r="E722" i="30"/>
  <c r="F722" i="30"/>
  <c r="A723" i="30"/>
  <c r="B723" i="30"/>
  <c r="C723" i="30"/>
  <c r="D723" i="30"/>
  <c r="E723" i="30"/>
  <c r="F723" i="30"/>
  <c r="A724" i="30"/>
  <c r="B724" i="30"/>
  <c r="C724" i="30"/>
  <c r="D724" i="30"/>
  <c r="E724" i="30"/>
  <c r="F724" i="30"/>
  <c r="A725" i="30"/>
  <c r="B725" i="30"/>
  <c r="C725" i="30"/>
  <c r="D725" i="30"/>
  <c r="E725" i="30"/>
  <c r="F725" i="30"/>
  <c r="A726" i="30"/>
  <c r="B726" i="30"/>
  <c r="C726" i="30"/>
  <c r="D726" i="30"/>
  <c r="E726" i="30"/>
  <c r="F726" i="30"/>
  <c r="A727" i="30"/>
  <c r="B727" i="30"/>
  <c r="C727" i="30"/>
  <c r="D727" i="30"/>
  <c r="E727" i="30"/>
  <c r="F727" i="30"/>
  <c r="A728" i="30"/>
  <c r="B728" i="30"/>
  <c r="C728" i="30"/>
  <c r="D728" i="30"/>
  <c r="E728" i="30"/>
  <c r="F728" i="30"/>
  <c r="A729" i="30"/>
  <c r="B729" i="30"/>
  <c r="C729" i="30"/>
  <c r="D729" i="30"/>
  <c r="E729" i="30"/>
  <c r="F729" i="30"/>
  <c r="A730" i="30"/>
  <c r="B730" i="30"/>
  <c r="C730" i="30"/>
  <c r="D730" i="30"/>
  <c r="E730" i="30"/>
  <c r="F730" i="30"/>
  <c r="A731" i="30"/>
  <c r="B731" i="30"/>
  <c r="C731" i="30"/>
  <c r="D731" i="30"/>
  <c r="E731" i="30"/>
  <c r="F731" i="30"/>
  <c r="A732" i="30"/>
  <c r="B732" i="30"/>
  <c r="C732" i="30"/>
  <c r="D732" i="30"/>
  <c r="E732" i="30"/>
  <c r="F732" i="30"/>
  <c r="A733" i="30"/>
  <c r="B733" i="30"/>
  <c r="C733" i="30"/>
  <c r="D733" i="30"/>
  <c r="E733" i="30"/>
  <c r="F733" i="30"/>
  <c r="A734" i="30"/>
  <c r="B734" i="30"/>
  <c r="C734" i="30"/>
  <c r="D734" i="30"/>
  <c r="E734" i="30"/>
  <c r="F734" i="30"/>
  <c r="A735" i="30"/>
  <c r="B735" i="30"/>
  <c r="C735" i="30"/>
  <c r="D735" i="30"/>
  <c r="E735" i="30"/>
  <c r="F735" i="30"/>
  <c r="A736" i="30"/>
  <c r="B736" i="30"/>
  <c r="C736" i="30"/>
  <c r="D736" i="30"/>
  <c r="E736" i="30"/>
  <c r="F736" i="30"/>
  <c r="A737" i="30"/>
  <c r="B737" i="30"/>
  <c r="C737" i="30"/>
  <c r="D737" i="30"/>
  <c r="E737" i="30"/>
  <c r="F737" i="30"/>
  <c r="A738" i="30"/>
  <c r="B738" i="30"/>
  <c r="C738" i="30"/>
  <c r="D738" i="30"/>
  <c r="E738" i="30"/>
  <c r="F738" i="30"/>
  <c r="A739" i="30"/>
  <c r="B739" i="30"/>
  <c r="C739" i="30"/>
  <c r="D739" i="30"/>
  <c r="E739" i="30"/>
  <c r="F739" i="30"/>
  <c r="A740" i="30"/>
  <c r="B740" i="30"/>
  <c r="C740" i="30"/>
  <c r="D740" i="30"/>
  <c r="E740" i="30"/>
  <c r="F740" i="30"/>
  <c r="A741" i="30"/>
  <c r="B741" i="30"/>
  <c r="C741" i="30"/>
  <c r="D741" i="30"/>
  <c r="E741" i="30"/>
  <c r="F741" i="30"/>
  <c r="A742" i="30"/>
  <c r="B742" i="30"/>
  <c r="C742" i="30"/>
  <c r="D742" i="30"/>
  <c r="E742" i="30"/>
  <c r="F742" i="30"/>
  <c r="A743" i="30"/>
  <c r="B743" i="30"/>
  <c r="C743" i="30"/>
  <c r="D743" i="30"/>
  <c r="E743" i="30"/>
  <c r="F743" i="30"/>
  <c r="A744" i="30"/>
  <c r="B744" i="30"/>
  <c r="C744" i="30"/>
  <c r="D744" i="30"/>
  <c r="E744" i="30"/>
  <c r="F744" i="30"/>
  <c r="A745" i="30"/>
  <c r="B745" i="30"/>
  <c r="C745" i="30"/>
  <c r="D745" i="30"/>
  <c r="E745" i="30"/>
  <c r="F745" i="30"/>
  <c r="A746" i="30"/>
  <c r="B746" i="30"/>
  <c r="C746" i="30"/>
  <c r="D746" i="30"/>
  <c r="E746" i="30"/>
  <c r="F746" i="30"/>
  <c r="A747" i="30"/>
  <c r="B747" i="30"/>
  <c r="C747" i="30"/>
  <c r="D747" i="30"/>
  <c r="E747" i="30"/>
  <c r="F747" i="30"/>
  <c r="A748" i="30"/>
  <c r="B748" i="30"/>
  <c r="C748" i="30"/>
  <c r="D748" i="30"/>
  <c r="E748" i="30"/>
  <c r="F748" i="30"/>
  <c r="A749" i="30"/>
  <c r="B749" i="30"/>
  <c r="C749" i="30"/>
  <c r="D749" i="30"/>
  <c r="E749" i="30"/>
  <c r="F749" i="30"/>
  <c r="A750" i="30"/>
  <c r="B750" i="30"/>
  <c r="C750" i="30"/>
  <c r="D750" i="30"/>
  <c r="E750" i="30"/>
  <c r="F750" i="30"/>
  <c r="A751" i="30"/>
  <c r="B751" i="30"/>
  <c r="C751" i="30"/>
  <c r="D751" i="30"/>
  <c r="E751" i="30"/>
  <c r="F751" i="30"/>
  <c r="A752" i="30"/>
  <c r="B752" i="30"/>
  <c r="C752" i="30"/>
  <c r="D752" i="30"/>
  <c r="E752" i="30"/>
  <c r="F752" i="30"/>
  <c r="A753" i="30"/>
  <c r="B753" i="30"/>
  <c r="C753" i="30"/>
  <c r="D753" i="30"/>
  <c r="E753" i="30"/>
  <c r="F753" i="30"/>
  <c r="A754" i="30"/>
  <c r="B754" i="30"/>
  <c r="C754" i="30"/>
  <c r="D754" i="30"/>
  <c r="E754" i="30"/>
  <c r="F754" i="30"/>
  <c r="A755" i="30"/>
  <c r="B755" i="30"/>
  <c r="C755" i="30"/>
  <c r="D755" i="30"/>
  <c r="E755" i="30"/>
  <c r="F755" i="30"/>
  <c r="A756" i="30"/>
  <c r="B756" i="30"/>
  <c r="C756" i="30"/>
  <c r="D756" i="30"/>
  <c r="E756" i="30"/>
  <c r="F756" i="30"/>
  <c r="A757" i="30"/>
  <c r="B757" i="30"/>
  <c r="C757" i="30"/>
  <c r="D757" i="30"/>
  <c r="E757" i="30"/>
  <c r="F757" i="30"/>
  <c r="A758" i="30"/>
  <c r="B758" i="30"/>
  <c r="C758" i="30"/>
  <c r="D758" i="30"/>
  <c r="E758" i="30"/>
  <c r="F758" i="30"/>
  <c r="A759" i="30"/>
  <c r="B759" i="30"/>
  <c r="C759" i="30"/>
  <c r="D759" i="30"/>
  <c r="E759" i="30"/>
  <c r="F759" i="30"/>
  <c r="A760" i="30"/>
  <c r="B760" i="30"/>
  <c r="C760" i="30"/>
  <c r="D760" i="30"/>
  <c r="E760" i="30"/>
  <c r="F760" i="30"/>
  <c r="A761" i="30"/>
  <c r="B761" i="30"/>
  <c r="C761" i="30"/>
  <c r="D761" i="30"/>
  <c r="E761" i="30"/>
  <c r="F761" i="30"/>
  <c r="A762" i="30"/>
  <c r="B762" i="30"/>
  <c r="C762" i="30"/>
  <c r="D762" i="30"/>
  <c r="E762" i="30"/>
  <c r="F762" i="30"/>
  <c r="A763" i="30"/>
  <c r="B763" i="30"/>
  <c r="C763" i="30"/>
  <c r="D763" i="30"/>
  <c r="E763" i="30"/>
  <c r="F763" i="30"/>
  <c r="A764" i="30"/>
  <c r="B764" i="30"/>
  <c r="C764" i="30"/>
  <c r="D764" i="30"/>
  <c r="E764" i="30"/>
  <c r="F764" i="30"/>
  <c r="A765" i="30"/>
  <c r="B765" i="30"/>
  <c r="C765" i="30"/>
  <c r="D765" i="30"/>
  <c r="E765" i="30"/>
  <c r="F765" i="30"/>
  <c r="A766" i="30"/>
  <c r="B766" i="30"/>
  <c r="C766" i="30"/>
  <c r="D766" i="30"/>
  <c r="E766" i="30"/>
  <c r="F766" i="30"/>
  <c r="A767" i="30"/>
  <c r="B767" i="30"/>
  <c r="C767" i="30"/>
  <c r="D767" i="30"/>
  <c r="E767" i="30"/>
  <c r="F767" i="30"/>
  <c r="A768" i="30"/>
  <c r="B768" i="30"/>
  <c r="C768" i="30"/>
  <c r="D768" i="30"/>
  <c r="E768" i="30"/>
  <c r="F768" i="30"/>
  <c r="A769" i="30"/>
  <c r="B769" i="30"/>
  <c r="C769" i="30"/>
  <c r="D769" i="30"/>
  <c r="E769" i="30"/>
  <c r="F769" i="30"/>
  <c r="A770" i="30"/>
  <c r="B770" i="30"/>
  <c r="C770" i="30"/>
  <c r="D770" i="30"/>
  <c r="E770" i="30"/>
  <c r="F770" i="30"/>
  <c r="A771" i="30"/>
  <c r="B771" i="30"/>
  <c r="C771" i="30"/>
  <c r="D771" i="30"/>
  <c r="E771" i="30"/>
  <c r="F771" i="30"/>
  <c r="A772" i="30"/>
  <c r="B772" i="30"/>
  <c r="C772" i="30"/>
  <c r="D772" i="30"/>
  <c r="E772" i="30"/>
  <c r="F772" i="30"/>
  <c r="A773" i="30"/>
  <c r="B773" i="30"/>
  <c r="C773" i="30"/>
  <c r="D773" i="30"/>
  <c r="E773" i="30"/>
  <c r="F773" i="30"/>
  <c r="A774" i="30"/>
  <c r="B774" i="30"/>
  <c r="C774" i="30"/>
  <c r="D774" i="30"/>
  <c r="E774" i="30"/>
  <c r="F774" i="30"/>
  <c r="A775" i="30"/>
  <c r="B775" i="30"/>
  <c r="C775" i="30"/>
  <c r="D775" i="30"/>
  <c r="E775" i="30"/>
  <c r="F775" i="30"/>
  <c r="A776" i="30"/>
  <c r="B776" i="30"/>
  <c r="C776" i="30"/>
  <c r="D776" i="30"/>
  <c r="E776" i="30"/>
  <c r="F776" i="30"/>
  <c r="A777" i="30"/>
  <c r="B777" i="30"/>
  <c r="C777" i="30"/>
  <c r="D777" i="30"/>
  <c r="E777" i="30"/>
  <c r="F777" i="30"/>
  <c r="A778" i="30"/>
  <c r="B778" i="30"/>
  <c r="C778" i="30"/>
  <c r="D778" i="30"/>
  <c r="E778" i="30"/>
  <c r="F778" i="30"/>
  <c r="A779" i="30"/>
  <c r="B779" i="30"/>
  <c r="C779" i="30"/>
  <c r="D779" i="30"/>
  <c r="E779" i="30"/>
  <c r="F779" i="30"/>
  <c r="A780" i="30"/>
  <c r="B780" i="30"/>
  <c r="C780" i="30"/>
  <c r="D780" i="30"/>
  <c r="E780" i="30"/>
  <c r="F780" i="30"/>
  <c r="A781" i="30"/>
  <c r="B781" i="30"/>
  <c r="C781" i="30"/>
  <c r="D781" i="30"/>
  <c r="E781" i="30"/>
  <c r="F781" i="30"/>
  <c r="A782" i="30"/>
  <c r="B782" i="30"/>
  <c r="C782" i="30"/>
  <c r="D782" i="30"/>
  <c r="E782" i="30"/>
  <c r="F782" i="30"/>
  <c r="A783" i="30"/>
  <c r="B783" i="30"/>
  <c r="C783" i="30"/>
  <c r="D783" i="30"/>
  <c r="E783" i="30"/>
  <c r="F783" i="30"/>
  <c r="A784" i="30"/>
  <c r="B784" i="30"/>
  <c r="C784" i="30"/>
  <c r="D784" i="30"/>
  <c r="E784" i="30"/>
  <c r="F784" i="30"/>
  <c r="A785" i="30"/>
  <c r="B785" i="30"/>
  <c r="C785" i="30"/>
  <c r="D785" i="30"/>
  <c r="E785" i="30"/>
  <c r="F785" i="30"/>
  <c r="A786" i="30"/>
  <c r="B786" i="30"/>
  <c r="C786" i="30"/>
  <c r="D786" i="30"/>
  <c r="E786" i="30"/>
  <c r="F786" i="30"/>
  <c r="A787" i="30"/>
  <c r="B787" i="30"/>
  <c r="C787" i="30"/>
  <c r="D787" i="30"/>
  <c r="E787" i="30"/>
  <c r="F787" i="30"/>
  <c r="A788" i="30"/>
  <c r="B788" i="30"/>
  <c r="C788" i="30"/>
  <c r="D788" i="30"/>
  <c r="E788" i="30"/>
  <c r="F788" i="30"/>
  <c r="A789" i="30"/>
  <c r="B789" i="30"/>
  <c r="C789" i="30"/>
  <c r="D789" i="30"/>
  <c r="E789" i="30"/>
  <c r="F789" i="30"/>
  <c r="A790" i="30"/>
  <c r="B790" i="30"/>
  <c r="C790" i="30"/>
  <c r="D790" i="30"/>
  <c r="E790" i="30"/>
  <c r="F790" i="30"/>
  <c r="A791" i="30"/>
  <c r="B791" i="30"/>
  <c r="C791" i="30"/>
  <c r="D791" i="30"/>
  <c r="E791" i="30"/>
  <c r="F791" i="30"/>
  <c r="A792" i="30"/>
  <c r="B792" i="30"/>
  <c r="C792" i="30"/>
  <c r="D792" i="30"/>
  <c r="E792" i="30"/>
  <c r="F792" i="30"/>
  <c r="A793" i="30"/>
  <c r="B793" i="30"/>
  <c r="C793" i="30"/>
  <c r="D793" i="30"/>
  <c r="E793" i="30"/>
  <c r="F793" i="30"/>
  <c r="A794" i="30"/>
  <c r="B794" i="30"/>
  <c r="C794" i="30"/>
  <c r="D794" i="30"/>
  <c r="E794" i="30"/>
  <c r="F794" i="30"/>
  <c r="A795" i="30"/>
  <c r="B795" i="30"/>
  <c r="C795" i="30"/>
  <c r="D795" i="30"/>
  <c r="E795" i="30"/>
  <c r="F795" i="30"/>
  <c r="A796" i="30"/>
  <c r="B796" i="30"/>
  <c r="C796" i="30"/>
  <c r="D796" i="30"/>
  <c r="E796" i="30"/>
  <c r="F796" i="30"/>
  <c r="A797" i="30"/>
  <c r="B797" i="30"/>
  <c r="C797" i="30"/>
  <c r="D797" i="30"/>
  <c r="E797" i="30"/>
  <c r="F797" i="30"/>
  <c r="A798" i="30"/>
  <c r="B798" i="30"/>
  <c r="C798" i="30"/>
  <c r="D798" i="30"/>
  <c r="E798" i="30"/>
  <c r="F798" i="30"/>
  <c r="A799" i="30"/>
  <c r="B799" i="30"/>
  <c r="C799" i="30"/>
  <c r="D799" i="30"/>
  <c r="E799" i="30"/>
  <c r="F799" i="30"/>
  <c r="A800" i="30"/>
  <c r="B800" i="30"/>
  <c r="C800" i="30"/>
  <c r="D800" i="30"/>
  <c r="E800" i="30"/>
  <c r="F800" i="30"/>
  <c r="A801" i="30"/>
  <c r="B801" i="30"/>
  <c r="C801" i="30"/>
  <c r="D801" i="30"/>
  <c r="E801" i="30"/>
  <c r="F801" i="30"/>
  <c r="A802" i="30"/>
  <c r="B802" i="30"/>
  <c r="C802" i="30"/>
  <c r="D802" i="30"/>
  <c r="E802" i="30"/>
  <c r="F802" i="30"/>
  <c r="A803" i="30"/>
  <c r="B803" i="30"/>
  <c r="C803" i="30"/>
  <c r="D803" i="30"/>
  <c r="E803" i="30"/>
  <c r="F803" i="30"/>
  <c r="A804" i="30"/>
  <c r="B804" i="30"/>
  <c r="C804" i="30"/>
  <c r="D804" i="30"/>
  <c r="E804" i="30"/>
  <c r="F804" i="30"/>
  <c r="A805" i="30"/>
  <c r="B805" i="30"/>
  <c r="C805" i="30"/>
  <c r="D805" i="30"/>
  <c r="E805" i="30"/>
  <c r="F805" i="30"/>
  <c r="A806" i="30"/>
  <c r="B806" i="30"/>
  <c r="C806" i="30"/>
  <c r="D806" i="30"/>
  <c r="E806" i="30"/>
  <c r="F806" i="30"/>
  <c r="A807" i="30"/>
  <c r="B807" i="30"/>
  <c r="C807" i="30"/>
  <c r="D807" i="30"/>
  <c r="E807" i="30"/>
  <c r="F807" i="30"/>
  <c r="A808" i="30"/>
  <c r="B808" i="30"/>
  <c r="C808" i="30"/>
  <c r="D808" i="30"/>
  <c r="E808" i="30"/>
  <c r="F808" i="30"/>
  <c r="A809" i="30"/>
  <c r="B809" i="30"/>
  <c r="C809" i="30"/>
  <c r="D809" i="30"/>
  <c r="E809" i="30"/>
  <c r="F809" i="30"/>
  <c r="A810" i="30"/>
  <c r="B810" i="30"/>
  <c r="C810" i="30"/>
  <c r="D810" i="30"/>
  <c r="E810" i="30"/>
  <c r="F810" i="30"/>
  <c r="A811" i="30"/>
  <c r="B811" i="30"/>
  <c r="C811" i="30"/>
  <c r="D811" i="30"/>
  <c r="E811" i="30"/>
  <c r="F811" i="30"/>
  <c r="A812" i="30"/>
  <c r="B812" i="30"/>
  <c r="C812" i="30"/>
  <c r="D812" i="30"/>
  <c r="E812" i="30"/>
  <c r="F812" i="30"/>
  <c r="A813" i="30"/>
  <c r="B813" i="30"/>
  <c r="C813" i="30"/>
  <c r="D813" i="30"/>
  <c r="E813" i="30"/>
  <c r="F813" i="30"/>
  <c r="A814" i="30"/>
  <c r="B814" i="30"/>
  <c r="C814" i="30"/>
  <c r="D814" i="30"/>
  <c r="E814" i="30"/>
  <c r="F814" i="30"/>
  <c r="A815" i="30"/>
  <c r="B815" i="30"/>
  <c r="C815" i="30"/>
  <c r="D815" i="30"/>
  <c r="E815" i="30"/>
  <c r="F815" i="30"/>
  <c r="A816" i="30"/>
  <c r="B816" i="30"/>
  <c r="C816" i="30"/>
  <c r="D816" i="30"/>
  <c r="E816" i="30"/>
  <c r="F816" i="30"/>
  <c r="A817" i="30"/>
  <c r="B817" i="30"/>
  <c r="C817" i="30"/>
  <c r="D817" i="30"/>
  <c r="E817" i="30"/>
  <c r="F817" i="30"/>
  <c r="A818" i="30"/>
  <c r="B818" i="30"/>
  <c r="C818" i="30"/>
  <c r="D818" i="30"/>
  <c r="E818" i="30"/>
  <c r="F818" i="30"/>
  <c r="A819" i="30"/>
  <c r="B819" i="30"/>
  <c r="C819" i="30"/>
  <c r="D819" i="30"/>
  <c r="E819" i="30"/>
  <c r="F819" i="30"/>
  <c r="A820" i="30"/>
  <c r="B820" i="30"/>
  <c r="C820" i="30"/>
  <c r="D820" i="30"/>
  <c r="E820" i="30"/>
  <c r="F820" i="30"/>
  <c r="A821" i="30"/>
  <c r="B821" i="30"/>
  <c r="C821" i="30"/>
  <c r="D821" i="30"/>
  <c r="E821" i="30"/>
  <c r="F821" i="30"/>
  <c r="A822" i="30"/>
  <c r="B822" i="30"/>
  <c r="C822" i="30"/>
  <c r="D822" i="30"/>
  <c r="E822" i="30"/>
  <c r="F822" i="30"/>
  <c r="A823" i="30"/>
  <c r="B823" i="30"/>
  <c r="C823" i="30"/>
  <c r="D823" i="30"/>
  <c r="E823" i="30"/>
  <c r="F823" i="30"/>
  <c r="A824" i="30"/>
  <c r="B824" i="30"/>
  <c r="C824" i="30"/>
  <c r="D824" i="30"/>
  <c r="E824" i="30"/>
  <c r="F824" i="30"/>
  <c r="A825" i="30"/>
  <c r="B825" i="30"/>
  <c r="C825" i="30"/>
  <c r="D825" i="30"/>
  <c r="E825" i="30"/>
  <c r="F825" i="30"/>
  <c r="A826" i="30"/>
  <c r="B826" i="30"/>
  <c r="C826" i="30"/>
  <c r="D826" i="30"/>
  <c r="E826" i="30"/>
  <c r="F826" i="30"/>
  <c r="A827" i="30"/>
  <c r="B827" i="30"/>
  <c r="C827" i="30"/>
  <c r="D827" i="30"/>
  <c r="E827" i="30"/>
  <c r="F827" i="30"/>
  <c r="A828" i="30"/>
  <c r="B828" i="30"/>
  <c r="C828" i="30"/>
  <c r="D828" i="30"/>
  <c r="E828" i="30"/>
  <c r="F828" i="30"/>
  <c r="A829" i="30"/>
  <c r="B829" i="30"/>
  <c r="C829" i="30"/>
  <c r="D829" i="30"/>
  <c r="E829" i="30"/>
  <c r="F829" i="30"/>
  <c r="A830" i="30"/>
  <c r="B830" i="30"/>
  <c r="C830" i="30"/>
  <c r="D830" i="30"/>
  <c r="E830" i="30"/>
  <c r="F830" i="30"/>
  <c r="A831" i="30"/>
  <c r="B831" i="30"/>
  <c r="C831" i="30"/>
  <c r="D831" i="30"/>
  <c r="E831" i="30"/>
  <c r="F831" i="30"/>
  <c r="A832" i="30"/>
  <c r="B832" i="30"/>
  <c r="C832" i="30"/>
  <c r="D832" i="30"/>
  <c r="E832" i="30"/>
  <c r="F832" i="30"/>
  <c r="A833" i="30"/>
  <c r="B833" i="30"/>
  <c r="C833" i="30"/>
  <c r="D833" i="30"/>
  <c r="E833" i="30"/>
  <c r="F833" i="30"/>
  <c r="A834" i="30"/>
  <c r="B834" i="30"/>
  <c r="C834" i="30"/>
  <c r="D834" i="30"/>
  <c r="E834" i="30"/>
  <c r="F834" i="30"/>
  <c r="A835" i="30"/>
  <c r="B835" i="30"/>
  <c r="C835" i="30"/>
  <c r="D835" i="30"/>
  <c r="E835" i="30"/>
  <c r="F835" i="30"/>
  <c r="A836" i="30"/>
  <c r="B836" i="30"/>
  <c r="C836" i="30"/>
  <c r="D836" i="30"/>
  <c r="E836" i="30"/>
  <c r="F836" i="30"/>
  <c r="A837" i="30"/>
  <c r="B837" i="30"/>
  <c r="C837" i="30"/>
  <c r="D837" i="30"/>
  <c r="E837" i="30"/>
  <c r="F837" i="30"/>
  <c r="A838" i="30"/>
  <c r="B838" i="30"/>
  <c r="C838" i="30"/>
  <c r="D838" i="30"/>
  <c r="E838" i="30"/>
  <c r="F838" i="30"/>
  <c r="A839" i="30"/>
  <c r="B839" i="30"/>
  <c r="C839" i="30"/>
  <c r="D839" i="30"/>
  <c r="E839" i="30"/>
  <c r="F839" i="30"/>
  <c r="A840" i="30"/>
  <c r="B840" i="30"/>
  <c r="C840" i="30"/>
  <c r="D840" i="30"/>
  <c r="E840" i="30"/>
  <c r="F840" i="30"/>
  <c r="A841" i="30"/>
  <c r="B841" i="30"/>
  <c r="C841" i="30"/>
  <c r="D841" i="30"/>
  <c r="E841" i="30"/>
  <c r="F841" i="30"/>
  <c r="A842" i="30"/>
  <c r="B842" i="30"/>
  <c r="C842" i="30"/>
  <c r="D842" i="30"/>
  <c r="E842" i="30"/>
  <c r="F842" i="30"/>
  <c r="A843" i="30"/>
  <c r="B843" i="30"/>
  <c r="C843" i="30"/>
  <c r="D843" i="30"/>
  <c r="E843" i="30"/>
  <c r="F843" i="30"/>
  <c r="A844" i="30"/>
  <c r="B844" i="30"/>
  <c r="C844" i="30"/>
  <c r="D844" i="30"/>
  <c r="E844" i="30"/>
  <c r="F844" i="30"/>
  <c r="A845" i="30"/>
  <c r="B845" i="30"/>
  <c r="C845" i="30"/>
  <c r="D845" i="30"/>
  <c r="E845" i="30"/>
  <c r="F845" i="30"/>
  <c r="A846" i="30"/>
  <c r="B846" i="30"/>
  <c r="C846" i="30"/>
  <c r="D846" i="30"/>
  <c r="E846" i="30"/>
  <c r="F846" i="30"/>
  <c r="A847" i="30"/>
  <c r="B847" i="30"/>
  <c r="C847" i="30"/>
  <c r="D847" i="30"/>
  <c r="E847" i="30"/>
  <c r="F847" i="30"/>
  <c r="A848" i="30"/>
  <c r="B848" i="30"/>
  <c r="C848" i="30"/>
  <c r="D848" i="30"/>
  <c r="E848" i="30"/>
  <c r="F848" i="30"/>
  <c r="A849" i="30"/>
  <c r="B849" i="30"/>
  <c r="C849" i="30"/>
  <c r="D849" i="30"/>
  <c r="E849" i="30"/>
  <c r="F849" i="30"/>
  <c r="A850" i="30"/>
  <c r="B850" i="30"/>
  <c r="C850" i="30"/>
  <c r="D850" i="30"/>
  <c r="E850" i="30"/>
  <c r="F850" i="30"/>
  <c r="A851" i="30"/>
  <c r="B851" i="30"/>
  <c r="C851" i="30"/>
  <c r="D851" i="30"/>
  <c r="E851" i="30"/>
  <c r="F851" i="30"/>
  <c r="A852" i="30"/>
  <c r="B852" i="30"/>
  <c r="C852" i="30"/>
  <c r="D852" i="30"/>
  <c r="E852" i="30"/>
  <c r="F852" i="30"/>
  <c r="A853" i="30"/>
  <c r="B853" i="30"/>
  <c r="C853" i="30"/>
  <c r="D853" i="30"/>
  <c r="E853" i="30"/>
  <c r="F853" i="30"/>
  <c r="A854" i="30"/>
  <c r="B854" i="30"/>
  <c r="C854" i="30"/>
  <c r="D854" i="30"/>
  <c r="E854" i="30"/>
  <c r="F854" i="30"/>
  <c r="A855" i="30"/>
  <c r="B855" i="30"/>
  <c r="C855" i="30"/>
  <c r="D855" i="30"/>
  <c r="E855" i="30"/>
  <c r="F855" i="30"/>
  <c r="A856" i="30"/>
  <c r="B856" i="30"/>
  <c r="C856" i="30"/>
  <c r="D856" i="30"/>
  <c r="E856" i="30"/>
  <c r="F856" i="30"/>
  <c r="A857" i="30"/>
  <c r="B857" i="30"/>
  <c r="C857" i="30"/>
  <c r="D857" i="30"/>
  <c r="E857" i="30"/>
  <c r="F857" i="30"/>
  <c r="A858" i="30"/>
  <c r="B858" i="30"/>
  <c r="C858" i="30"/>
  <c r="D858" i="30"/>
  <c r="E858" i="30"/>
  <c r="F858" i="30"/>
  <c r="A859" i="30"/>
  <c r="B859" i="30"/>
  <c r="C859" i="30"/>
  <c r="D859" i="30"/>
  <c r="E859" i="30"/>
  <c r="F859" i="30"/>
  <c r="A860" i="30"/>
  <c r="B860" i="30"/>
  <c r="C860" i="30"/>
  <c r="D860" i="30"/>
  <c r="E860" i="30"/>
  <c r="F860" i="30"/>
  <c r="A861" i="30"/>
  <c r="B861" i="30"/>
  <c r="C861" i="30"/>
  <c r="D861" i="30"/>
  <c r="E861" i="30"/>
  <c r="F861" i="30"/>
  <c r="A862" i="30"/>
  <c r="B862" i="30"/>
  <c r="C862" i="30"/>
  <c r="D862" i="30"/>
  <c r="E862" i="30"/>
  <c r="F862" i="30"/>
  <c r="A863" i="30"/>
  <c r="B863" i="30"/>
  <c r="C863" i="30"/>
  <c r="D863" i="30"/>
  <c r="E863" i="30"/>
  <c r="F863" i="30"/>
  <c r="A864" i="30"/>
  <c r="B864" i="30"/>
  <c r="C864" i="30"/>
  <c r="D864" i="30"/>
  <c r="E864" i="30"/>
  <c r="F864" i="30"/>
  <c r="A865" i="30"/>
  <c r="B865" i="30"/>
  <c r="C865" i="30"/>
  <c r="D865" i="30"/>
  <c r="E865" i="30"/>
  <c r="F865" i="30"/>
  <c r="A866" i="30"/>
  <c r="B866" i="30"/>
  <c r="C866" i="30"/>
  <c r="D866" i="30"/>
  <c r="E866" i="30"/>
  <c r="F866" i="30"/>
  <c r="A867" i="30"/>
  <c r="B867" i="30"/>
  <c r="C867" i="30"/>
  <c r="D867" i="30"/>
  <c r="E867" i="30"/>
  <c r="F867" i="30"/>
  <c r="A868" i="30"/>
  <c r="B868" i="30"/>
  <c r="C868" i="30"/>
  <c r="D868" i="30"/>
  <c r="E868" i="30"/>
  <c r="F868" i="30"/>
  <c r="A869" i="30"/>
  <c r="B869" i="30"/>
  <c r="C869" i="30"/>
  <c r="D869" i="30"/>
  <c r="E869" i="30"/>
  <c r="F869" i="30"/>
  <c r="A870" i="30"/>
  <c r="B870" i="30"/>
  <c r="C870" i="30"/>
  <c r="D870" i="30"/>
  <c r="E870" i="30"/>
  <c r="F870" i="30"/>
  <c r="A871" i="30"/>
  <c r="B871" i="30"/>
  <c r="C871" i="30"/>
  <c r="D871" i="30"/>
  <c r="E871" i="30"/>
  <c r="F871" i="30"/>
  <c r="A872" i="30"/>
  <c r="B872" i="30"/>
  <c r="C872" i="30"/>
  <c r="D872" i="30"/>
  <c r="E872" i="30"/>
  <c r="F872" i="30"/>
  <c r="A873" i="30"/>
  <c r="B873" i="30"/>
  <c r="C873" i="30"/>
  <c r="D873" i="30"/>
  <c r="E873" i="30"/>
  <c r="F873" i="30"/>
  <c r="A874" i="30"/>
  <c r="B874" i="30"/>
  <c r="C874" i="30"/>
  <c r="D874" i="30"/>
  <c r="E874" i="30"/>
  <c r="F874" i="30"/>
  <c r="A875" i="30"/>
  <c r="B875" i="30"/>
  <c r="C875" i="30"/>
  <c r="D875" i="30"/>
  <c r="E875" i="30"/>
  <c r="F875" i="30"/>
  <c r="A876" i="30"/>
  <c r="B876" i="30"/>
  <c r="C876" i="30"/>
  <c r="D876" i="30"/>
  <c r="E876" i="30"/>
  <c r="F876" i="30"/>
  <c r="A877" i="30"/>
  <c r="B877" i="30"/>
  <c r="C877" i="30"/>
  <c r="D877" i="30"/>
  <c r="E877" i="30"/>
  <c r="F877" i="30"/>
  <c r="A878" i="30"/>
  <c r="B878" i="30"/>
  <c r="C878" i="30"/>
  <c r="D878" i="30"/>
  <c r="E878" i="30"/>
  <c r="F878" i="30"/>
  <c r="A879" i="30"/>
  <c r="B879" i="30"/>
  <c r="C879" i="30"/>
  <c r="D879" i="30"/>
  <c r="E879" i="30"/>
  <c r="F879" i="30"/>
  <c r="A880" i="30"/>
  <c r="B880" i="30"/>
  <c r="C880" i="30"/>
  <c r="D880" i="30"/>
  <c r="E880" i="30"/>
  <c r="F880" i="30"/>
  <c r="A881" i="30"/>
  <c r="B881" i="30"/>
  <c r="C881" i="30"/>
  <c r="D881" i="30"/>
  <c r="E881" i="30"/>
  <c r="F881" i="30"/>
  <c r="A882" i="30"/>
  <c r="B882" i="30"/>
  <c r="C882" i="30"/>
  <c r="D882" i="30"/>
  <c r="E882" i="30"/>
  <c r="F882" i="30"/>
  <c r="A883" i="30"/>
  <c r="B883" i="30"/>
  <c r="C883" i="30"/>
  <c r="D883" i="30"/>
  <c r="E883" i="30"/>
  <c r="F883" i="30"/>
  <c r="A884" i="30"/>
  <c r="B884" i="30"/>
  <c r="C884" i="30"/>
  <c r="D884" i="30"/>
  <c r="E884" i="30"/>
  <c r="F884" i="30"/>
  <c r="A885" i="30"/>
  <c r="B885" i="30"/>
  <c r="C885" i="30"/>
  <c r="D885" i="30"/>
  <c r="E885" i="30"/>
  <c r="F885" i="30"/>
  <c r="A886" i="30"/>
  <c r="B886" i="30"/>
  <c r="C886" i="30"/>
  <c r="D886" i="30"/>
  <c r="E886" i="30"/>
  <c r="F886" i="30"/>
  <c r="A887" i="30"/>
  <c r="B887" i="30"/>
  <c r="C887" i="30"/>
  <c r="D887" i="30"/>
  <c r="E887" i="30"/>
  <c r="F887" i="30"/>
  <c r="A888" i="30"/>
  <c r="B888" i="30"/>
  <c r="C888" i="30"/>
  <c r="D888" i="30"/>
  <c r="E888" i="30"/>
  <c r="F888" i="30"/>
  <c r="A889" i="30"/>
  <c r="B889" i="30"/>
  <c r="C889" i="30"/>
  <c r="D889" i="30"/>
  <c r="E889" i="30"/>
  <c r="F889" i="30"/>
  <c r="A890" i="30"/>
  <c r="B890" i="30"/>
  <c r="C890" i="30"/>
  <c r="D890" i="30"/>
  <c r="E890" i="30"/>
  <c r="F890" i="30"/>
  <c r="A891" i="30"/>
  <c r="B891" i="30"/>
  <c r="C891" i="30"/>
  <c r="D891" i="30"/>
  <c r="E891" i="30"/>
  <c r="F891" i="30"/>
  <c r="A892" i="30"/>
  <c r="B892" i="30"/>
  <c r="C892" i="30"/>
  <c r="D892" i="30"/>
  <c r="E892" i="30"/>
  <c r="F892" i="30"/>
  <c r="A893" i="30"/>
  <c r="B893" i="30"/>
  <c r="C893" i="30"/>
  <c r="D893" i="30"/>
  <c r="E893" i="30"/>
  <c r="F893" i="30"/>
  <c r="A894" i="30"/>
  <c r="B894" i="30"/>
  <c r="C894" i="30"/>
  <c r="D894" i="30"/>
  <c r="E894" i="30"/>
  <c r="F894" i="30"/>
  <c r="A895" i="30"/>
  <c r="B895" i="30"/>
  <c r="C895" i="30"/>
  <c r="D895" i="30"/>
  <c r="E895" i="30"/>
  <c r="F895" i="30"/>
  <c r="A896" i="30"/>
  <c r="B896" i="30"/>
  <c r="C896" i="30"/>
  <c r="D896" i="30"/>
  <c r="E896" i="30"/>
  <c r="F896" i="30"/>
  <c r="A897" i="30"/>
  <c r="B897" i="30"/>
  <c r="C897" i="30"/>
  <c r="D897" i="30"/>
  <c r="E897" i="30"/>
  <c r="F897" i="30"/>
  <c r="A898" i="30"/>
  <c r="B898" i="30"/>
  <c r="C898" i="30"/>
  <c r="D898" i="30"/>
  <c r="E898" i="30"/>
  <c r="F898" i="30"/>
  <c r="A899" i="30"/>
  <c r="B899" i="30"/>
  <c r="C899" i="30"/>
  <c r="D899" i="30"/>
  <c r="E899" i="30"/>
  <c r="F899" i="30"/>
  <c r="A900" i="30"/>
  <c r="B900" i="30"/>
  <c r="C900" i="30"/>
  <c r="D900" i="30"/>
  <c r="E900" i="30"/>
  <c r="F900" i="30"/>
  <c r="A901" i="30"/>
  <c r="B901" i="30"/>
  <c r="C901" i="30"/>
  <c r="D901" i="30"/>
  <c r="E901" i="30"/>
  <c r="F901" i="30"/>
  <c r="A902" i="30"/>
  <c r="B902" i="30"/>
  <c r="C902" i="30"/>
  <c r="D902" i="30"/>
  <c r="E902" i="30"/>
  <c r="F902" i="30"/>
  <c r="A903" i="30"/>
  <c r="B903" i="30"/>
  <c r="C903" i="30"/>
  <c r="D903" i="30"/>
  <c r="E903" i="30"/>
  <c r="F903" i="30"/>
  <c r="A904" i="30"/>
  <c r="B904" i="30"/>
  <c r="C904" i="30"/>
  <c r="D904" i="30"/>
  <c r="E904" i="30"/>
  <c r="F904" i="30"/>
  <c r="A905" i="30"/>
  <c r="B905" i="30"/>
  <c r="C905" i="30"/>
  <c r="D905" i="30"/>
  <c r="E905" i="30"/>
  <c r="F905" i="30"/>
  <c r="A906" i="30"/>
  <c r="B906" i="30"/>
  <c r="C906" i="30"/>
  <c r="D906" i="30"/>
  <c r="E906" i="30"/>
  <c r="F906" i="30"/>
  <c r="A907" i="30"/>
  <c r="B907" i="30"/>
  <c r="C907" i="30"/>
  <c r="D907" i="30"/>
  <c r="E907" i="30"/>
  <c r="F907" i="30"/>
  <c r="A908" i="30"/>
  <c r="B908" i="30"/>
  <c r="C908" i="30"/>
  <c r="D908" i="30"/>
  <c r="E908" i="30"/>
  <c r="F908" i="30"/>
  <c r="A909" i="30"/>
  <c r="B909" i="30"/>
  <c r="C909" i="30"/>
  <c r="D909" i="30"/>
  <c r="E909" i="30"/>
  <c r="F909" i="30"/>
  <c r="A910" i="30"/>
  <c r="B910" i="30"/>
  <c r="C910" i="30"/>
  <c r="D910" i="30"/>
  <c r="E910" i="30"/>
  <c r="F910" i="30"/>
  <c r="A911" i="30"/>
  <c r="B911" i="30"/>
  <c r="C911" i="30"/>
  <c r="D911" i="30"/>
  <c r="E911" i="30"/>
  <c r="F911" i="30"/>
  <c r="A912" i="30"/>
  <c r="B912" i="30"/>
  <c r="C912" i="30"/>
  <c r="D912" i="30"/>
  <c r="E912" i="30"/>
  <c r="F912" i="30"/>
  <c r="A913" i="30"/>
  <c r="B913" i="30"/>
  <c r="C913" i="30"/>
  <c r="D913" i="30"/>
  <c r="E913" i="30"/>
  <c r="F913" i="30"/>
  <c r="A914" i="30"/>
  <c r="B914" i="30"/>
  <c r="C914" i="30"/>
  <c r="D914" i="30"/>
  <c r="E914" i="30"/>
  <c r="F914" i="30"/>
  <c r="A915" i="30"/>
  <c r="B915" i="30"/>
  <c r="C915" i="30"/>
  <c r="D915" i="30"/>
  <c r="E915" i="30"/>
  <c r="F915" i="30"/>
  <c r="A916" i="30"/>
  <c r="B916" i="30"/>
  <c r="C916" i="30"/>
  <c r="D916" i="30"/>
  <c r="E916" i="30"/>
  <c r="F916" i="30"/>
  <c r="A917" i="30"/>
  <c r="B917" i="30"/>
  <c r="C917" i="30"/>
  <c r="D917" i="30"/>
  <c r="E917" i="30"/>
  <c r="F917" i="30"/>
  <c r="A918" i="30"/>
  <c r="B918" i="30"/>
  <c r="C918" i="30"/>
  <c r="D918" i="30"/>
  <c r="E918" i="30"/>
  <c r="F918" i="30"/>
  <c r="A919" i="30"/>
  <c r="B919" i="30"/>
  <c r="C919" i="30"/>
  <c r="D919" i="30"/>
  <c r="E919" i="30"/>
  <c r="F919" i="30"/>
  <c r="A920" i="30"/>
  <c r="B920" i="30"/>
  <c r="C920" i="30"/>
  <c r="D920" i="30"/>
  <c r="E920" i="30"/>
  <c r="F920" i="30"/>
  <c r="A921" i="30"/>
  <c r="B921" i="30"/>
  <c r="C921" i="30"/>
  <c r="D921" i="30"/>
  <c r="E921" i="30"/>
  <c r="F921" i="30"/>
  <c r="A922" i="30"/>
  <c r="B922" i="30"/>
  <c r="C922" i="30"/>
  <c r="D922" i="30"/>
  <c r="E922" i="30"/>
  <c r="F922" i="30"/>
  <c r="A923" i="30"/>
  <c r="B923" i="30"/>
  <c r="C923" i="30"/>
  <c r="D923" i="30"/>
  <c r="E923" i="30"/>
  <c r="F923" i="30"/>
  <c r="A924" i="30"/>
  <c r="B924" i="30"/>
  <c r="C924" i="30"/>
  <c r="D924" i="30"/>
  <c r="E924" i="30"/>
  <c r="F924" i="30"/>
  <c r="A925" i="30"/>
  <c r="B925" i="30"/>
  <c r="C925" i="30"/>
  <c r="D925" i="30"/>
  <c r="E925" i="30"/>
  <c r="F925" i="30"/>
  <c r="A926" i="30"/>
  <c r="B926" i="30"/>
  <c r="C926" i="30"/>
  <c r="D926" i="30"/>
  <c r="E926" i="30"/>
  <c r="F926" i="30"/>
  <c r="A927" i="30"/>
  <c r="B927" i="30"/>
  <c r="C927" i="30"/>
  <c r="D927" i="30"/>
  <c r="E927" i="30"/>
  <c r="F927" i="30"/>
  <c r="A928" i="30"/>
  <c r="B928" i="30"/>
  <c r="C928" i="30"/>
  <c r="D928" i="30"/>
  <c r="E928" i="30"/>
  <c r="F928" i="30"/>
  <c r="A929" i="30"/>
  <c r="B929" i="30"/>
  <c r="C929" i="30"/>
  <c r="D929" i="30"/>
  <c r="E929" i="30"/>
  <c r="F929" i="30"/>
  <c r="A930" i="30"/>
  <c r="B930" i="30"/>
  <c r="C930" i="30"/>
  <c r="D930" i="30"/>
  <c r="E930" i="30"/>
  <c r="F930" i="30"/>
  <c r="A931" i="30"/>
  <c r="B931" i="30"/>
  <c r="C931" i="30"/>
  <c r="D931" i="30"/>
  <c r="E931" i="30"/>
  <c r="F931" i="30"/>
  <c r="A932" i="30"/>
  <c r="B932" i="30"/>
  <c r="C932" i="30"/>
  <c r="D932" i="30"/>
  <c r="E932" i="30"/>
  <c r="F932" i="30"/>
  <c r="A933" i="30"/>
  <c r="B933" i="30"/>
  <c r="C933" i="30"/>
  <c r="D933" i="30"/>
  <c r="E933" i="30"/>
  <c r="F933" i="30"/>
  <c r="A934" i="30"/>
  <c r="B934" i="30"/>
  <c r="C934" i="30"/>
  <c r="D934" i="30"/>
  <c r="E934" i="30"/>
  <c r="F934" i="30"/>
  <c r="A935" i="30"/>
  <c r="B935" i="30"/>
  <c r="C935" i="30"/>
  <c r="D935" i="30"/>
  <c r="E935" i="30"/>
  <c r="F935" i="30"/>
  <c r="A936" i="30"/>
  <c r="B936" i="30"/>
  <c r="C936" i="30"/>
  <c r="D936" i="30"/>
  <c r="E936" i="30"/>
  <c r="F936" i="30"/>
  <c r="A937" i="30"/>
  <c r="B937" i="30"/>
  <c r="C937" i="30"/>
  <c r="D937" i="30"/>
  <c r="E937" i="30"/>
  <c r="F937" i="30"/>
  <c r="A938" i="30"/>
  <c r="B938" i="30"/>
  <c r="C938" i="30"/>
  <c r="D938" i="30"/>
  <c r="E938" i="30"/>
  <c r="F938" i="30"/>
  <c r="A939" i="30"/>
  <c r="B939" i="30"/>
  <c r="C939" i="30"/>
  <c r="D939" i="30"/>
  <c r="E939" i="30"/>
  <c r="F939" i="30"/>
  <c r="A940" i="30"/>
  <c r="B940" i="30"/>
  <c r="C940" i="30"/>
  <c r="D940" i="30"/>
  <c r="E940" i="30"/>
  <c r="F940" i="30"/>
  <c r="A941" i="30"/>
  <c r="B941" i="30"/>
  <c r="C941" i="30"/>
  <c r="D941" i="30"/>
  <c r="E941" i="30"/>
  <c r="F941" i="30"/>
  <c r="A942" i="30"/>
  <c r="B942" i="30"/>
  <c r="C942" i="30"/>
  <c r="D942" i="30"/>
  <c r="E942" i="30"/>
  <c r="F942" i="30"/>
  <c r="A943" i="30"/>
  <c r="B943" i="30"/>
  <c r="C943" i="30"/>
  <c r="D943" i="30"/>
  <c r="E943" i="30"/>
  <c r="F943" i="30"/>
  <c r="A944" i="30"/>
  <c r="B944" i="30"/>
  <c r="C944" i="30"/>
  <c r="D944" i="30"/>
  <c r="E944" i="30"/>
  <c r="F944" i="30"/>
  <c r="A945" i="30"/>
  <c r="B945" i="30"/>
  <c r="C945" i="30"/>
  <c r="D945" i="30"/>
  <c r="E945" i="30"/>
  <c r="F945" i="30"/>
  <c r="A946" i="30"/>
  <c r="B946" i="30"/>
  <c r="C946" i="30"/>
  <c r="D946" i="30"/>
  <c r="E946" i="30"/>
  <c r="F946" i="30"/>
  <c r="A947" i="30"/>
  <c r="B947" i="30"/>
  <c r="C947" i="30"/>
  <c r="D947" i="30"/>
  <c r="E947" i="30"/>
  <c r="F947" i="30"/>
  <c r="A948" i="30"/>
  <c r="B948" i="30"/>
  <c r="C948" i="30"/>
  <c r="D948" i="30"/>
  <c r="E948" i="30"/>
  <c r="F948" i="30"/>
  <c r="A949" i="30"/>
  <c r="B949" i="30"/>
  <c r="C949" i="30"/>
  <c r="D949" i="30"/>
  <c r="E949" i="30"/>
  <c r="F949" i="30"/>
  <c r="A950" i="30"/>
  <c r="B950" i="30"/>
  <c r="C950" i="30"/>
  <c r="D950" i="30"/>
  <c r="E950" i="30"/>
  <c r="F950" i="30"/>
  <c r="A951" i="30"/>
  <c r="B951" i="30"/>
  <c r="C951" i="30"/>
  <c r="D951" i="30"/>
  <c r="E951" i="30"/>
  <c r="F951" i="30"/>
  <c r="A952" i="30"/>
  <c r="B952" i="30"/>
  <c r="C952" i="30"/>
  <c r="D952" i="30"/>
  <c r="E952" i="30"/>
  <c r="F952" i="30"/>
  <c r="A953" i="30"/>
  <c r="B953" i="30"/>
  <c r="C953" i="30"/>
  <c r="D953" i="30"/>
  <c r="E953" i="30"/>
  <c r="F953" i="30"/>
  <c r="A954" i="30"/>
  <c r="B954" i="30"/>
  <c r="C954" i="30"/>
  <c r="D954" i="30"/>
  <c r="E954" i="30"/>
  <c r="F954" i="30"/>
  <c r="A955" i="30"/>
  <c r="B955" i="30"/>
  <c r="C955" i="30"/>
  <c r="D955" i="30"/>
  <c r="E955" i="30"/>
  <c r="F955" i="30"/>
  <c r="A956" i="30"/>
  <c r="B956" i="30"/>
  <c r="C956" i="30"/>
  <c r="D956" i="30"/>
  <c r="E956" i="30"/>
  <c r="F956" i="30"/>
  <c r="A957" i="30"/>
  <c r="B957" i="30"/>
  <c r="C957" i="30"/>
  <c r="D957" i="30"/>
  <c r="E957" i="30"/>
  <c r="F957" i="30"/>
  <c r="A958" i="30"/>
  <c r="B958" i="30"/>
  <c r="C958" i="30"/>
  <c r="D958" i="30"/>
  <c r="E958" i="30"/>
  <c r="F958" i="30"/>
  <c r="A959" i="30"/>
  <c r="B959" i="30"/>
  <c r="C959" i="30"/>
  <c r="D959" i="30"/>
  <c r="E959" i="30"/>
  <c r="F959" i="30"/>
  <c r="A960" i="30"/>
  <c r="B960" i="30"/>
  <c r="C960" i="30"/>
  <c r="D960" i="30"/>
  <c r="E960" i="30"/>
  <c r="F960" i="30"/>
  <c r="A961" i="30"/>
  <c r="B961" i="30"/>
  <c r="C961" i="30"/>
  <c r="D961" i="30"/>
  <c r="E961" i="30"/>
  <c r="F961" i="30"/>
  <c r="A962" i="30"/>
  <c r="B962" i="30"/>
  <c r="C962" i="30"/>
  <c r="D962" i="30"/>
  <c r="E962" i="30"/>
  <c r="F962" i="30"/>
  <c r="A963" i="30"/>
  <c r="B963" i="30"/>
  <c r="C963" i="30"/>
  <c r="D963" i="30"/>
  <c r="E963" i="30"/>
  <c r="F963" i="30"/>
  <c r="A964" i="30"/>
  <c r="B964" i="30"/>
  <c r="C964" i="30"/>
  <c r="D964" i="30"/>
  <c r="E964" i="30"/>
  <c r="F964" i="30"/>
  <c r="A965" i="30"/>
  <c r="B965" i="30"/>
  <c r="C965" i="30"/>
  <c r="D965" i="30"/>
  <c r="E965" i="30"/>
  <c r="F965" i="30"/>
  <c r="A966" i="30"/>
  <c r="B966" i="30"/>
  <c r="C966" i="30"/>
  <c r="D966" i="30"/>
  <c r="E966" i="30"/>
  <c r="F966" i="30"/>
  <c r="A967" i="30"/>
  <c r="B967" i="30"/>
  <c r="C967" i="30"/>
  <c r="D967" i="30"/>
  <c r="E967" i="30"/>
  <c r="F967" i="30"/>
  <c r="A968" i="30"/>
  <c r="B968" i="30"/>
  <c r="C968" i="30"/>
  <c r="D968" i="30"/>
  <c r="E968" i="30"/>
  <c r="F968" i="30"/>
  <c r="A969" i="30"/>
  <c r="B969" i="30"/>
  <c r="C969" i="30"/>
  <c r="D969" i="30"/>
  <c r="E969" i="30"/>
  <c r="F969" i="30"/>
  <c r="A970" i="30"/>
  <c r="B970" i="30"/>
  <c r="C970" i="30"/>
  <c r="D970" i="30"/>
  <c r="E970" i="30"/>
  <c r="F970" i="30"/>
  <c r="A971" i="30"/>
  <c r="B971" i="30"/>
  <c r="C971" i="30"/>
  <c r="D971" i="30"/>
  <c r="E971" i="30"/>
  <c r="F971" i="30"/>
  <c r="A972" i="30"/>
  <c r="B972" i="30"/>
  <c r="C972" i="30"/>
  <c r="D972" i="30"/>
  <c r="E972" i="30"/>
  <c r="F972" i="30"/>
  <c r="A973" i="30"/>
  <c r="B973" i="30"/>
  <c r="C973" i="30"/>
  <c r="D973" i="30"/>
  <c r="E973" i="30"/>
  <c r="F973" i="30"/>
  <c r="A974" i="30"/>
  <c r="B974" i="30"/>
  <c r="C974" i="30"/>
  <c r="D974" i="30"/>
  <c r="E974" i="30"/>
  <c r="F974" i="30"/>
  <c r="A975" i="30"/>
  <c r="B975" i="30"/>
  <c r="C975" i="30"/>
  <c r="D975" i="30"/>
  <c r="E975" i="30"/>
  <c r="F975" i="30"/>
  <c r="A976" i="30"/>
  <c r="B976" i="30"/>
  <c r="C976" i="30"/>
  <c r="D976" i="30"/>
  <c r="E976" i="30"/>
  <c r="F976" i="30"/>
  <c r="A977" i="30"/>
  <c r="B977" i="30"/>
  <c r="C977" i="30"/>
  <c r="D977" i="30"/>
  <c r="E977" i="30"/>
  <c r="F977" i="30"/>
  <c r="A978" i="30"/>
  <c r="B978" i="30"/>
  <c r="C978" i="30"/>
  <c r="D978" i="30"/>
  <c r="E978" i="30"/>
  <c r="F978" i="30"/>
  <c r="A979" i="30"/>
  <c r="B979" i="30"/>
  <c r="C979" i="30"/>
  <c r="D979" i="30"/>
  <c r="E979" i="30"/>
  <c r="F979" i="30"/>
  <c r="A980" i="30"/>
  <c r="B980" i="30"/>
  <c r="C980" i="30"/>
  <c r="D980" i="30"/>
  <c r="E980" i="30"/>
  <c r="F980" i="30"/>
  <c r="A981" i="30"/>
  <c r="B981" i="30"/>
  <c r="C981" i="30"/>
  <c r="D981" i="30"/>
  <c r="E981" i="30"/>
  <c r="F981" i="30"/>
  <c r="A982" i="30"/>
  <c r="B982" i="30"/>
  <c r="C982" i="30"/>
  <c r="D982" i="30"/>
  <c r="E982" i="30"/>
  <c r="F982" i="30"/>
  <c r="A983" i="30"/>
  <c r="B983" i="30"/>
  <c r="C983" i="30"/>
  <c r="D983" i="30"/>
  <c r="E983" i="30"/>
  <c r="F983" i="30"/>
  <c r="A984" i="30"/>
  <c r="B984" i="30"/>
  <c r="C984" i="30"/>
  <c r="D984" i="30"/>
  <c r="E984" i="30"/>
  <c r="F984" i="30"/>
  <c r="A985" i="30"/>
  <c r="B985" i="30"/>
  <c r="C985" i="30"/>
  <c r="D985" i="30"/>
  <c r="E985" i="30"/>
  <c r="F985" i="30"/>
  <c r="A986" i="30"/>
  <c r="B986" i="30"/>
  <c r="C986" i="30"/>
  <c r="D986" i="30"/>
  <c r="E986" i="30"/>
  <c r="F986" i="30"/>
  <c r="A987" i="30"/>
  <c r="B987" i="30"/>
  <c r="C987" i="30"/>
  <c r="D987" i="30"/>
  <c r="E987" i="30"/>
  <c r="F987" i="30"/>
  <c r="A988" i="30"/>
  <c r="B988" i="30"/>
  <c r="C988" i="30"/>
  <c r="D988" i="30"/>
  <c r="E988" i="30"/>
  <c r="F988" i="30"/>
  <c r="A989" i="30"/>
  <c r="B989" i="30"/>
  <c r="C989" i="30"/>
  <c r="D989" i="30"/>
  <c r="E989" i="30"/>
  <c r="F989" i="30"/>
  <c r="A990" i="30"/>
  <c r="B990" i="30"/>
  <c r="C990" i="30"/>
  <c r="D990" i="30"/>
  <c r="E990" i="30"/>
  <c r="F990" i="30"/>
  <c r="A991" i="30"/>
  <c r="B991" i="30"/>
  <c r="C991" i="30"/>
  <c r="D991" i="30"/>
  <c r="E991" i="30"/>
  <c r="F991" i="30"/>
  <c r="A992" i="30"/>
  <c r="B992" i="30"/>
  <c r="C992" i="30"/>
  <c r="D992" i="30"/>
  <c r="E992" i="30"/>
  <c r="F992" i="30"/>
  <c r="A993" i="30"/>
  <c r="B993" i="30"/>
  <c r="C993" i="30"/>
  <c r="D993" i="30"/>
  <c r="E993" i="30"/>
  <c r="F993" i="30"/>
  <c r="A994" i="30"/>
  <c r="B994" i="30"/>
  <c r="C994" i="30"/>
  <c r="D994" i="30"/>
  <c r="E994" i="30"/>
  <c r="F994" i="30"/>
  <c r="A995" i="30"/>
  <c r="B995" i="30"/>
  <c r="C995" i="30"/>
  <c r="D995" i="30"/>
  <c r="E995" i="30"/>
  <c r="F995" i="30"/>
  <c r="A996" i="30"/>
  <c r="B996" i="30"/>
  <c r="C996" i="30"/>
  <c r="D996" i="30"/>
  <c r="E996" i="30"/>
  <c r="F996" i="30"/>
  <c r="A997" i="30"/>
  <c r="B997" i="30"/>
  <c r="C997" i="30"/>
  <c r="D997" i="30"/>
  <c r="E997" i="30"/>
  <c r="F997" i="30"/>
  <c r="A998" i="30"/>
  <c r="B998" i="30"/>
  <c r="C998" i="30"/>
  <c r="D998" i="30"/>
  <c r="E998" i="30"/>
  <c r="F998" i="30"/>
  <c r="A999" i="30"/>
  <c r="B999" i="30"/>
  <c r="C999" i="30"/>
  <c r="D999" i="30"/>
  <c r="E999" i="30"/>
  <c r="F999" i="30"/>
  <c r="A1000" i="30"/>
  <c r="B1000" i="30"/>
  <c r="C1000" i="30"/>
  <c r="D1000" i="30"/>
  <c r="E1000" i="30"/>
  <c r="F1000" i="30"/>
  <c r="A1001" i="30"/>
  <c r="B1001" i="30"/>
  <c r="C1001" i="30"/>
  <c r="D1001" i="30"/>
  <c r="E1001" i="30"/>
  <c r="F1001" i="30"/>
  <c r="A1002" i="30"/>
  <c r="B1002" i="30"/>
  <c r="C1002" i="30"/>
  <c r="D1002" i="30"/>
  <c r="E1002" i="30"/>
  <c r="F1002" i="30"/>
  <c r="A1003" i="30"/>
  <c r="B1003" i="30"/>
  <c r="C1003" i="30"/>
  <c r="D1003" i="30"/>
  <c r="E1003" i="30"/>
  <c r="F1003" i="30"/>
  <c r="A1004" i="30"/>
  <c r="B1004" i="30"/>
  <c r="C1004" i="30"/>
  <c r="D1004" i="30"/>
  <c r="E1004" i="30"/>
  <c r="F1004" i="30"/>
  <c r="A1005" i="30"/>
  <c r="B1005" i="30"/>
  <c r="C1005" i="30"/>
  <c r="D1005" i="30"/>
  <c r="E1005" i="30"/>
  <c r="F1005" i="30"/>
  <c r="A1006" i="30"/>
  <c r="B1006" i="30"/>
  <c r="C1006" i="30"/>
  <c r="D1006" i="30"/>
  <c r="E1006" i="30"/>
  <c r="F1006" i="30"/>
  <c r="A1007" i="30"/>
  <c r="B1007" i="30"/>
  <c r="C1007" i="30"/>
  <c r="D1007" i="30"/>
  <c r="E1007" i="30"/>
  <c r="F1007" i="30"/>
  <c r="A1008" i="30"/>
  <c r="B1008" i="30"/>
  <c r="C1008" i="30"/>
  <c r="D1008" i="30"/>
  <c r="E1008" i="30"/>
  <c r="F1008" i="30"/>
  <c r="A1009" i="30"/>
  <c r="B1009" i="30"/>
  <c r="C1009" i="30"/>
  <c r="D1009" i="30"/>
  <c r="E1009" i="30"/>
  <c r="F1009" i="30"/>
  <c r="A1010" i="30"/>
  <c r="B1010" i="30"/>
  <c r="C1010" i="30"/>
  <c r="D1010" i="30"/>
  <c r="E1010" i="30"/>
  <c r="F1010" i="30"/>
  <c r="A1011" i="30"/>
  <c r="B1011" i="30"/>
  <c r="C1011" i="30"/>
  <c r="D1011" i="30"/>
  <c r="E1011" i="30"/>
  <c r="F1011" i="30"/>
  <c r="A1012" i="30"/>
  <c r="B1012" i="30"/>
  <c r="C1012" i="30"/>
  <c r="D1012" i="30"/>
  <c r="E1012" i="30"/>
  <c r="F1012" i="30"/>
  <c r="A1013" i="30"/>
  <c r="B1013" i="30"/>
  <c r="C1013" i="30"/>
  <c r="D1013" i="30"/>
  <c r="E1013" i="30"/>
  <c r="F1013" i="30"/>
  <c r="A1014" i="30"/>
  <c r="B1014" i="30"/>
  <c r="C1014" i="30"/>
  <c r="D1014" i="30"/>
  <c r="E1014" i="30"/>
  <c r="F1014" i="30"/>
  <c r="A1015" i="30"/>
  <c r="B1015" i="30"/>
  <c r="C1015" i="30"/>
  <c r="D1015" i="30"/>
  <c r="E1015" i="30"/>
  <c r="F1015" i="30"/>
  <c r="A1016" i="30"/>
  <c r="B1016" i="30"/>
  <c r="C1016" i="30"/>
  <c r="D1016" i="30"/>
  <c r="E1016" i="30"/>
  <c r="F1016" i="30"/>
  <c r="A1017" i="30"/>
  <c r="B1017" i="30"/>
  <c r="C1017" i="30"/>
  <c r="D1017" i="30"/>
  <c r="E1017" i="30"/>
  <c r="F1017" i="30"/>
  <c r="A1018" i="30"/>
  <c r="B1018" i="30"/>
  <c r="C1018" i="30"/>
  <c r="D1018" i="30"/>
  <c r="E1018" i="30"/>
  <c r="F1018" i="30"/>
  <c r="A1019" i="30"/>
  <c r="B1019" i="30"/>
  <c r="C1019" i="30"/>
  <c r="D1019" i="30"/>
  <c r="E1019" i="30"/>
  <c r="F1019" i="30"/>
  <c r="A1020" i="30"/>
  <c r="B1020" i="30"/>
  <c r="C1020" i="30"/>
  <c r="D1020" i="30"/>
  <c r="E1020" i="30"/>
  <c r="F1020" i="30"/>
  <c r="A1021" i="30"/>
  <c r="B1021" i="30"/>
  <c r="C1021" i="30"/>
  <c r="D1021" i="30"/>
  <c r="E1021" i="30"/>
  <c r="F1021" i="30"/>
  <c r="A1022" i="30"/>
  <c r="B1022" i="30"/>
  <c r="C1022" i="30"/>
  <c r="D1022" i="30"/>
  <c r="E1022" i="30"/>
  <c r="F1022" i="30"/>
  <c r="A1023" i="30"/>
  <c r="B1023" i="30"/>
  <c r="C1023" i="30"/>
  <c r="D1023" i="30"/>
  <c r="E1023" i="30"/>
  <c r="F1023" i="30"/>
  <c r="A1024" i="30"/>
  <c r="B1024" i="30"/>
  <c r="C1024" i="30"/>
  <c r="D1024" i="30"/>
  <c r="E1024" i="30"/>
  <c r="F1024" i="30"/>
  <c r="A1025" i="30"/>
  <c r="B1025" i="30"/>
  <c r="C1025" i="30"/>
  <c r="D1025" i="30"/>
  <c r="E1025" i="30"/>
  <c r="F1025" i="30"/>
  <c r="A1026" i="30"/>
  <c r="B1026" i="30"/>
  <c r="C1026" i="30"/>
  <c r="D1026" i="30"/>
  <c r="E1026" i="30"/>
  <c r="F1026" i="30"/>
  <c r="A1027" i="30"/>
  <c r="B1027" i="30"/>
  <c r="C1027" i="30"/>
  <c r="D1027" i="30"/>
  <c r="E1027" i="30"/>
  <c r="F1027" i="30"/>
  <c r="A1028" i="30"/>
  <c r="B1028" i="30"/>
  <c r="C1028" i="30"/>
  <c r="D1028" i="30"/>
  <c r="E1028" i="30"/>
  <c r="F1028" i="30"/>
  <c r="A1029" i="30"/>
  <c r="B1029" i="30"/>
  <c r="C1029" i="30"/>
  <c r="D1029" i="30"/>
  <c r="E1029" i="30"/>
  <c r="F1029" i="30"/>
  <c r="A1030" i="30"/>
  <c r="B1030" i="30"/>
  <c r="C1030" i="30"/>
  <c r="D1030" i="30"/>
  <c r="E1030" i="30"/>
  <c r="F1030" i="30"/>
  <c r="A1031" i="30"/>
  <c r="B1031" i="30"/>
  <c r="C1031" i="30"/>
  <c r="D1031" i="30"/>
  <c r="E1031" i="30"/>
  <c r="F1031" i="30"/>
  <c r="A1032" i="30"/>
  <c r="B1032" i="30"/>
  <c r="C1032" i="30"/>
  <c r="D1032" i="30"/>
  <c r="E1032" i="30"/>
  <c r="F1032" i="30"/>
  <c r="A1033" i="30"/>
  <c r="B1033" i="30"/>
  <c r="C1033" i="30"/>
  <c r="D1033" i="30"/>
  <c r="E1033" i="30"/>
  <c r="F1033" i="30"/>
  <c r="A1034" i="30"/>
  <c r="B1034" i="30"/>
  <c r="C1034" i="30"/>
  <c r="D1034" i="30"/>
  <c r="E1034" i="30"/>
  <c r="F1034" i="30"/>
  <c r="A1035" i="30"/>
  <c r="B1035" i="30"/>
  <c r="C1035" i="30"/>
  <c r="D1035" i="30"/>
  <c r="E1035" i="30"/>
  <c r="F1035" i="30"/>
  <c r="A1036" i="30"/>
  <c r="B1036" i="30"/>
  <c r="C1036" i="30"/>
  <c r="D1036" i="30"/>
  <c r="E1036" i="30"/>
  <c r="F1036" i="30"/>
  <c r="A1037" i="30"/>
  <c r="B1037" i="30"/>
  <c r="C1037" i="30"/>
  <c r="D1037" i="30"/>
  <c r="E1037" i="30"/>
  <c r="F1037" i="30"/>
  <c r="A1038" i="30"/>
  <c r="B1038" i="30"/>
  <c r="C1038" i="30"/>
  <c r="D1038" i="30"/>
  <c r="E1038" i="30"/>
  <c r="F1038" i="30"/>
  <c r="A1039" i="30"/>
  <c r="B1039" i="30"/>
  <c r="C1039" i="30"/>
  <c r="D1039" i="30"/>
  <c r="E1039" i="30"/>
  <c r="F1039" i="30"/>
  <c r="A1040" i="30"/>
  <c r="B1040" i="30"/>
  <c r="C1040" i="30"/>
  <c r="D1040" i="30"/>
  <c r="E1040" i="30"/>
  <c r="F1040" i="30"/>
  <c r="A1041" i="30"/>
  <c r="B1041" i="30"/>
  <c r="C1041" i="30"/>
  <c r="D1041" i="30"/>
  <c r="E1041" i="30"/>
  <c r="F1041" i="30"/>
  <c r="A1042" i="30"/>
  <c r="B1042" i="30"/>
  <c r="C1042" i="30"/>
  <c r="D1042" i="30"/>
  <c r="E1042" i="30"/>
  <c r="F1042" i="30"/>
  <c r="A1043" i="30"/>
  <c r="B1043" i="30"/>
  <c r="C1043" i="30"/>
  <c r="D1043" i="30"/>
  <c r="E1043" i="30"/>
  <c r="F1043" i="30"/>
  <c r="A1044" i="30"/>
  <c r="B1044" i="30"/>
  <c r="C1044" i="30"/>
  <c r="D1044" i="30"/>
  <c r="E1044" i="30"/>
  <c r="F1044" i="30"/>
  <c r="A1045" i="30"/>
  <c r="B1045" i="30"/>
  <c r="C1045" i="30"/>
  <c r="D1045" i="30"/>
  <c r="E1045" i="30"/>
  <c r="F1045" i="30"/>
  <c r="A1046" i="30"/>
  <c r="B1046" i="30"/>
  <c r="C1046" i="30"/>
  <c r="D1046" i="30"/>
  <c r="E1046" i="30"/>
  <c r="F1046" i="30"/>
  <c r="A1047" i="30"/>
  <c r="B1047" i="30"/>
  <c r="C1047" i="30"/>
  <c r="D1047" i="30"/>
  <c r="E1047" i="30"/>
  <c r="F1047" i="30"/>
  <c r="A1048" i="30"/>
  <c r="B1048" i="30"/>
  <c r="C1048" i="30"/>
  <c r="D1048" i="30"/>
  <c r="E1048" i="30"/>
  <c r="F1048" i="30"/>
  <c r="A1049" i="30"/>
  <c r="B1049" i="30"/>
  <c r="C1049" i="30"/>
  <c r="D1049" i="30"/>
  <c r="E1049" i="30"/>
  <c r="F1049" i="30"/>
  <c r="A1050" i="30"/>
  <c r="B1050" i="30"/>
  <c r="C1050" i="30"/>
  <c r="D1050" i="30"/>
  <c r="E1050" i="30"/>
  <c r="F1050" i="30"/>
  <c r="A1051" i="30"/>
  <c r="B1051" i="30"/>
  <c r="C1051" i="30"/>
  <c r="D1051" i="30"/>
  <c r="E1051" i="30"/>
  <c r="F1051" i="30"/>
  <c r="A1052" i="30"/>
  <c r="B1052" i="30"/>
  <c r="C1052" i="30"/>
  <c r="D1052" i="30"/>
  <c r="E1052" i="30"/>
  <c r="F1052" i="30"/>
  <c r="A1053" i="30"/>
  <c r="B1053" i="30"/>
  <c r="C1053" i="30"/>
  <c r="D1053" i="30"/>
  <c r="E1053" i="30"/>
  <c r="F1053" i="30"/>
  <c r="A1054" i="30"/>
  <c r="B1054" i="30"/>
  <c r="C1054" i="30"/>
  <c r="D1054" i="30"/>
  <c r="E1054" i="30"/>
  <c r="F1054" i="30"/>
  <c r="A1055" i="30"/>
  <c r="B1055" i="30"/>
  <c r="C1055" i="30"/>
  <c r="D1055" i="30"/>
  <c r="E1055" i="30"/>
  <c r="F1055" i="30"/>
  <c r="A1056" i="30"/>
  <c r="B1056" i="30"/>
  <c r="C1056" i="30"/>
  <c r="D1056" i="30"/>
  <c r="E1056" i="30"/>
  <c r="F1056" i="30"/>
  <c r="A1057" i="30"/>
  <c r="B1057" i="30"/>
  <c r="C1057" i="30"/>
  <c r="D1057" i="30"/>
  <c r="E1057" i="30"/>
  <c r="F1057" i="30"/>
  <c r="A1058" i="30"/>
  <c r="B1058" i="30"/>
  <c r="C1058" i="30"/>
  <c r="D1058" i="30"/>
  <c r="E1058" i="30"/>
  <c r="F1058" i="30"/>
  <c r="A1059" i="30"/>
  <c r="B1059" i="30"/>
  <c r="C1059" i="30"/>
  <c r="D1059" i="30"/>
  <c r="E1059" i="30"/>
  <c r="F1059" i="30"/>
  <c r="A1060" i="30"/>
  <c r="B1060" i="30"/>
  <c r="C1060" i="30"/>
  <c r="D1060" i="30"/>
  <c r="E1060" i="30"/>
  <c r="F1060" i="30"/>
  <c r="A1061" i="30"/>
  <c r="B1061" i="30"/>
  <c r="C1061" i="30"/>
  <c r="D1061" i="30"/>
  <c r="E1061" i="30"/>
  <c r="F1061" i="30"/>
  <c r="A1062" i="30"/>
  <c r="B1062" i="30"/>
  <c r="C1062" i="30"/>
  <c r="D1062" i="30"/>
  <c r="E1062" i="30"/>
  <c r="F1062" i="30"/>
  <c r="A1063" i="30"/>
  <c r="B1063" i="30"/>
  <c r="C1063" i="30"/>
  <c r="D1063" i="30"/>
  <c r="E1063" i="30"/>
  <c r="F1063" i="30"/>
  <c r="A1064" i="30"/>
  <c r="B1064" i="30"/>
  <c r="C1064" i="30"/>
  <c r="D1064" i="30"/>
  <c r="E1064" i="30"/>
  <c r="F1064" i="30"/>
  <c r="A1065" i="30"/>
  <c r="B1065" i="30"/>
  <c r="C1065" i="30"/>
  <c r="D1065" i="30"/>
  <c r="E1065" i="30"/>
  <c r="F1065" i="30"/>
  <c r="A1066" i="30"/>
  <c r="B1066" i="30"/>
  <c r="C1066" i="30"/>
  <c r="D1066" i="30"/>
  <c r="E1066" i="30"/>
  <c r="F1066" i="30"/>
  <c r="A1067" i="30"/>
  <c r="B1067" i="30"/>
  <c r="C1067" i="30"/>
  <c r="D1067" i="30"/>
  <c r="E1067" i="30"/>
  <c r="F1067" i="30"/>
  <c r="A1068" i="30"/>
  <c r="B1068" i="30"/>
  <c r="C1068" i="30"/>
  <c r="D1068" i="30"/>
  <c r="E1068" i="30"/>
  <c r="F1068" i="30"/>
  <c r="A1069" i="30"/>
  <c r="B1069" i="30"/>
  <c r="C1069" i="30"/>
  <c r="D1069" i="30"/>
  <c r="E1069" i="30"/>
  <c r="F1069" i="30"/>
  <c r="A1070" i="30"/>
  <c r="B1070" i="30"/>
  <c r="C1070" i="30"/>
  <c r="D1070" i="30"/>
  <c r="E1070" i="30"/>
  <c r="F1070" i="30"/>
  <c r="A1071" i="30"/>
  <c r="B1071" i="30"/>
  <c r="C1071" i="30"/>
  <c r="D1071" i="30"/>
  <c r="E1071" i="30"/>
  <c r="F1071" i="30"/>
  <c r="A1072" i="30"/>
  <c r="B1072" i="30"/>
  <c r="C1072" i="30"/>
  <c r="D1072" i="30"/>
  <c r="E1072" i="30"/>
  <c r="F1072" i="30"/>
  <c r="A1073" i="30"/>
  <c r="B1073" i="30"/>
  <c r="C1073" i="30"/>
  <c r="D1073" i="30"/>
  <c r="E1073" i="30"/>
  <c r="F1073" i="30"/>
  <c r="A1074" i="30"/>
  <c r="B1074" i="30"/>
  <c r="C1074" i="30"/>
  <c r="D1074" i="30"/>
  <c r="E1074" i="30"/>
  <c r="F1074" i="30"/>
  <c r="A1075" i="30"/>
  <c r="B1075" i="30"/>
  <c r="C1075" i="30"/>
  <c r="D1075" i="30"/>
  <c r="E1075" i="30"/>
  <c r="F1075" i="30"/>
  <c r="A1076" i="30"/>
  <c r="B1076" i="30"/>
  <c r="C1076" i="30"/>
  <c r="D1076" i="30"/>
  <c r="E1076" i="30"/>
  <c r="F1076" i="30"/>
  <c r="A1077" i="30"/>
  <c r="B1077" i="30"/>
  <c r="C1077" i="30"/>
  <c r="D1077" i="30"/>
  <c r="E1077" i="30"/>
  <c r="F1077" i="30"/>
  <c r="A1078" i="30"/>
  <c r="B1078" i="30"/>
  <c r="C1078" i="30"/>
  <c r="D1078" i="30"/>
  <c r="E1078" i="30"/>
  <c r="F1078" i="30"/>
  <c r="A1079" i="30"/>
  <c r="B1079" i="30"/>
  <c r="C1079" i="30"/>
  <c r="D1079" i="30"/>
  <c r="E1079" i="30"/>
  <c r="F1079" i="30"/>
  <c r="A1080" i="30"/>
  <c r="B1080" i="30"/>
  <c r="C1080" i="30"/>
  <c r="D1080" i="30"/>
  <c r="E1080" i="30"/>
  <c r="F1080" i="30"/>
  <c r="A1081" i="30"/>
  <c r="B1081" i="30"/>
  <c r="C1081" i="30"/>
  <c r="D1081" i="30"/>
  <c r="E1081" i="30"/>
  <c r="F1081" i="30"/>
  <c r="A1082" i="30"/>
  <c r="B1082" i="30"/>
  <c r="C1082" i="30"/>
  <c r="D1082" i="30"/>
  <c r="E1082" i="30"/>
  <c r="F1082" i="30"/>
  <c r="A1083" i="30"/>
  <c r="B1083" i="30"/>
  <c r="C1083" i="30"/>
  <c r="D1083" i="30"/>
  <c r="E1083" i="30"/>
  <c r="F1083" i="30"/>
  <c r="A1084" i="30"/>
  <c r="B1084" i="30"/>
  <c r="C1084" i="30"/>
  <c r="D1084" i="30"/>
  <c r="E1084" i="30"/>
  <c r="F1084" i="30"/>
  <c r="A1085" i="30"/>
  <c r="B1085" i="30"/>
  <c r="C1085" i="30"/>
  <c r="D1085" i="30"/>
  <c r="E1085" i="30"/>
  <c r="F1085" i="30"/>
  <c r="A1086" i="30"/>
  <c r="B1086" i="30"/>
  <c r="C1086" i="30"/>
  <c r="D1086" i="30"/>
  <c r="E1086" i="30"/>
  <c r="F1086" i="30"/>
  <c r="A1087" i="30"/>
  <c r="B1087" i="30"/>
  <c r="C1087" i="30"/>
  <c r="D1087" i="30"/>
  <c r="E1087" i="30"/>
  <c r="F1087" i="30"/>
  <c r="A1088" i="30"/>
  <c r="B1088" i="30"/>
  <c r="C1088" i="30"/>
  <c r="D1088" i="30"/>
  <c r="E1088" i="30"/>
  <c r="F1088" i="30"/>
  <c r="A1089" i="30"/>
  <c r="B1089" i="30"/>
  <c r="C1089" i="30"/>
  <c r="D1089" i="30"/>
  <c r="E1089" i="30"/>
  <c r="F1089" i="30"/>
  <c r="A1090" i="30"/>
  <c r="B1090" i="30"/>
  <c r="C1090" i="30"/>
  <c r="D1090" i="30"/>
  <c r="E1090" i="30"/>
  <c r="F1090" i="30"/>
  <c r="A1091" i="30"/>
  <c r="B1091" i="30"/>
  <c r="C1091" i="30"/>
  <c r="D1091" i="30"/>
  <c r="E1091" i="30"/>
  <c r="F1091" i="30"/>
  <c r="A1092" i="30"/>
  <c r="B1092" i="30"/>
  <c r="C1092" i="30"/>
  <c r="D1092" i="30"/>
  <c r="E1092" i="30"/>
  <c r="F1092" i="30"/>
  <c r="A1093" i="30"/>
  <c r="B1093" i="30"/>
  <c r="C1093" i="30"/>
  <c r="D1093" i="30"/>
  <c r="E1093" i="30"/>
  <c r="F1093" i="30"/>
  <c r="A1094" i="30"/>
  <c r="B1094" i="30"/>
  <c r="C1094" i="30"/>
  <c r="D1094" i="30"/>
  <c r="E1094" i="30"/>
  <c r="F1094" i="30"/>
  <c r="A1095" i="30"/>
  <c r="B1095" i="30"/>
  <c r="C1095" i="30"/>
  <c r="D1095" i="30"/>
  <c r="E1095" i="30"/>
  <c r="F1095" i="30"/>
  <c r="A1096" i="30"/>
  <c r="B1096" i="30"/>
  <c r="C1096" i="30"/>
  <c r="D1096" i="30"/>
  <c r="E1096" i="30"/>
  <c r="F1096" i="30"/>
  <c r="A1097" i="30"/>
  <c r="B1097" i="30"/>
  <c r="C1097" i="30"/>
  <c r="D1097" i="30"/>
  <c r="E1097" i="30"/>
  <c r="F1097" i="30"/>
  <c r="A1098" i="30"/>
  <c r="B1098" i="30"/>
  <c r="C1098" i="30"/>
  <c r="D1098" i="30"/>
  <c r="E1098" i="30"/>
  <c r="F1098" i="30"/>
  <c r="A1099" i="30"/>
  <c r="B1099" i="30"/>
  <c r="C1099" i="30"/>
  <c r="D1099" i="30"/>
  <c r="E1099" i="30"/>
  <c r="F1099" i="30"/>
  <c r="A1100" i="30"/>
  <c r="B1100" i="30"/>
  <c r="C1100" i="30"/>
  <c r="D1100" i="30"/>
  <c r="E1100" i="30"/>
  <c r="F1100" i="30"/>
  <c r="A1101" i="30"/>
  <c r="B1101" i="30"/>
  <c r="C1101" i="30"/>
  <c r="D1101" i="30"/>
  <c r="E1101" i="30"/>
  <c r="F1101" i="30"/>
  <c r="A1102" i="30"/>
  <c r="B1102" i="30"/>
  <c r="C1102" i="30"/>
  <c r="D1102" i="30"/>
  <c r="E1102" i="30"/>
  <c r="F1102" i="30"/>
  <c r="A1103" i="30"/>
  <c r="B1103" i="30"/>
  <c r="C1103" i="30"/>
  <c r="D1103" i="30"/>
  <c r="E1103" i="30"/>
  <c r="F1103" i="30"/>
  <c r="A1104" i="30"/>
  <c r="B1104" i="30"/>
  <c r="C1104" i="30"/>
  <c r="D1104" i="30"/>
  <c r="E1104" i="30"/>
  <c r="F1104" i="30"/>
  <c r="A1105" i="30"/>
  <c r="B1105" i="30"/>
  <c r="C1105" i="30"/>
  <c r="D1105" i="30"/>
  <c r="E1105" i="30"/>
  <c r="F1105" i="30"/>
  <c r="A1106" i="30"/>
  <c r="B1106" i="30"/>
  <c r="C1106" i="30"/>
  <c r="D1106" i="30"/>
  <c r="E1106" i="30"/>
  <c r="F1106" i="30"/>
  <c r="A1107" i="30"/>
  <c r="B1107" i="30"/>
  <c r="C1107" i="30"/>
  <c r="D1107" i="30"/>
  <c r="E1107" i="30"/>
  <c r="F1107" i="30"/>
  <c r="A1108" i="30"/>
  <c r="B1108" i="30"/>
  <c r="C1108" i="30"/>
  <c r="D1108" i="30"/>
  <c r="E1108" i="30"/>
  <c r="F1108" i="30"/>
  <c r="A1109" i="30"/>
  <c r="B1109" i="30"/>
  <c r="C1109" i="30"/>
  <c r="D1109" i="30"/>
  <c r="E1109" i="30"/>
  <c r="F1109" i="30"/>
  <c r="A1110" i="30"/>
  <c r="B1110" i="30"/>
  <c r="C1110" i="30"/>
  <c r="D1110" i="30"/>
  <c r="E1110" i="30"/>
  <c r="F1110" i="30"/>
  <c r="A1111" i="30"/>
  <c r="B1111" i="30"/>
  <c r="C1111" i="30"/>
  <c r="D1111" i="30"/>
  <c r="E1111" i="30"/>
  <c r="F1111" i="30"/>
  <c r="A1112" i="30"/>
  <c r="B1112" i="30"/>
  <c r="C1112" i="30"/>
  <c r="D1112" i="30"/>
  <c r="E1112" i="30"/>
  <c r="F1112" i="30"/>
  <c r="A1113" i="30"/>
  <c r="B1113" i="30"/>
  <c r="C1113" i="30"/>
  <c r="D1113" i="30"/>
  <c r="E1113" i="30"/>
  <c r="F1113" i="30"/>
  <c r="A1114" i="30"/>
  <c r="B1114" i="30"/>
  <c r="C1114" i="30"/>
  <c r="D1114" i="30"/>
  <c r="E1114" i="30"/>
  <c r="F1114" i="30"/>
  <c r="A1115" i="30"/>
  <c r="B1115" i="30"/>
  <c r="C1115" i="30"/>
  <c r="D1115" i="30"/>
  <c r="E1115" i="30"/>
  <c r="F1115" i="30"/>
  <c r="A1116" i="30"/>
  <c r="B1116" i="30"/>
  <c r="C1116" i="30"/>
  <c r="D1116" i="30"/>
  <c r="E1116" i="30"/>
  <c r="F1116" i="30"/>
  <c r="A1117" i="30"/>
  <c r="B1117" i="30"/>
  <c r="C1117" i="30"/>
  <c r="D1117" i="30"/>
  <c r="E1117" i="30"/>
  <c r="F1117" i="30"/>
  <c r="A1118" i="30"/>
  <c r="B1118" i="30"/>
  <c r="C1118" i="30"/>
  <c r="D1118" i="30"/>
  <c r="E1118" i="30"/>
  <c r="F1118" i="30"/>
  <c r="A1119" i="30"/>
  <c r="B1119" i="30"/>
  <c r="C1119" i="30"/>
  <c r="D1119" i="30"/>
  <c r="E1119" i="30"/>
  <c r="F1119" i="30"/>
  <c r="A1120" i="30"/>
  <c r="B1120" i="30"/>
  <c r="C1120" i="30"/>
  <c r="D1120" i="30"/>
  <c r="E1120" i="30"/>
  <c r="F1120" i="30"/>
  <c r="A1121" i="30"/>
  <c r="B1121" i="30"/>
  <c r="C1121" i="30"/>
  <c r="D1121" i="30"/>
  <c r="E1121" i="30"/>
  <c r="F1121" i="30"/>
  <c r="A1122" i="30"/>
  <c r="B1122" i="30"/>
  <c r="C1122" i="30"/>
  <c r="D1122" i="30"/>
  <c r="E1122" i="30"/>
  <c r="F1122" i="30"/>
  <c r="A1123" i="30"/>
  <c r="B1123" i="30"/>
  <c r="C1123" i="30"/>
  <c r="D1123" i="30"/>
  <c r="E1123" i="30"/>
  <c r="F1123" i="30"/>
  <c r="A1124" i="30"/>
  <c r="B1124" i="30"/>
  <c r="C1124" i="30"/>
  <c r="D1124" i="30"/>
  <c r="E1124" i="30"/>
  <c r="F1124" i="30"/>
  <c r="A1125" i="30"/>
  <c r="B1125" i="30"/>
  <c r="C1125" i="30"/>
  <c r="D1125" i="30"/>
  <c r="E1125" i="30"/>
  <c r="F1125" i="30"/>
  <c r="A1126" i="30"/>
  <c r="B1126" i="30"/>
  <c r="C1126" i="30"/>
  <c r="D1126" i="30"/>
  <c r="E1126" i="30"/>
  <c r="F1126" i="30"/>
  <c r="A1127" i="30"/>
  <c r="B1127" i="30"/>
  <c r="C1127" i="30"/>
  <c r="D1127" i="30"/>
  <c r="E1127" i="30"/>
  <c r="F1127" i="30"/>
  <c r="A1128" i="30"/>
  <c r="B1128" i="30"/>
  <c r="C1128" i="30"/>
  <c r="D1128" i="30"/>
  <c r="E1128" i="30"/>
  <c r="F1128" i="30"/>
  <c r="A1129" i="30"/>
  <c r="B1129" i="30"/>
  <c r="C1129" i="30"/>
  <c r="D1129" i="30"/>
  <c r="E1129" i="30"/>
  <c r="F1129" i="30"/>
  <c r="A1130" i="30"/>
  <c r="B1130" i="30"/>
  <c r="C1130" i="30"/>
  <c r="D1130" i="30"/>
  <c r="E1130" i="30"/>
  <c r="F1130" i="30"/>
  <c r="A1131" i="30"/>
  <c r="B1131" i="30"/>
  <c r="C1131" i="30"/>
  <c r="D1131" i="30"/>
  <c r="E1131" i="30"/>
  <c r="F1131" i="30"/>
  <c r="A1132" i="30"/>
  <c r="B1132" i="30"/>
  <c r="C1132" i="30"/>
  <c r="D1132" i="30"/>
  <c r="E1132" i="30"/>
  <c r="F1132" i="30"/>
  <c r="A1133" i="30"/>
  <c r="B1133" i="30"/>
  <c r="C1133" i="30"/>
  <c r="D1133" i="30"/>
  <c r="E1133" i="30"/>
  <c r="F1133" i="30"/>
  <c r="A1134" i="30"/>
  <c r="B1134" i="30"/>
  <c r="C1134" i="30"/>
  <c r="D1134" i="30"/>
  <c r="E1134" i="30"/>
  <c r="F1134" i="30"/>
  <c r="A1135" i="30"/>
  <c r="B1135" i="30"/>
  <c r="C1135" i="30"/>
  <c r="D1135" i="30"/>
  <c r="E1135" i="30"/>
  <c r="F1135" i="30"/>
  <c r="A1136" i="30"/>
  <c r="B1136" i="30"/>
  <c r="C1136" i="30"/>
  <c r="D1136" i="30"/>
  <c r="E1136" i="30"/>
  <c r="F1136" i="30"/>
  <c r="A1137" i="30"/>
  <c r="B1137" i="30"/>
  <c r="C1137" i="30"/>
  <c r="D1137" i="30"/>
  <c r="E1137" i="30"/>
  <c r="F1137" i="30"/>
  <c r="A1138" i="30"/>
  <c r="B1138" i="30"/>
  <c r="C1138" i="30"/>
  <c r="D1138" i="30"/>
  <c r="E1138" i="30"/>
  <c r="F1138" i="30"/>
  <c r="A1139" i="30"/>
  <c r="B1139" i="30"/>
  <c r="C1139" i="30"/>
  <c r="D1139" i="30"/>
  <c r="E1139" i="30"/>
  <c r="F1139" i="30"/>
  <c r="A1140" i="30"/>
  <c r="B1140" i="30"/>
  <c r="C1140" i="30"/>
  <c r="D1140" i="30"/>
  <c r="E1140" i="30"/>
  <c r="F1140" i="30"/>
  <c r="A1141" i="30"/>
  <c r="B1141" i="30"/>
  <c r="C1141" i="30"/>
  <c r="D1141" i="30"/>
  <c r="E1141" i="30"/>
  <c r="F1141" i="30"/>
  <c r="A1142" i="30"/>
  <c r="B1142" i="30"/>
  <c r="C1142" i="30"/>
  <c r="D1142" i="30"/>
  <c r="E1142" i="30"/>
  <c r="F1142" i="30"/>
  <c r="A1143" i="30"/>
  <c r="B1143" i="30"/>
  <c r="C1143" i="30"/>
  <c r="D1143" i="30"/>
  <c r="E1143" i="30"/>
  <c r="F1143" i="30"/>
  <c r="A1144" i="30"/>
  <c r="B1144" i="30"/>
  <c r="C1144" i="30"/>
  <c r="D1144" i="30"/>
  <c r="E1144" i="30"/>
  <c r="F1144" i="30"/>
  <c r="A1145" i="30"/>
  <c r="B1145" i="30"/>
  <c r="C1145" i="30"/>
  <c r="D1145" i="30"/>
  <c r="E1145" i="30"/>
  <c r="F1145" i="30"/>
  <c r="A1146" i="30"/>
  <c r="B1146" i="30"/>
  <c r="C1146" i="30"/>
  <c r="D1146" i="30"/>
  <c r="E1146" i="30"/>
  <c r="F1146" i="30"/>
  <c r="A1147" i="30"/>
  <c r="B1147" i="30"/>
  <c r="C1147" i="30"/>
  <c r="D1147" i="30"/>
  <c r="E1147" i="30"/>
  <c r="F1147" i="30"/>
  <c r="A1148" i="30"/>
  <c r="B1148" i="30"/>
  <c r="C1148" i="30"/>
  <c r="D1148" i="30"/>
  <c r="E1148" i="30"/>
  <c r="F1148" i="30"/>
  <c r="A1149" i="30"/>
  <c r="B1149" i="30"/>
  <c r="C1149" i="30"/>
  <c r="D1149" i="30"/>
  <c r="E1149" i="30"/>
  <c r="F1149" i="30"/>
  <c r="A1150" i="30"/>
  <c r="B1150" i="30"/>
  <c r="C1150" i="30"/>
  <c r="D1150" i="30"/>
  <c r="E1150" i="30"/>
  <c r="F1150" i="30"/>
  <c r="A1151" i="30"/>
  <c r="B1151" i="30"/>
  <c r="C1151" i="30"/>
  <c r="D1151" i="30"/>
  <c r="E1151" i="30"/>
  <c r="F1151" i="30"/>
  <c r="A1152" i="30"/>
  <c r="B1152" i="30"/>
  <c r="C1152" i="30"/>
  <c r="D1152" i="30"/>
  <c r="E1152" i="30"/>
  <c r="F1152" i="30"/>
  <c r="A1153" i="30"/>
  <c r="B1153" i="30"/>
  <c r="C1153" i="30"/>
  <c r="D1153" i="30"/>
  <c r="E1153" i="30"/>
  <c r="F1153" i="30"/>
  <c r="A1154" i="30"/>
  <c r="B1154" i="30"/>
  <c r="C1154" i="30"/>
  <c r="D1154" i="30"/>
  <c r="E1154" i="30"/>
  <c r="F1154" i="30"/>
  <c r="A1155" i="30"/>
  <c r="B1155" i="30"/>
  <c r="C1155" i="30"/>
  <c r="D1155" i="30"/>
  <c r="E1155" i="30"/>
  <c r="F1155" i="30"/>
  <c r="A1156" i="30"/>
  <c r="B1156" i="30"/>
  <c r="C1156" i="30"/>
  <c r="D1156" i="30"/>
  <c r="E1156" i="30"/>
  <c r="F1156" i="30"/>
  <c r="A1157" i="30"/>
  <c r="B1157" i="30"/>
  <c r="C1157" i="30"/>
  <c r="D1157" i="30"/>
  <c r="E1157" i="30"/>
  <c r="F1157" i="30"/>
  <c r="A1158" i="30"/>
  <c r="B1158" i="30"/>
  <c r="C1158" i="30"/>
  <c r="D1158" i="30"/>
  <c r="E1158" i="30"/>
  <c r="F1158" i="30"/>
  <c r="A1159" i="30"/>
  <c r="B1159" i="30"/>
  <c r="C1159" i="30"/>
  <c r="D1159" i="30"/>
  <c r="E1159" i="30"/>
  <c r="F1159" i="30"/>
  <c r="A1160" i="30"/>
  <c r="B1160" i="30"/>
  <c r="C1160" i="30"/>
  <c r="D1160" i="30"/>
  <c r="E1160" i="30"/>
  <c r="F1160" i="30"/>
  <c r="A1161" i="30"/>
  <c r="B1161" i="30"/>
  <c r="C1161" i="30"/>
  <c r="D1161" i="30"/>
  <c r="E1161" i="30"/>
  <c r="F1161" i="30"/>
  <c r="A1162" i="30"/>
  <c r="B1162" i="30"/>
  <c r="C1162" i="30"/>
  <c r="D1162" i="30"/>
  <c r="E1162" i="30"/>
  <c r="F1162" i="30"/>
  <c r="A1163" i="30"/>
  <c r="B1163" i="30"/>
  <c r="C1163" i="30"/>
  <c r="D1163" i="30"/>
  <c r="E1163" i="30"/>
  <c r="F1163" i="30"/>
  <c r="A1164" i="30"/>
  <c r="B1164" i="30"/>
  <c r="C1164" i="30"/>
  <c r="D1164" i="30"/>
  <c r="E1164" i="30"/>
  <c r="F1164" i="30"/>
  <c r="A1165" i="30"/>
  <c r="B1165" i="30"/>
  <c r="C1165" i="30"/>
  <c r="D1165" i="30"/>
  <c r="E1165" i="30"/>
  <c r="F1165" i="30"/>
  <c r="A1166" i="30"/>
  <c r="B1166" i="30"/>
  <c r="C1166" i="30"/>
  <c r="D1166" i="30"/>
  <c r="E1166" i="30"/>
  <c r="F1166" i="30"/>
  <c r="A1167" i="30"/>
  <c r="B1167" i="30"/>
  <c r="C1167" i="30"/>
  <c r="D1167" i="30"/>
  <c r="E1167" i="30"/>
  <c r="F1167" i="30"/>
  <c r="A1168" i="30"/>
  <c r="B1168" i="30"/>
  <c r="C1168" i="30"/>
  <c r="D1168" i="30"/>
  <c r="E1168" i="30"/>
  <c r="F1168" i="30"/>
  <c r="A1169" i="30"/>
  <c r="B1169" i="30"/>
  <c r="C1169" i="30"/>
  <c r="D1169" i="30"/>
  <c r="E1169" i="30"/>
  <c r="F1169" i="30"/>
  <c r="A1170" i="30"/>
  <c r="B1170" i="30"/>
  <c r="C1170" i="30"/>
  <c r="D1170" i="30"/>
  <c r="E1170" i="30"/>
  <c r="F1170" i="30"/>
  <c r="A1171" i="30"/>
  <c r="B1171" i="30"/>
  <c r="C1171" i="30"/>
  <c r="D1171" i="30"/>
  <c r="E1171" i="30"/>
  <c r="F1171" i="30"/>
  <c r="A1172" i="30"/>
  <c r="B1172" i="30"/>
  <c r="C1172" i="30"/>
  <c r="D1172" i="30"/>
  <c r="E1172" i="30"/>
  <c r="F1172" i="30"/>
  <c r="A1173" i="30"/>
  <c r="B1173" i="30"/>
  <c r="C1173" i="30"/>
  <c r="D1173" i="30"/>
  <c r="E1173" i="30"/>
  <c r="F1173" i="30"/>
  <c r="A1174" i="30"/>
  <c r="B1174" i="30"/>
  <c r="C1174" i="30"/>
  <c r="D1174" i="30"/>
  <c r="E1174" i="30"/>
  <c r="F1174" i="30"/>
  <c r="A1175" i="30"/>
  <c r="B1175" i="30"/>
  <c r="C1175" i="30"/>
  <c r="D1175" i="30"/>
  <c r="E1175" i="30"/>
  <c r="F1175" i="30"/>
  <c r="A1176" i="30"/>
  <c r="B1176" i="30"/>
  <c r="C1176" i="30"/>
  <c r="D1176" i="30"/>
  <c r="E1176" i="30"/>
  <c r="F1176" i="30"/>
  <c r="A1177" i="30"/>
  <c r="B1177" i="30"/>
  <c r="C1177" i="30"/>
  <c r="D1177" i="30"/>
  <c r="E1177" i="30"/>
  <c r="F1177" i="30"/>
  <c r="A1178" i="30"/>
  <c r="B1178" i="30"/>
  <c r="C1178" i="30"/>
  <c r="D1178" i="30"/>
  <c r="E1178" i="30"/>
  <c r="F1178" i="30"/>
  <c r="A1179" i="30"/>
  <c r="B1179" i="30"/>
  <c r="C1179" i="30"/>
  <c r="D1179" i="30"/>
  <c r="E1179" i="30"/>
  <c r="F1179" i="30"/>
  <c r="A1180" i="30"/>
  <c r="B1180" i="30"/>
  <c r="C1180" i="30"/>
  <c r="D1180" i="30"/>
  <c r="E1180" i="30"/>
  <c r="F1180" i="30"/>
  <c r="A1181" i="30"/>
  <c r="B1181" i="30"/>
  <c r="C1181" i="30"/>
  <c r="D1181" i="30"/>
  <c r="E1181" i="30"/>
  <c r="F1181" i="30"/>
  <c r="A1182" i="30"/>
  <c r="B1182" i="30"/>
  <c r="C1182" i="30"/>
  <c r="D1182" i="30"/>
  <c r="E1182" i="30"/>
  <c r="F1182" i="30"/>
  <c r="A1183" i="30"/>
  <c r="B1183" i="30"/>
  <c r="C1183" i="30"/>
  <c r="D1183" i="30"/>
  <c r="E1183" i="30"/>
  <c r="F1183" i="30"/>
  <c r="A1184" i="30"/>
  <c r="B1184" i="30"/>
  <c r="C1184" i="30"/>
  <c r="D1184" i="30"/>
  <c r="E1184" i="30"/>
  <c r="F1184" i="30"/>
  <c r="A1185" i="30"/>
  <c r="B1185" i="30"/>
  <c r="C1185" i="30"/>
  <c r="D1185" i="30"/>
  <c r="E1185" i="30"/>
  <c r="F1185" i="30"/>
  <c r="A1186" i="30"/>
  <c r="B1186" i="30"/>
  <c r="C1186" i="30"/>
  <c r="D1186" i="30"/>
  <c r="E1186" i="30"/>
  <c r="F1186" i="30"/>
  <c r="A1187" i="30"/>
  <c r="B1187" i="30"/>
  <c r="C1187" i="30"/>
  <c r="D1187" i="30"/>
  <c r="E1187" i="30"/>
  <c r="F1187" i="30"/>
  <c r="A1188" i="30"/>
  <c r="B1188" i="30"/>
  <c r="C1188" i="30"/>
  <c r="D1188" i="30"/>
  <c r="E1188" i="30"/>
  <c r="F1188" i="30"/>
  <c r="A1189" i="30"/>
  <c r="B1189" i="30"/>
  <c r="C1189" i="30"/>
  <c r="D1189" i="30"/>
  <c r="E1189" i="30"/>
  <c r="F1189" i="30"/>
  <c r="A1190" i="30"/>
  <c r="B1190" i="30"/>
  <c r="C1190" i="30"/>
  <c r="D1190" i="30"/>
  <c r="E1190" i="30"/>
  <c r="F1190" i="30"/>
  <c r="A1191" i="30"/>
  <c r="B1191" i="30"/>
  <c r="C1191" i="30"/>
  <c r="D1191" i="30"/>
  <c r="E1191" i="30"/>
  <c r="F1191" i="30"/>
  <c r="A1192" i="30"/>
  <c r="B1192" i="30"/>
  <c r="C1192" i="30"/>
  <c r="D1192" i="30"/>
  <c r="E1192" i="30"/>
  <c r="F1192" i="30"/>
  <c r="A1193" i="30"/>
  <c r="B1193" i="30"/>
  <c r="C1193" i="30"/>
  <c r="D1193" i="30"/>
  <c r="E1193" i="30"/>
  <c r="F1193" i="30"/>
  <c r="A1194" i="30"/>
  <c r="B1194" i="30"/>
  <c r="C1194" i="30"/>
  <c r="D1194" i="30"/>
  <c r="E1194" i="30"/>
  <c r="F1194" i="30"/>
  <c r="A1195" i="30"/>
  <c r="B1195" i="30"/>
  <c r="C1195" i="30"/>
  <c r="D1195" i="30"/>
  <c r="E1195" i="30"/>
  <c r="F1195" i="30"/>
  <c r="A1196" i="30"/>
  <c r="B1196" i="30"/>
  <c r="C1196" i="30"/>
  <c r="D1196" i="30"/>
  <c r="E1196" i="30"/>
  <c r="F1196" i="30"/>
  <c r="A1197" i="30"/>
  <c r="B1197" i="30"/>
  <c r="C1197" i="30"/>
  <c r="D1197" i="30"/>
  <c r="E1197" i="30"/>
  <c r="F1197" i="30"/>
  <c r="A1198" i="30"/>
  <c r="B1198" i="30"/>
  <c r="C1198" i="30"/>
  <c r="D1198" i="30"/>
  <c r="E1198" i="30"/>
  <c r="F1198" i="30"/>
  <c r="A1199" i="30"/>
  <c r="B1199" i="30"/>
  <c r="C1199" i="30"/>
  <c r="D1199" i="30"/>
  <c r="E1199" i="30"/>
  <c r="F1199" i="30"/>
  <c r="A1200" i="30"/>
  <c r="B1200" i="30"/>
  <c r="C1200" i="30"/>
  <c r="D1200" i="30"/>
  <c r="E1200" i="30"/>
  <c r="F1200" i="30"/>
  <c r="A1201" i="30"/>
  <c r="B1201" i="30"/>
  <c r="C1201" i="30"/>
  <c r="D1201" i="30"/>
  <c r="E1201" i="30"/>
  <c r="F1201" i="30"/>
  <c r="A1202" i="30"/>
  <c r="B1202" i="30"/>
  <c r="C1202" i="30"/>
  <c r="D1202" i="30"/>
  <c r="E1202" i="30"/>
  <c r="F1202" i="30"/>
  <c r="A1203" i="30"/>
  <c r="B1203" i="30"/>
  <c r="C1203" i="30"/>
  <c r="D1203" i="30"/>
  <c r="E1203" i="30"/>
  <c r="F1203" i="30"/>
  <c r="A1204" i="30"/>
  <c r="B1204" i="30"/>
  <c r="C1204" i="30"/>
  <c r="D1204" i="30"/>
  <c r="E1204" i="30"/>
  <c r="F1204" i="30"/>
  <c r="A1205" i="30"/>
  <c r="B1205" i="30"/>
  <c r="C1205" i="30"/>
  <c r="D1205" i="30"/>
  <c r="E1205" i="30"/>
  <c r="F1205" i="30"/>
  <c r="A1206" i="30"/>
  <c r="B1206" i="30"/>
  <c r="C1206" i="30"/>
  <c r="D1206" i="30"/>
  <c r="E1206" i="30"/>
  <c r="F1206" i="30"/>
  <c r="A1207" i="30"/>
  <c r="B1207" i="30"/>
  <c r="C1207" i="30"/>
  <c r="D1207" i="30"/>
  <c r="E1207" i="30"/>
  <c r="F1207" i="30"/>
  <c r="A1208" i="30"/>
  <c r="B1208" i="30"/>
  <c r="C1208" i="30"/>
  <c r="D1208" i="30"/>
  <c r="E1208" i="30"/>
  <c r="F1208" i="30"/>
  <c r="A1209" i="30"/>
  <c r="B1209" i="30"/>
  <c r="C1209" i="30"/>
  <c r="D1209" i="30"/>
  <c r="E1209" i="30"/>
  <c r="F1209" i="30"/>
  <c r="A1210" i="30"/>
  <c r="B1210" i="30"/>
  <c r="C1210" i="30"/>
  <c r="D1210" i="30"/>
  <c r="E1210" i="30"/>
  <c r="F1210" i="30"/>
  <c r="A1211" i="30"/>
  <c r="B1211" i="30"/>
  <c r="C1211" i="30"/>
  <c r="D1211" i="30"/>
  <c r="E1211" i="30"/>
  <c r="F1211" i="30"/>
  <c r="A1212" i="30"/>
  <c r="B1212" i="30"/>
  <c r="C1212" i="30"/>
  <c r="D1212" i="30"/>
  <c r="E1212" i="30"/>
  <c r="F1212" i="30"/>
  <c r="A1213" i="30"/>
  <c r="B1213" i="30"/>
  <c r="C1213" i="30"/>
  <c r="D1213" i="30"/>
  <c r="E1213" i="30"/>
  <c r="F1213" i="30"/>
  <c r="A1214" i="30"/>
  <c r="B1214" i="30"/>
  <c r="C1214" i="30"/>
  <c r="D1214" i="30"/>
  <c r="E1214" i="30"/>
  <c r="F1214" i="30"/>
  <c r="A1215" i="30"/>
  <c r="B1215" i="30"/>
  <c r="C1215" i="30"/>
  <c r="D1215" i="30"/>
  <c r="E1215" i="30"/>
  <c r="F1215" i="30"/>
  <c r="A1216" i="30"/>
  <c r="B1216" i="30"/>
  <c r="C1216" i="30"/>
  <c r="D1216" i="30"/>
  <c r="E1216" i="30"/>
  <c r="F1216" i="30"/>
  <c r="A1217" i="30"/>
  <c r="B1217" i="30"/>
  <c r="C1217" i="30"/>
  <c r="D1217" i="30"/>
  <c r="E1217" i="30"/>
  <c r="F1217" i="30"/>
  <c r="A1218" i="30"/>
  <c r="B1218" i="30"/>
  <c r="C1218" i="30"/>
  <c r="D1218" i="30"/>
  <c r="E1218" i="30"/>
  <c r="F1218" i="30"/>
  <c r="A1219" i="30"/>
  <c r="B1219" i="30"/>
  <c r="C1219" i="30"/>
  <c r="D1219" i="30"/>
  <c r="E1219" i="30"/>
  <c r="F1219" i="30"/>
  <c r="A1220" i="30"/>
  <c r="B1220" i="30"/>
  <c r="C1220" i="30"/>
  <c r="D1220" i="30"/>
  <c r="E1220" i="30"/>
  <c r="F1220" i="30"/>
  <c r="A1221" i="30"/>
  <c r="B1221" i="30"/>
  <c r="C1221" i="30"/>
  <c r="D1221" i="30"/>
  <c r="E1221" i="30"/>
  <c r="F1221" i="30"/>
  <c r="A1222" i="30"/>
  <c r="B1222" i="30"/>
  <c r="C1222" i="30"/>
  <c r="D1222" i="30"/>
  <c r="E1222" i="30"/>
  <c r="F1222" i="30"/>
  <c r="A1223" i="30"/>
  <c r="B1223" i="30"/>
  <c r="C1223" i="30"/>
  <c r="D1223" i="30"/>
  <c r="E1223" i="30"/>
  <c r="F1223" i="30"/>
  <c r="A1224" i="30"/>
  <c r="B1224" i="30"/>
  <c r="C1224" i="30"/>
  <c r="D1224" i="30"/>
  <c r="E1224" i="30"/>
  <c r="F1224" i="30"/>
  <c r="A1225" i="30"/>
  <c r="B1225" i="30"/>
  <c r="C1225" i="30"/>
  <c r="D1225" i="30"/>
  <c r="E1225" i="30"/>
  <c r="F1225" i="30"/>
  <c r="A1226" i="30"/>
  <c r="B1226" i="30"/>
  <c r="C1226" i="30"/>
  <c r="D1226" i="30"/>
  <c r="E1226" i="30"/>
  <c r="F1226" i="30"/>
  <c r="A1227" i="30"/>
  <c r="B1227" i="30"/>
  <c r="C1227" i="30"/>
  <c r="D1227" i="30"/>
  <c r="E1227" i="30"/>
  <c r="F1227" i="30"/>
  <c r="A1228" i="30"/>
  <c r="B1228" i="30"/>
  <c r="C1228" i="30"/>
  <c r="D1228" i="30"/>
  <c r="E1228" i="30"/>
  <c r="F1228" i="30"/>
  <c r="A1229" i="30"/>
  <c r="B1229" i="30"/>
  <c r="C1229" i="30"/>
  <c r="D1229" i="30"/>
  <c r="E1229" i="30"/>
  <c r="F1229" i="30"/>
  <c r="A1230" i="30"/>
  <c r="B1230" i="30"/>
  <c r="C1230" i="30"/>
  <c r="D1230" i="30"/>
  <c r="E1230" i="30"/>
  <c r="F1230" i="30"/>
  <c r="A1231" i="30"/>
  <c r="B1231" i="30"/>
  <c r="C1231" i="30"/>
  <c r="D1231" i="30"/>
  <c r="E1231" i="30"/>
  <c r="F1231" i="30"/>
  <c r="A1232" i="30"/>
  <c r="B1232" i="30"/>
  <c r="C1232" i="30"/>
  <c r="D1232" i="30"/>
  <c r="E1232" i="30"/>
  <c r="F1232" i="30"/>
  <c r="A1233" i="30"/>
  <c r="B1233" i="30"/>
  <c r="C1233" i="30"/>
  <c r="D1233" i="30"/>
  <c r="E1233" i="30"/>
  <c r="F1233" i="30"/>
  <c r="A1234" i="30"/>
  <c r="B1234" i="30"/>
  <c r="C1234" i="30"/>
  <c r="D1234" i="30"/>
  <c r="E1234" i="30"/>
  <c r="F1234" i="30"/>
  <c r="A1235" i="30"/>
  <c r="B1235" i="30"/>
  <c r="C1235" i="30"/>
  <c r="D1235" i="30"/>
  <c r="E1235" i="30"/>
  <c r="F1235" i="30"/>
  <c r="A1236" i="30"/>
  <c r="B1236" i="30"/>
  <c r="C1236" i="30"/>
  <c r="D1236" i="30"/>
  <c r="E1236" i="30"/>
  <c r="F1236" i="30"/>
  <c r="A1237" i="30"/>
  <c r="B1237" i="30"/>
  <c r="C1237" i="30"/>
  <c r="D1237" i="30"/>
  <c r="E1237" i="30"/>
  <c r="F1237" i="30"/>
  <c r="A1238" i="30"/>
  <c r="B1238" i="30"/>
  <c r="C1238" i="30"/>
  <c r="D1238" i="30"/>
  <c r="E1238" i="30"/>
  <c r="F1238" i="30"/>
  <c r="A1239" i="30"/>
  <c r="B1239" i="30"/>
  <c r="C1239" i="30"/>
  <c r="D1239" i="30"/>
  <c r="E1239" i="30"/>
  <c r="F1239" i="30"/>
  <c r="A1240" i="30"/>
  <c r="B1240" i="30"/>
  <c r="C1240" i="30"/>
  <c r="D1240" i="30"/>
  <c r="E1240" i="30"/>
  <c r="F1240" i="30"/>
  <c r="A1241" i="30"/>
  <c r="B1241" i="30"/>
  <c r="C1241" i="30"/>
  <c r="D1241" i="30"/>
  <c r="E1241" i="30"/>
  <c r="F1241" i="30"/>
  <c r="A1242" i="30"/>
  <c r="B1242" i="30"/>
  <c r="C1242" i="30"/>
  <c r="D1242" i="30"/>
  <c r="E1242" i="30"/>
  <c r="F1242" i="30"/>
  <c r="A2" i="30"/>
  <c r="K8" i="30" s="1" a="1"/>
  <c r="K8" i="30" s="1"/>
  <c r="B2" i="30"/>
  <c r="C2" i="30"/>
  <c r="D2" i="30"/>
  <c r="E2" i="30"/>
  <c r="F2" i="30"/>
  <c r="A3" i="30"/>
  <c r="B3" i="30"/>
  <c r="C3" i="30"/>
  <c r="D3" i="30"/>
  <c r="E3" i="30"/>
  <c r="F3" i="30"/>
  <c r="A4" i="30"/>
  <c r="B4" i="30"/>
  <c r="C4" i="30"/>
  <c r="D4" i="30"/>
  <c r="E4" i="30"/>
  <c r="F4" i="30"/>
  <c r="A5" i="30"/>
  <c r="B5" i="30"/>
  <c r="C5" i="30"/>
  <c r="D5" i="30"/>
  <c r="E5" i="30"/>
  <c r="F5" i="30"/>
  <c r="A6" i="30"/>
  <c r="B6" i="30"/>
  <c r="C6" i="30"/>
  <c r="D6" i="30"/>
  <c r="E6" i="30"/>
  <c r="F6" i="30"/>
  <c r="A7" i="30"/>
  <c r="B7" i="30"/>
  <c r="C7" i="30"/>
  <c r="D7" i="30"/>
  <c r="E7" i="30"/>
  <c r="F7" i="30"/>
  <c r="A8" i="30"/>
  <c r="B8" i="30"/>
  <c r="C8" i="30"/>
  <c r="D8" i="30"/>
  <c r="E8" i="30"/>
  <c r="F8" i="30"/>
  <c r="A9" i="30"/>
  <c r="B9" i="30"/>
  <c r="C9" i="30"/>
  <c r="D9" i="30"/>
  <c r="E9" i="30"/>
  <c r="F9" i="30"/>
  <c r="A10" i="30"/>
  <c r="B10" i="30"/>
  <c r="C10" i="30"/>
  <c r="D10" i="30"/>
  <c r="E10" i="30"/>
  <c r="F10" i="30"/>
  <c r="A11" i="30"/>
  <c r="B11" i="30"/>
  <c r="C11" i="30"/>
  <c r="D11" i="30"/>
  <c r="E11" i="30"/>
  <c r="F11" i="30"/>
  <c r="A12" i="30"/>
  <c r="B12" i="30"/>
  <c r="C12" i="30"/>
  <c r="D12" i="30"/>
  <c r="E12" i="30"/>
  <c r="F12" i="30"/>
  <c r="A13" i="30"/>
  <c r="B13" i="30"/>
  <c r="C13" i="30"/>
  <c r="D13" i="30"/>
  <c r="E13" i="30"/>
  <c r="F13" i="30"/>
  <c r="A14" i="30"/>
  <c r="B14" i="30"/>
  <c r="C14" i="30"/>
  <c r="D14" i="30"/>
  <c r="E14" i="30"/>
  <c r="F14" i="30"/>
  <c r="A15" i="30"/>
  <c r="B15" i="30"/>
  <c r="C15" i="30"/>
  <c r="D15" i="30"/>
  <c r="E15" i="30"/>
  <c r="F15" i="30"/>
  <c r="A16" i="30"/>
  <c r="B16" i="30"/>
  <c r="C16" i="30"/>
  <c r="D16" i="30"/>
  <c r="E16" i="30"/>
  <c r="F16" i="30"/>
  <c r="A17" i="30"/>
  <c r="B17" i="30"/>
  <c r="C17" i="30"/>
  <c r="D17" i="30"/>
  <c r="E17" i="30"/>
  <c r="F17" i="30"/>
  <c r="A18" i="30"/>
  <c r="B18" i="30"/>
  <c r="C18" i="30"/>
  <c r="D18" i="30"/>
  <c r="E18" i="30"/>
  <c r="F18" i="30"/>
  <c r="A19" i="30"/>
  <c r="B19" i="30"/>
  <c r="C19" i="30"/>
  <c r="D19" i="30"/>
  <c r="E19" i="30"/>
  <c r="F19" i="30"/>
  <c r="A20" i="30"/>
  <c r="B20" i="30"/>
  <c r="C20" i="30"/>
  <c r="D20" i="30"/>
  <c r="E20" i="30"/>
  <c r="F20" i="30"/>
  <c r="A21" i="30"/>
  <c r="B21" i="30"/>
  <c r="C21" i="30"/>
  <c r="D21" i="30"/>
  <c r="E21" i="30"/>
  <c r="F21" i="30"/>
  <c r="A22" i="30"/>
  <c r="B22" i="30"/>
  <c r="C22" i="30"/>
  <c r="D22" i="30"/>
  <c r="E22" i="30"/>
  <c r="F22" i="30"/>
  <c r="A23" i="30"/>
  <c r="B23" i="30"/>
  <c r="C23" i="30"/>
  <c r="D23" i="30"/>
  <c r="E23" i="30"/>
  <c r="F23" i="30"/>
  <c r="A24" i="30"/>
  <c r="B24" i="30"/>
  <c r="C24" i="30"/>
  <c r="D24" i="30"/>
  <c r="E24" i="30"/>
  <c r="F24" i="30"/>
  <c r="A25" i="30"/>
  <c r="B25" i="30"/>
  <c r="C25" i="30"/>
  <c r="D25" i="30"/>
  <c r="E25" i="30"/>
  <c r="F25" i="30"/>
  <c r="A26" i="30"/>
  <c r="B26" i="30"/>
  <c r="C26" i="30"/>
  <c r="D26" i="30"/>
  <c r="E26" i="30"/>
  <c r="F26" i="30"/>
  <c r="A27" i="30"/>
  <c r="B27" i="30"/>
  <c r="C27" i="30"/>
  <c r="D27" i="30"/>
  <c r="E27" i="30"/>
  <c r="F27" i="30"/>
  <c r="A28" i="30"/>
  <c r="B28" i="30"/>
  <c r="C28" i="30"/>
  <c r="D28" i="30"/>
  <c r="E28" i="30"/>
  <c r="F28" i="30"/>
  <c r="A29" i="30"/>
  <c r="B29" i="30"/>
  <c r="C29" i="30"/>
  <c r="D29" i="30"/>
  <c r="E29" i="30"/>
  <c r="F29" i="30"/>
  <c r="A30" i="30"/>
  <c r="B30" i="30"/>
  <c r="C30" i="30"/>
  <c r="D30" i="30"/>
  <c r="E30" i="30"/>
  <c r="F30" i="30"/>
  <c r="A31" i="30"/>
  <c r="B31" i="30"/>
  <c r="C31" i="30"/>
  <c r="D31" i="30"/>
  <c r="E31" i="30"/>
  <c r="F31" i="30"/>
  <c r="A32" i="30"/>
  <c r="B32" i="30"/>
  <c r="C32" i="30"/>
  <c r="D32" i="30"/>
  <c r="E32" i="30"/>
  <c r="F32" i="30"/>
  <c r="A33" i="30"/>
  <c r="B33" i="30"/>
  <c r="C33" i="30"/>
  <c r="D33" i="30"/>
  <c r="E33" i="30"/>
  <c r="F33" i="30"/>
  <c r="A34" i="30"/>
  <c r="B34" i="30"/>
  <c r="C34" i="30"/>
  <c r="D34" i="30"/>
  <c r="E34" i="30"/>
  <c r="F34" i="30"/>
  <c r="A35" i="30"/>
  <c r="B35" i="30"/>
  <c r="C35" i="30"/>
  <c r="D35" i="30"/>
  <c r="E35" i="30"/>
  <c r="F35" i="30"/>
  <c r="A36" i="30"/>
  <c r="B36" i="30"/>
  <c r="C36" i="30"/>
  <c r="D36" i="30"/>
  <c r="E36" i="30"/>
  <c r="F36" i="30"/>
  <c r="A37" i="30"/>
  <c r="B37" i="30"/>
  <c r="C37" i="30"/>
  <c r="D37" i="30"/>
  <c r="E37" i="30"/>
  <c r="F37" i="30"/>
  <c r="A38" i="30"/>
  <c r="B38" i="30"/>
  <c r="C38" i="30"/>
  <c r="D38" i="30"/>
  <c r="E38" i="30"/>
  <c r="F38" i="30"/>
  <c r="A39" i="30"/>
  <c r="B39" i="30"/>
  <c r="C39" i="30"/>
  <c r="D39" i="30"/>
  <c r="E39" i="30"/>
  <c r="F39" i="30"/>
  <c r="A40" i="30"/>
  <c r="B40" i="30"/>
  <c r="C40" i="30"/>
  <c r="D40" i="30"/>
  <c r="E40" i="30"/>
  <c r="F40" i="30"/>
  <c r="A41" i="30"/>
  <c r="B41" i="30"/>
  <c r="C41" i="30"/>
  <c r="D41" i="30"/>
  <c r="E41" i="30"/>
  <c r="F41" i="30"/>
  <c r="A42" i="30"/>
  <c r="B42" i="30"/>
  <c r="C42" i="30"/>
  <c r="D42" i="30"/>
  <c r="E42" i="30"/>
  <c r="F42" i="30"/>
  <c r="A43" i="30"/>
  <c r="B43" i="30"/>
  <c r="C43" i="30"/>
  <c r="D43" i="30"/>
  <c r="E43" i="30"/>
  <c r="F43" i="30"/>
  <c r="A44" i="30"/>
  <c r="B44" i="30"/>
  <c r="C44" i="30"/>
  <c r="D44" i="30"/>
  <c r="E44" i="30"/>
  <c r="F44" i="30"/>
  <c r="A45" i="30"/>
  <c r="B45" i="30"/>
  <c r="C45" i="30"/>
  <c r="D45" i="30"/>
  <c r="E45" i="30"/>
  <c r="F45" i="30"/>
  <c r="A46" i="30"/>
  <c r="B46" i="30"/>
  <c r="C46" i="30"/>
  <c r="D46" i="30"/>
  <c r="E46" i="30"/>
  <c r="F46" i="30"/>
  <c r="A47" i="30"/>
  <c r="B47" i="30"/>
  <c r="C47" i="30"/>
  <c r="D47" i="30"/>
  <c r="E47" i="30"/>
  <c r="F47" i="30"/>
  <c r="A48" i="30"/>
  <c r="B48" i="30"/>
  <c r="C48" i="30"/>
  <c r="D48" i="30"/>
  <c r="E48" i="30"/>
  <c r="F48" i="30"/>
  <c r="A49" i="30"/>
  <c r="B49" i="30"/>
  <c r="C49" i="30"/>
  <c r="D49" i="30"/>
  <c r="E49" i="30"/>
  <c r="F49" i="30"/>
  <c r="A50" i="30"/>
  <c r="B50" i="30"/>
  <c r="C50" i="30"/>
  <c r="D50" i="30"/>
  <c r="E50" i="30"/>
  <c r="F50" i="30"/>
  <c r="A51" i="30"/>
  <c r="B51" i="30"/>
  <c r="C51" i="30"/>
  <c r="D51" i="30"/>
  <c r="E51" i="30"/>
  <c r="F51" i="30"/>
  <c r="A52" i="30"/>
  <c r="B52" i="30"/>
  <c r="C52" i="30"/>
  <c r="D52" i="30"/>
  <c r="E52" i="30"/>
  <c r="F52" i="30"/>
  <c r="A53" i="30"/>
  <c r="B53" i="30"/>
  <c r="C53" i="30"/>
  <c r="D53" i="30"/>
  <c r="E53" i="30"/>
  <c r="F53" i="30"/>
  <c r="A54" i="30"/>
  <c r="B54" i="30"/>
  <c r="C54" i="30"/>
  <c r="D54" i="30"/>
  <c r="E54" i="30"/>
  <c r="F54" i="30"/>
  <c r="A55" i="30"/>
  <c r="B55" i="30"/>
  <c r="C55" i="30"/>
  <c r="D55" i="30"/>
  <c r="E55" i="30"/>
  <c r="F55" i="30"/>
  <c r="A56" i="30"/>
  <c r="B56" i="30"/>
  <c r="C56" i="30"/>
  <c r="D56" i="30"/>
  <c r="E56" i="30"/>
  <c r="F56" i="30"/>
  <c r="A57" i="30"/>
  <c r="B57" i="30"/>
  <c r="C57" i="30"/>
  <c r="D57" i="30"/>
  <c r="E57" i="30"/>
  <c r="F57" i="30"/>
  <c r="A58" i="30"/>
  <c r="B58" i="30"/>
  <c r="C58" i="30"/>
  <c r="D58" i="30"/>
  <c r="E58" i="30"/>
  <c r="F58" i="30"/>
  <c r="A59" i="30"/>
  <c r="B59" i="30"/>
  <c r="C59" i="30"/>
  <c r="D59" i="30"/>
  <c r="E59" i="30"/>
  <c r="F59" i="30"/>
  <c r="A60" i="30"/>
  <c r="B60" i="30"/>
  <c r="C60" i="30"/>
  <c r="D60" i="30"/>
  <c r="E60" i="30"/>
  <c r="F60" i="30"/>
  <c r="F1" i="30"/>
  <c r="E1" i="30"/>
  <c r="D1" i="30"/>
  <c r="C1" i="30"/>
  <c r="B1" i="30"/>
  <c r="A1" i="30"/>
  <c r="T27" i="30"/>
  <c r="AP22" i="30"/>
  <c r="AO22" i="30"/>
  <c r="AN22" i="30"/>
  <c r="AM22" i="30"/>
  <c r="B4" i="15" a="1"/>
  <c r="V21" i="15"/>
  <c r="U26" i="15"/>
  <c r="V26" i="15"/>
  <c r="U24" i="15"/>
  <c r="V24" i="15"/>
  <c r="U29" i="15"/>
  <c r="U22" i="15"/>
  <c r="V29" i="15"/>
  <c r="V22" i="15"/>
  <c r="U27" i="15"/>
  <c r="U21" i="15"/>
  <c r="V27" i="15"/>
  <c r="U25" i="15"/>
  <c r="V25" i="15"/>
  <c r="U23" i="15"/>
  <c r="V28" i="15"/>
  <c r="V23" i="15"/>
  <c r="U28" i="15"/>
  <c r="E4" i="15" a="1"/>
  <c r="D5" i="15" a="1"/>
  <c r="T31" i="30" a="1"/>
  <c r="B4" i="15" l="1"/>
  <c r="E4" i="15"/>
  <c r="D5" i="15"/>
  <c r="T31" i="30"/>
  <c r="M6" i="15"/>
  <c r="U14" i="15"/>
  <c r="P8" i="15"/>
  <c r="G17" i="15"/>
  <c r="G10" i="15"/>
  <c r="O18" i="15"/>
  <c r="H10" i="15"/>
  <c r="P18" i="15"/>
  <c r="U10" i="15"/>
  <c r="L19" i="15"/>
  <c r="O9" i="15"/>
  <c r="F18" i="15"/>
  <c r="P9" i="15"/>
  <c r="G18" i="15"/>
  <c r="L10" i="15"/>
  <c r="T18" i="15"/>
  <c r="R9" i="15"/>
  <c r="I18" i="15"/>
  <c r="G9" i="15"/>
  <c r="O17" i="15"/>
  <c r="O10" i="15"/>
  <c r="F19" i="15"/>
  <c r="F29" i="15"/>
  <c r="G29" i="15"/>
  <c r="M28" i="15"/>
  <c r="G27" i="15"/>
  <c r="H27" i="15"/>
  <c r="I27" i="15"/>
  <c r="Q28" i="15"/>
  <c r="R28" i="15"/>
  <c r="G28" i="15"/>
  <c r="K25" i="15"/>
  <c r="L25" i="15"/>
  <c r="H7" i="15"/>
  <c r="P15" i="15"/>
  <c r="K9" i="15"/>
  <c r="S17" i="15"/>
  <c r="S10" i="15"/>
  <c r="J19" i="15"/>
  <c r="T10" i="15"/>
  <c r="K19" i="15"/>
  <c r="P11" i="15"/>
  <c r="G20" i="15"/>
  <c r="R18" i="15"/>
  <c r="K10" i="15"/>
  <c r="S18" i="15"/>
  <c r="G11" i="15"/>
  <c r="O19" i="15"/>
  <c r="M10" i="15"/>
  <c r="U18" i="15"/>
  <c r="S9" i="15"/>
  <c r="J18" i="15"/>
  <c r="J11" i="15"/>
  <c r="R29" i="15"/>
  <c r="S29" i="15"/>
  <c r="H29" i="15"/>
  <c r="T27" i="15"/>
  <c r="P28" i="15"/>
  <c r="M29" i="15"/>
  <c r="F26" i="15"/>
  <c r="O15" i="15"/>
  <c r="H14" i="15"/>
  <c r="H13" i="15"/>
  <c r="J13" i="15"/>
  <c r="M23" i="15"/>
  <c r="F23" i="15"/>
  <c r="P29" i="15"/>
  <c r="J26" i="15"/>
  <c r="N22" i="15"/>
  <c r="P17" i="15"/>
  <c r="Q18" i="15"/>
  <c r="Q9" i="15"/>
  <c r="L28" i="15"/>
  <c r="P24" i="15"/>
  <c r="J10" i="15"/>
  <c r="R19" i="15"/>
  <c r="S27" i="15"/>
  <c r="L29" i="15"/>
  <c r="S28" i="15"/>
  <c r="G26" i="15"/>
  <c r="S19" i="15"/>
  <c r="K11" i="15"/>
  <c r="L18" i="15"/>
  <c r="M21" i="15"/>
  <c r="G23" i="15"/>
  <c r="U16" i="15"/>
  <c r="P26" i="15"/>
  <c r="P27" i="15"/>
  <c r="I10" i="15"/>
  <c r="L8" i="15"/>
  <c r="Q24" i="15"/>
  <c r="T7" i="15"/>
  <c r="K16" i="15"/>
  <c r="F10" i="15"/>
  <c r="N18" i="15"/>
  <c r="N11" i="15"/>
  <c r="V19" i="15"/>
  <c r="O11" i="15"/>
  <c r="F20" i="15"/>
  <c r="K12" i="15"/>
  <c r="S20" i="15"/>
  <c r="V10" i="15"/>
  <c r="M19" i="15"/>
  <c r="F11" i="15"/>
  <c r="N19" i="15"/>
  <c r="S11" i="15"/>
  <c r="J20" i="15"/>
  <c r="H11" i="15"/>
  <c r="P19" i="15"/>
  <c r="N10" i="15"/>
  <c r="V18" i="15"/>
  <c r="V11" i="15"/>
  <c r="M20" i="15"/>
  <c r="K21" i="15"/>
  <c r="P22" i="15"/>
  <c r="T29" i="15"/>
  <c r="N28" i="15"/>
  <c r="O28" i="15"/>
  <c r="K29" i="15"/>
  <c r="K23" i="15"/>
  <c r="H26" i="15"/>
  <c r="N29" i="15"/>
  <c r="R26" i="15"/>
  <c r="S26" i="15"/>
  <c r="I21" i="15"/>
  <c r="N27" i="15"/>
  <c r="R17" i="15"/>
  <c r="M11" i="15"/>
  <c r="U12" i="15"/>
  <c r="I9" i="15"/>
  <c r="G7" i="15"/>
  <c r="R12" i="15"/>
  <c r="T20" i="15"/>
  <c r="U20" i="15"/>
  <c r="S7" i="15"/>
  <c r="N8" i="15"/>
  <c r="L20" i="15"/>
  <c r="Q22" i="15"/>
  <c r="G22" i="15"/>
  <c r="T26" i="15"/>
  <c r="K22" i="15"/>
  <c r="R21" i="15"/>
  <c r="H28" i="15"/>
  <c r="M18" i="15"/>
  <c r="U9" i="15"/>
  <c r="P12" i="15"/>
  <c r="S22" i="15"/>
  <c r="M22" i="15"/>
  <c r="M8" i="15"/>
  <c r="O26" i="15"/>
  <c r="I23" i="15"/>
  <c r="L16" i="15"/>
  <c r="K17" i="15"/>
  <c r="T16" i="15"/>
  <c r="M26" i="15"/>
  <c r="O8" i="15"/>
  <c r="F17" i="15"/>
  <c r="R10" i="15"/>
  <c r="I19" i="15"/>
  <c r="I12" i="15"/>
  <c r="Q20" i="15"/>
  <c r="J12" i="15"/>
  <c r="R20" i="15"/>
  <c r="F13" i="15"/>
  <c r="P10" i="15"/>
  <c r="Q11" i="15"/>
  <c r="H20" i="15"/>
  <c r="R11" i="15"/>
  <c r="I20" i="15"/>
  <c r="N12" i="15"/>
  <c r="V20" i="15"/>
  <c r="T11" i="15"/>
  <c r="K20" i="15"/>
  <c r="I11" i="15"/>
  <c r="Q19" i="15"/>
  <c r="Q12" i="15"/>
  <c r="J21" i="15"/>
  <c r="F22" i="15"/>
  <c r="L21" i="15"/>
  <c r="F24" i="15"/>
  <c r="I29" i="15"/>
  <c r="J29" i="15"/>
  <c r="P21" i="15"/>
  <c r="Q21" i="15"/>
  <c r="F21" i="15"/>
  <c r="M27" i="15"/>
  <c r="J9" i="15"/>
  <c r="U19" i="15"/>
  <c r="V12" i="15"/>
  <c r="R13" i="15"/>
  <c r="L12" i="15"/>
  <c r="M12" i="15"/>
  <c r="I13" i="15"/>
  <c r="O12" i="15"/>
  <c r="U11" i="15"/>
  <c r="L13" i="15"/>
  <c r="R22" i="15"/>
  <c r="R24" i="15"/>
  <c r="L22" i="15"/>
  <c r="M25" i="15"/>
  <c r="I28" i="15"/>
  <c r="H12" i="15"/>
  <c r="F12" i="15"/>
  <c r="J28" i="15"/>
  <c r="G25" i="15"/>
  <c r="R25" i="15"/>
  <c r="T17" i="15"/>
  <c r="R27" i="15"/>
  <c r="O27" i="15"/>
  <c r="P13" i="15"/>
  <c r="M13" i="15"/>
  <c r="L23" i="15"/>
  <c r="N21" i="15"/>
  <c r="T28" i="15"/>
  <c r="I26" i="15"/>
  <c r="T25" i="15"/>
  <c r="F27" i="15"/>
  <c r="M9" i="15"/>
  <c r="K28" i="15"/>
  <c r="V9" i="15"/>
  <c r="P20" i="15"/>
  <c r="Q13" i="15"/>
  <c r="M14" i="15"/>
  <c r="G13" i="15"/>
  <c r="U13" i="15"/>
  <c r="G14" i="15"/>
  <c r="O21" i="15"/>
  <c r="J24" i="15"/>
  <c r="O22" i="15"/>
  <c r="Q26" i="15"/>
  <c r="J23" i="15"/>
  <c r="U7" i="15"/>
  <c r="H18" i="15"/>
  <c r="L26" i="15"/>
  <c r="Q10" i="15"/>
  <c r="H19" i="15"/>
  <c r="T12" i="15"/>
  <c r="L6" i="15"/>
  <c r="K14" i="15"/>
  <c r="N20" i="15"/>
  <c r="L14" i="15"/>
  <c r="Q6" i="15"/>
  <c r="H15" i="15"/>
  <c r="G19" i="15"/>
  <c r="S13" i="15"/>
  <c r="J16" i="15"/>
  <c r="T13" i="15"/>
  <c r="H6" i="15"/>
  <c r="P14" i="15"/>
  <c r="Q17" i="15"/>
  <c r="V13" i="15"/>
  <c r="T14" i="15"/>
  <c r="K13" i="15"/>
  <c r="K6" i="15"/>
  <c r="S14" i="15"/>
  <c r="G24" i="15"/>
  <c r="H24" i="15"/>
  <c r="N23" i="15"/>
  <c r="H22" i="15"/>
  <c r="I22" i="15"/>
  <c r="J22" i="15"/>
  <c r="R23" i="15"/>
  <c r="S23" i="15"/>
  <c r="H23" i="15"/>
  <c r="Q29" i="15"/>
  <c r="O29" i="15"/>
  <c r="G15" i="15"/>
  <c r="O14" i="15"/>
  <c r="I6" i="15"/>
  <c r="V16" i="15"/>
  <c r="F7" i="15"/>
  <c r="S24" i="15"/>
  <c r="I24" i="15"/>
  <c r="T22" i="15"/>
  <c r="Q23" i="15"/>
  <c r="N24" i="15"/>
  <c r="G21" i="15"/>
  <c r="S12" i="15"/>
  <c r="V14" i="15"/>
  <c r="V7" i="15"/>
  <c r="N16" i="15"/>
  <c r="J17" i="15"/>
  <c r="U15" i="15"/>
  <c r="V15" i="15"/>
  <c r="R16" i="15"/>
  <c r="G16" i="15"/>
  <c r="K26" i="15"/>
  <c r="J25" i="15"/>
  <c r="Q25" i="15"/>
  <c r="L9" i="15"/>
  <c r="F9" i="15"/>
  <c r="L27" i="15"/>
  <c r="L11" i="15"/>
  <c r="T19" i="15"/>
  <c r="O13" i="15"/>
  <c r="O6" i="15"/>
  <c r="F15" i="15"/>
  <c r="P6" i="15"/>
  <c r="L7" i="15"/>
  <c r="T15" i="15"/>
  <c r="F6" i="15"/>
  <c r="N14" i="15"/>
  <c r="G6" i="15"/>
  <c r="T6" i="15"/>
  <c r="K15" i="15"/>
  <c r="Q14" i="15"/>
  <c r="F14" i="15"/>
  <c r="N15" i="15"/>
  <c r="T24" i="15"/>
  <c r="P23" i="15"/>
  <c r="M24" i="15"/>
  <c r="T23" i="15"/>
  <c r="H21" i="15"/>
  <c r="N6" i="15"/>
  <c r="F8" i="15"/>
  <c r="S8" i="15"/>
  <c r="M7" i="15"/>
  <c r="N7" i="15"/>
  <c r="J8" i="15"/>
  <c r="P7" i="15"/>
  <c r="V6" i="15"/>
  <c r="F25" i="15"/>
  <c r="Q27" i="15"/>
  <c r="T8" i="15"/>
  <c r="N17" i="15"/>
  <c r="J27" i="15"/>
  <c r="G12" i="15"/>
  <c r="O20" i="15"/>
  <c r="J14" i="15"/>
  <c r="J7" i="15"/>
  <c r="R15" i="15"/>
  <c r="K7" i="15"/>
  <c r="S15" i="15"/>
  <c r="G8" i="15"/>
  <c r="O16" i="15"/>
  <c r="R6" i="15"/>
  <c r="I15" i="15"/>
  <c r="S6" i="15"/>
  <c r="J15" i="15"/>
  <c r="O7" i="15"/>
  <c r="F16" i="15"/>
  <c r="U6" i="15"/>
  <c r="L15" i="15"/>
  <c r="J6" i="15"/>
  <c r="R14" i="15"/>
  <c r="R7" i="15"/>
  <c r="I16" i="15"/>
  <c r="N25" i="15"/>
  <c r="O25" i="15"/>
  <c r="P25" i="15"/>
  <c r="O23" i="15"/>
  <c r="K24" i="15"/>
  <c r="L24" i="15"/>
  <c r="H25" i="15"/>
  <c r="I25" i="15"/>
  <c r="O24" i="15"/>
  <c r="S21" i="15"/>
  <c r="T21" i="15"/>
  <c r="M16" i="15"/>
  <c r="M15" i="15"/>
  <c r="S25" i="15"/>
  <c r="I14" i="15"/>
  <c r="U8" i="15"/>
  <c r="T9" i="15"/>
  <c r="N26" i="15"/>
  <c r="N13" i="15"/>
  <c r="I7" i="15"/>
  <c r="Q15" i="15"/>
  <c r="Q8" i="15"/>
  <c r="H17" i="15"/>
  <c r="R8" i="15"/>
  <c r="I17" i="15"/>
  <c r="N9" i="15"/>
  <c r="V17" i="15"/>
  <c r="H8" i="15"/>
  <c r="P16" i="15"/>
  <c r="I8" i="15"/>
  <c r="Q16" i="15"/>
  <c r="V8" i="15"/>
  <c r="M17" i="15"/>
  <c r="K8" i="15"/>
  <c r="S16" i="15"/>
  <c r="Q7" i="15"/>
  <c r="H16" i="15"/>
  <c r="H9" i="15"/>
  <c r="K27" i="15"/>
  <c r="U17" i="15"/>
  <c r="L17" i="15"/>
  <c r="K18" i="15"/>
  <c r="F28" i="15"/>
  <c r="E16" i="15"/>
  <c r="E8" i="15"/>
  <c r="E9" i="15"/>
  <c r="E17" i="15"/>
  <c r="E7" i="15"/>
  <c r="E20" i="15"/>
  <c r="E11" i="15"/>
  <c r="E12" i="15"/>
  <c r="E10" i="15"/>
  <c r="E18" i="15"/>
  <c r="E5" i="15"/>
  <c r="T4" i="30" l="1"/>
  <c r="S4" i="30"/>
  <c r="L4" i="30"/>
  <c r="I4" i="30"/>
  <c r="H8" i="30" a="1"/>
  <c r="H8" i="30" s="1"/>
  <c r="D8" i="28" a="1"/>
  <c r="E7" i="28" a="1"/>
  <c r="E7" i="28" s="1"/>
  <c r="D32" i="27" a="1"/>
  <c r="E31" i="27" a="1"/>
  <c r="E31" i="27" s="1"/>
  <c r="D21" i="27" a="1"/>
  <c r="E20" i="27" a="1"/>
  <c r="E20" i="27" s="1"/>
  <c r="D10" i="27" a="1"/>
  <c r="E9" i="27" a="1"/>
  <c r="E9" i="27" s="1"/>
  <c r="D37" i="15" a="1"/>
  <c r="E36" i="15" a="1"/>
  <c r="E36" i="15" s="1"/>
  <c r="F5" i="15"/>
  <c r="R5" i="15"/>
  <c r="G5" i="15"/>
  <c r="O5" i="15"/>
  <c r="S5" i="15"/>
  <c r="Q5" i="15"/>
  <c r="J5" i="15"/>
  <c r="M5" i="15"/>
  <c r="H5" i="15"/>
  <c r="P5" i="15"/>
  <c r="L5" i="15"/>
  <c r="T5" i="15"/>
  <c r="N5" i="15"/>
  <c r="I5" i="15"/>
  <c r="U5" i="15"/>
  <c r="V5" i="15"/>
  <c r="K5" i="15"/>
  <c r="E29" i="15"/>
  <c r="E13" i="15"/>
  <c r="E23" i="15"/>
  <c r="E27" i="15"/>
  <c r="E19" i="15"/>
  <c r="E21" i="15"/>
  <c r="E6" i="15"/>
  <c r="E25" i="15"/>
  <c r="E15" i="15"/>
  <c r="E22" i="15"/>
  <c r="E28" i="15"/>
  <c r="E24" i="15"/>
  <c r="E26" i="15"/>
  <c r="E14" i="15"/>
  <c r="W8" i="30"/>
  <c r="AA34" i="30"/>
  <c r="AI8" i="30"/>
  <c r="V35" i="30"/>
  <c r="I11" i="30"/>
  <c r="AH33" i="30"/>
  <c r="AG8" i="30"/>
  <c r="I17" i="30"/>
  <c r="AD8" i="30"/>
  <c r="AE32" i="30"/>
  <c r="X33" i="30"/>
  <c r="AJ33" i="30"/>
  <c r="I23" i="30"/>
  <c r="Z31" i="30"/>
  <c r="AF35" i="30"/>
  <c r="U35" i="30"/>
  <c r="Z33" i="30"/>
  <c r="AI33" i="30"/>
  <c r="AK31" i="30"/>
  <c r="Z32" i="30"/>
  <c r="AF33" i="30"/>
  <c r="AD35" i="30"/>
  <c r="I27" i="30"/>
  <c r="AH35" i="30"/>
  <c r="I16" i="30"/>
  <c r="I29" i="30"/>
  <c r="I24" i="30"/>
  <c r="T9" i="30" a="1"/>
  <c r="AH31" i="30"/>
  <c r="Y34" i="30"/>
  <c r="I21" i="30"/>
  <c r="Y8" i="30"/>
  <c r="W35" i="30"/>
  <c r="I28" i="30"/>
  <c r="AK33" i="30"/>
  <c r="W33" i="30"/>
  <c r="AI32" i="30"/>
  <c r="I13" i="30"/>
  <c r="AE31" i="30"/>
  <c r="I22" i="30"/>
  <c r="AA35" i="30"/>
  <c r="AA8" i="30"/>
  <c r="AG33" i="30"/>
  <c r="AL31" i="30"/>
  <c r="I8" i="30"/>
  <c r="AK8" i="30"/>
  <c r="AE8" i="30"/>
  <c r="I26" i="30"/>
  <c r="I10" i="30"/>
  <c r="AF31" i="30"/>
  <c r="Y32" i="30"/>
  <c r="AB35" i="30"/>
  <c r="AL33" i="30"/>
  <c r="AH32" i="30"/>
  <c r="Y33" i="30"/>
  <c r="U32" i="30"/>
  <c r="AG31" i="30"/>
  <c r="Y35" i="30"/>
  <c r="AB34" i="30"/>
  <c r="AA32" i="30"/>
  <c r="I18" i="30"/>
  <c r="I12" i="30"/>
  <c r="X8" i="30"/>
  <c r="Z8" i="30"/>
  <c r="U33" i="30"/>
  <c r="W32" i="30"/>
  <c r="AJ34" i="30"/>
  <c r="AB32" i="30"/>
  <c r="AK35" i="30"/>
  <c r="Y31" i="30"/>
  <c r="I19" i="30"/>
  <c r="AB31" i="30"/>
  <c r="AL34" i="30"/>
  <c r="U31" i="30"/>
  <c r="V34" i="30"/>
  <c r="AD34" i="30"/>
  <c r="X35" i="30"/>
  <c r="V31" i="30"/>
  <c r="U8" i="30"/>
  <c r="AA31" i="30"/>
  <c r="AF34" i="30"/>
  <c r="AJ35" i="30"/>
  <c r="AE33" i="30"/>
  <c r="AK32" i="30"/>
  <c r="AD33" i="30"/>
  <c r="W34" i="30"/>
  <c r="AC8" i="30"/>
  <c r="V8" i="30"/>
  <c r="X32" i="30"/>
  <c r="AJ32" i="30"/>
  <c r="X31" i="30"/>
  <c r="AG34" i="30"/>
  <c r="V32" i="30"/>
  <c r="AE34" i="30"/>
  <c r="I20" i="30"/>
  <c r="AH8" i="30"/>
  <c r="AI35" i="30"/>
  <c r="AL32" i="30"/>
  <c r="AF32" i="30"/>
  <c r="AA33" i="30"/>
  <c r="I25" i="30"/>
  <c r="AF8" i="30"/>
  <c r="I9" i="30"/>
  <c r="W31" i="30"/>
  <c r="V33" i="30"/>
  <c r="AC34" i="30"/>
  <c r="AG35" i="30"/>
  <c r="AH34" i="30"/>
  <c r="AL8" i="30"/>
  <c r="AG32" i="30"/>
  <c r="I14" i="30"/>
  <c r="I15" i="30"/>
  <c r="AC33" i="30"/>
  <c r="AJ8" i="30"/>
  <c r="AK34" i="30"/>
  <c r="AC31" i="30"/>
  <c r="X34" i="30"/>
  <c r="AI31" i="30"/>
  <c r="Z34" i="30"/>
  <c r="AC35" i="30"/>
  <c r="AB33" i="30"/>
  <c r="AI34" i="30"/>
  <c r="Z35" i="30"/>
  <c r="AJ31" i="30"/>
  <c r="AE35" i="30"/>
  <c r="U34" i="30"/>
  <c r="AD31" i="30"/>
  <c r="AC32" i="30"/>
  <c r="AD32" i="30"/>
  <c r="I31" i="30"/>
  <c r="AB8" i="30"/>
  <c r="AL35" i="30"/>
  <c r="I30" i="30"/>
  <c r="AC38" i="27" l="1"/>
  <c r="N27" i="27"/>
  <c r="G16" i="27"/>
  <c r="F22" i="28"/>
  <c r="AC36" i="30"/>
  <c r="X36" i="30"/>
  <c r="AF36" i="30"/>
  <c r="AJ36" i="30"/>
  <c r="AM32" i="30"/>
  <c r="AM34" i="30"/>
  <c r="AA36" i="30"/>
  <c r="AM35" i="30"/>
  <c r="W36" i="30"/>
  <c r="AM33" i="30"/>
  <c r="AD36" i="30"/>
  <c r="AI36" i="30"/>
  <c r="U36" i="30"/>
  <c r="AM31" i="30"/>
  <c r="Y36" i="30"/>
  <c r="AH36" i="30"/>
  <c r="AG36" i="30"/>
  <c r="AL36" i="30"/>
  <c r="V36" i="30"/>
  <c r="AE36" i="30"/>
  <c r="AB36" i="30"/>
  <c r="AK36" i="30"/>
  <c r="Z36" i="30"/>
  <c r="T9" i="30"/>
  <c r="G20" i="28"/>
  <c r="F20" i="28"/>
  <c r="H15" i="28"/>
  <c r="E11" i="28"/>
  <c r="G13" i="28"/>
  <c r="F18" i="28"/>
  <c r="H20" i="28"/>
  <c r="E23" i="28"/>
  <c r="E20" i="28"/>
  <c r="G15" i="28"/>
  <c r="F23" i="28"/>
  <c r="H10" i="28"/>
  <c r="H22" i="28"/>
  <c r="G18" i="28"/>
  <c r="E9" i="28"/>
  <c r="G11" i="28"/>
  <c r="F16" i="28"/>
  <c r="H18" i="28"/>
  <c r="E21" i="28"/>
  <c r="G23" i="28"/>
  <c r="G10" i="28"/>
  <c r="H17" i="28"/>
  <c r="F13" i="28"/>
  <c r="F11" i="28"/>
  <c r="H11" i="28"/>
  <c r="H23" i="28"/>
  <c r="E13" i="28"/>
  <c r="E18" i="28"/>
  <c r="H13" i="28"/>
  <c r="E16" i="28"/>
  <c r="F9" i="28"/>
  <c r="G16" i="28"/>
  <c r="F21" i="28"/>
  <c r="G9" i="28"/>
  <c r="F14" i="28"/>
  <c r="H16" i="28"/>
  <c r="E19" i="28"/>
  <c r="G21" i="28"/>
  <c r="F15" i="28"/>
  <c r="G22" i="28"/>
  <c r="E14" i="28"/>
  <c r="H9" i="28"/>
  <c r="E12" i="28"/>
  <c r="G14" i="28"/>
  <c r="F19" i="28"/>
  <c r="H21" i="28"/>
  <c r="F12" i="28"/>
  <c r="H14" i="28"/>
  <c r="E17" i="28"/>
  <c r="G19" i="28"/>
  <c r="D8" i="28"/>
  <c r="E10" i="28"/>
  <c r="G12" i="28"/>
  <c r="F17" i="28"/>
  <c r="H19" i="28"/>
  <c r="E22" i="28"/>
  <c r="F10" i="28"/>
  <c r="H12" i="28"/>
  <c r="E15" i="28"/>
  <c r="G17" i="28"/>
  <c r="G11" i="27"/>
  <c r="E13" i="27"/>
  <c r="J14" i="27"/>
  <c r="H16" i="27"/>
  <c r="J22" i="27"/>
  <c r="K23" i="27"/>
  <c r="L24" i="27"/>
  <c r="M25" i="27"/>
  <c r="N26" i="27"/>
  <c r="O27" i="27"/>
  <c r="K33" i="27"/>
  <c r="W33" i="27"/>
  <c r="J34" i="27"/>
  <c r="V34" i="27"/>
  <c r="I35" i="27"/>
  <c r="U35" i="27"/>
  <c r="H36" i="27"/>
  <c r="T36" i="27"/>
  <c r="G37" i="27"/>
  <c r="S37" i="27"/>
  <c r="F38" i="27"/>
  <c r="R38" i="27"/>
  <c r="D10" i="27"/>
  <c r="H11" i="27"/>
  <c r="F13" i="27"/>
  <c r="K14" i="27"/>
  <c r="I16" i="27"/>
  <c r="K22" i="27"/>
  <c r="L23" i="27"/>
  <c r="M24" i="27"/>
  <c r="N25" i="27"/>
  <c r="O26" i="27"/>
  <c r="L33" i="27"/>
  <c r="X33" i="27"/>
  <c r="K34" i="27"/>
  <c r="W34" i="27"/>
  <c r="J35" i="27"/>
  <c r="V35" i="27"/>
  <c r="I36" i="27"/>
  <c r="U36" i="27"/>
  <c r="H37" i="27"/>
  <c r="T37" i="27"/>
  <c r="G38" i="27"/>
  <c r="S38" i="27"/>
  <c r="G13" i="27"/>
  <c r="J16" i="27"/>
  <c r="L22" i="27"/>
  <c r="O25" i="27"/>
  <c r="L34" i="27"/>
  <c r="K35" i="27"/>
  <c r="H38" i="27"/>
  <c r="U37" i="27"/>
  <c r="J11" i="27"/>
  <c r="H13" i="27"/>
  <c r="F15" i="27"/>
  <c r="K16" i="27"/>
  <c r="M22" i="27"/>
  <c r="N23" i="27"/>
  <c r="O24" i="27"/>
  <c r="E26" i="27"/>
  <c r="F27" i="27"/>
  <c r="D32" i="27"/>
  <c r="N33" i="27"/>
  <c r="Z33" i="27"/>
  <c r="M34" i="27"/>
  <c r="Y34" i="27"/>
  <c r="L35" i="27"/>
  <c r="X35" i="27"/>
  <c r="K36" i="27"/>
  <c r="W36" i="27"/>
  <c r="J37" i="27"/>
  <c r="V37" i="27"/>
  <c r="I38" i="27"/>
  <c r="U38" i="27"/>
  <c r="O33" i="27"/>
  <c r="AA33" i="27"/>
  <c r="N34" i="27"/>
  <c r="Z34" i="27"/>
  <c r="M35" i="27"/>
  <c r="Y35" i="27"/>
  <c r="L36" i="27"/>
  <c r="X36" i="27"/>
  <c r="K37" i="27"/>
  <c r="W37" i="27"/>
  <c r="J38" i="27"/>
  <c r="V38" i="27"/>
  <c r="O22" i="27"/>
  <c r="E24" i="27"/>
  <c r="F25" i="27"/>
  <c r="G26" i="27"/>
  <c r="H27" i="27"/>
  <c r="P33" i="27"/>
  <c r="AB33" i="27"/>
  <c r="O34" i="27"/>
  <c r="AA34" i="27"/>
  <c r="N35" i="27"/>
  <c r="Z35" i="27"/>
  <c r="M36" i="27"/>
  <c r="Y36" i="27"/>
  <c r="L37" i="27"/>
  <c r="X37" i="27"/>
  <c r="K38" i="27"/>
  <c r="W38" i="27"/>
  <c r="F12" i="27"/>
  <c r="K13" i="27"/>
  <c r="I15" i="27"/>
  <c r="D21" i="27"/>
  <c r="E23" i="27"/>
  <c r="F24" i="27"/>
  <c r="G25" i="27"/>
  <c r="H26" i="27"/>
  <c r="I27" i="27"/>
  <c r="E33" i="27"/>
  <c r="Q33" i="27"/>
  <c r="AC33" i="27"/>
  <c r="P34" i="27"/>
  <c r="AB34" i="27"/>
  <c r="O35" i="27"/>
  <c r="AA35" i="27"/>
  <c r="N36" i="27"/>
  <c r="Z36" i="27"/>
  <c r="M37" i="27"/>
  <c r="Y37" i="27"/>
  <c r="L38" i="27"/>
  <c r="X38" i="27"/>
  <c r="E22" i="27"/>
  <c r="F23" i="27"/>
  <c r="G24" i="27"/>
  <c r="H25" i="27"/>
  <c r="I26" i="27"/>
  <c r="J27" i="27"/>
  <c r="F33" i="27"/>
  <c r="R33" i="27"/>
  <c r="E34" i="27"/>
  <c r="Q34" i="27"/>
  <c r="AC34" i="27"/>
  <c r="P35" i="27"/>
  <c r="AB35" i="27"/>
  <c r="O36" i="27"/>
  <c r="AA36" i="27"/>
  <c r="N37" i="27"/>
  <c r="Z37" i="27"/>
  <c r="M38" i="27"/>
  <c r="Y38" i="27"/>
  <c r="E12" i="27"/>
  <c r="G12" i="27"/>
  <c r="J15" i="27"/>
  <c r="H12" i="27"/>
  <c r="F14" i="27"/>
  <c r="K15" i="27"/>
  <c r="F22" i="27"/>
  <c r="G23" i="27"/>
  <c r="H24" i="27"/>
  <c r="I25" i="27"/>
  <c r="J26" i="27"/>
  <c r="K27" i="27"/>
  <c r="G33" i="27"/>
  <c r="S33" i="27"/>
  <c r="F34" i="27"/>
  <c r="R34" i="27"/>
  <c r="E35" i="27"/>
  <c r="Q35" i="27"/>
  <c r="AC35" i="27"/>
  <c r="P36" i="27"/>
  <c r="AB36" i="27"/>
  <c r="O37" i="27"/>
  <c r="AA37" i="27"/>
  <c r="N38" i="27"/>
  <c r="Z38" i="27"/>
  <c r="G15" i="27"/>
  <c r="G27" i="27"/>
  <c r="E14" i="27"/>
  <c r="I12" i="27"/>
  <c r="G14" i="27"/>
  <c r="E16" i="27"/>
  <c r="G22" i="27"/>
  <c r="H23" i="27"/>
  <c r="I24" i="27"/>
  <c r="J25" i="27"/>
  <c r="K26" i="27"/>
  <c r="L27" i="27"/>
  <c r="H33" i="27"/>
  <c r="T33" i="27"/>
  <c r="G34" i="27"/>
  <c r="S34" i="27"/>
  <c r="F35" i="27"/>
  <c r="R35" i="27"/>
  <c r="E36" i="27"/>
  <c r="Q36" i="27"/>
  <c r="AC36" i="27"/>
  <c r="P37" i="27"/>
  <c r="AB37" i="27"/>
  <c r="O38" i="27"/>
  <c r="AA38" i="27"/>
  <c r="K11" i="27"/>
  <c r="I13" i="27"/>
  <c r="N22" i="27"/>
  <c r="O23" i="27"/>
  <c r="E25" i="27"/>
  <c r="F26" i="27"/>
  <c r="J13" i="27"/>
  <c r="E11" i="27"/>
  <c r="J12" i="27"/>
  <c r="H14" i="27"/>
  <c r="F16" i="27"/>
  <c r="H22" i="27"/>
  <c r="I23" i="27"/>
  <c r="J24" i="27"/>
  <c r="K25" i="27"/>
  <c r="L26" i="27"/>
  <c r="M27" i="27"/>
  <c r="I33" i="27"/>
  <c r="U33" i="27"/>
  <c r="H34" i="27"/>
  <c r="T34" i="27"/>
  <c r="G35" i="27"/>
  <c r="S35" i="27"/>
  <c r="F36" i="27"/>
  <c r="R36" i="27"/>
  <c r="E37" i="27"/>
  <c r="Q37" i="27"/>
  <c r="AC37" i="27"/>
  <c r="P38" i="27"/>
  <c r="AB38" i="27"/>
  <c r="I11" i="27"/>
  <c r="E15" i="27"/>
  <c r="M23" i="27"/>
  <c r="N24" i="27"/>
  <c r="E27" i="27"/>
  <c r="M33" i="27"/>
  <c r="Y33" i="27"/>
  <c r="X34" i="27"/>
  <c r="W35" i="27"/>
  <c r="J36" i="27"/>
  <c r="V36" i="27"/>
  <c r="I37" i="27"/>
  <c r="T38" i="27"/>
  <c r="H15" i="27"/>
  <c r="F11" i="27"/>
  <c r="K12" i="27"/>
  <c r="I14" i="27"/>
  <c r="I22" i="27"/>
  <c r="J23" i="27"/>
  <c r="K24" i="27"/>
  <c r="L25" i="27"/>
  <c r="M26" i="27"/>
  <c r="J33" i="27"/>
  <c r="V33" i="27"/>
  <c r="I34" i="27"/>
  <c r="U34" i="27"/>
  <c r="H35" i="27"/>
  <c r="T35" i="27"/>
  <c r="G36" i="27"/>
  <c r="S36" i="27"/>
  <c r="F37" i="27"/>
  <c r="R37" i="27"/>
  <c r="E38" i="27"/>
  <c r="Q38" i="27"/>
  <c r="D37" i="15"/>
  <c r="F42" i="15"/>
  <c r="F43" i="15"/>
  <c r="E38" i="15"/>
  <c r="E40" i="15"/>
  <c r="F38" i="15"/>
  <c r="F39" i="15"/>
  <c r="F40" i="15"/>
  <c r="F41" i="15"/>
  <c r="E39" i="15"/>
  <c r="E41" i="15"/>
  <c r="E43" i="15"/>
  <c r="E42" i="15"/>
  <c r="AB14" i="30"/>
  <c r="AI20" i="30"/>
  <c r="AH10" i="30"/>
  <c r="W15" i="30"/>
  <c r="AE14" i="30"/>
  <c r="AH14" i="30"/>
  <c r="U12" i="30"/>
  <c r="AF21" i="30"/>
  <c r="AE10" i="30"/>
  <c r="AL13" i="30"/>
  <c r="AJ13" i="30"/>
  <c r="Z16" i="30"/>
  <c r="AF13" i="30"/>
  <c r="AD15" i="30"/>
  <c r="Y12" i="30"/>
  <c r="W21" i="30"/>
  <c r="AD20" i="30"/>
  <c r="AG13" i="30"/>
  <c r="AJ18" i="30"/>
  <c r="AH15" i="30"/>
  <c r="Z17" i="30"/>
  <c r="AB12" i="30"/>
  <c r="U11" i="30"/>
  <c r="AE20" i="30"/>
  <c r="Y19" i="30"/>
  <c r="AD19" i="30"/>
  <c r="AG12" i="30"/>
  <c r="AC21" i="30"/>
  <c r="X13" i="30"/>
  <c r="AJ17" i="30"/>
  <c r="AF16" i="30"/>
  <c r="Y14" i="30"/>
  <c r="AK12" i="30"/>
  <c r="Z21" i="30"/>
  <c r="AI10" i="30"/>
  <c r="AJ16" i="30"/>
  <c r="AE11" i="30"/>
  <c r="AI12" i="30"/>
  <c r="AH20" i="30"/>
  <c r="AF19" i="30"/>
  <c r="AA14" i="30"/>
  <c r="AF14" i="30"/>
  <c r="V21" i="30"/>
  <c r="AB15" i="30"/>
  <c r="V15" i="30"/>
  <c r="AF12" i="30"/>
  <c r="V13" i="30"/>
  <c r="Y18" i="30"/>
  <c r="AA21" i="30"/>
  <c r="AI14" i="30"/>
  <c r="Z14" i="30"/>
  <c r="AE12" i="30"/>
  <c r="V10" i="30"/>
  <c r="AK13" i="30"/>
  <c r="AF11" i="30"/>
  <c r="AD14" i="30"/>
  <c r="AF18" i="30"/>
  <c r="V19" i="30"/>
  <c r="V16" i="30"/>
  <c r="Z18" i="30"/>
  <c r="Y15" i="30"/>
  <c r="AC12" i="30"/>
  <c r="AK17" i="30"/>
  <c r="Y16" i="30"/>
  <c r="AK16" i="30"/>
  <c r="U20" i="30"/>
  <c r="X19" i="30"/>
  <c r="AG11" i="30"/>
  <c r="Z20" i="30"/>
  <c r="V11" i="30"/>
  <c r="U17" i="30"/>
  <c r="AH18" i="30"/>
  <c r="Z12" i="30"/>
  <c r="W20" i="30"/>
  <c r="AJ15" i="30"/>
  <c r="AJ14" i="30"/>
  <c r="AB17" i="30"/>
  <c r="AB19" i="30"/>
  <c r="AL21" i="30"/>
  <c r="AK18" i="30"/>
  <c r="Z15" i="30"/>
  <c r="AA12" i="30"/>
  <c r="AL19" i="30"/>
  <c r="AC20" i="30"/>
  <c r="AI21" i="30"/>
  <c r="AF17" i="30"/>
  <c r="AK21" i="30"/>
  <c r="U15" i="30"/>
  <c r="AK15" i="30"/>
  <c r="W16" i="30"/>
  <c r="U13" i="30"/>
  <c r="AD10" i="30"/>
  <c r="AL10" i="30"/>
  <c r="AK10" i="30"/>
  <c r="AB10" i="30"/>
  <c r="AG16" i="30"/>
  <c r="AE15" i="30"/>
  <c r="AG19" i="30"/>
  <c r="AD13" i="30"/>
  <c r="AF15" i="30"/>
  <c r="V12" i="30"/>
  <c r="W10" i="30"/>
  <c r="AH11" i="30"/>
  <c r="AL17" i="30"/>
  <c r="AI13" i="30"/>
  <c r="AF10" i="30"/>
  <c r="AH13" i="30"/>
  <c r="W18" i="30"/>
  <c r="W14" i="30"/>
  <c r="W19" i="30"/>
  <c r="AJ11" i="30"/>
  <c r="X14" i="30"/>
  <c r="X12" i="30"/>
  <c r="AH12" i="30"/>
  <c r="AL15" i="30"/>
  <c r="AG17" i="30"/>
  <c r="AA16" i="30"/>
  <c r="AE16" i="30"/>
  <c r="AD21" i="30"/>
  <c r="X17" i="30"/>
  <c r="AA11" i="30"/>
  <c r="AH21" i="30"/>
  <c r="AK14" i="30"/>
  <c r="AG15" i="30"/>
  <c r="AB16" i="30"/>
  <c r="AA13" i="30"/>
  <c r="U19" i="30"/>
  <c r="AL20" i="30"/>
  <c r="AC14" i="30"/>
  <c r="AD17" i="30"/>
  <c r="Z11" i="30"/>
  <c r="AE13" i="30"/>
  <c r="AK11" i="30"/>
  <c r="AA17" i="30"/>
  <c r="AF20" i="30"/>
  <c r="AJ12" i="30"/>
  <c r="AJ19" i="30"/>
  <c r="Y21" i="30"/>
  <c r="AI18" i="30"/>
  <c r="V17" i="30"/>
  <c r="AK19" i="30"/>
  <c r="W11" i="30"/>
  <c r="X11" i="30"/>
  <c r="Y20" i="30"/>
  <c r="U21" i="30"/>
  <c r="AE17" i="30"/>
  <c r="X10" i="30"/>
  <c r="Y11" i="30"/>
  <c r="AG21" i="30"/>
  <c r="AC16" i="30"/>
  <c r="AC11" i="30"/>
  <c r="AB18" i="30"/>
  <c r="AC19" i="30"/>
  <c r="Z19" i="30"/>
  <c r="AG20" i="30"/>
  <c r="V14" i="30"/>
  <c r="AL16" i="30"/>
  <c r="AI16" i="30"/>
  <c r="AB20" i="30"/>
  <c r="AI15" i="30"/>
  <c r="X18" i="30"/>
  <c r="AC10" i="30"/>
  <c r="AA20" i="30"/>
  <c r="Z13" i="30"/>
  <c r="AD12" i="30"/>
  <c r="AK20" i="30"/>
  <c r="X21" i="30"/>
  <c r="AL11" i="30"/>
  <c r="AG18" i="30"/>
  <c r="Y10" i="30"/>
  <c r="AA18" i="30"/>
  <c r="AL9" i="30"/>
  <c r="V20" i="30"/>
  <c r="Z10" i="30"/>
  <c r="AD11" i="30"/>
  <c r="W17" i="30"/>
  <c r="AH19" i="30"/>
  <c r="AB11" i="30"/>
  <c r="Y13" i="30"/>
  <c r="AB13" i="30"/>
  <c r="U16" i="30"/>
  <c r="AA19" i="30"/>
  <c r="AC18" i="30"/>
  <c r="AJ10" i="30"/>
  <c r="U14" i="30"/>
  <c r="AC17" i="30"/>
  <c r="AL14" i="30"/>
  <c r="V18" i="30"/>
  <c r="AD16" i="30"/>
  <c r="AI17" i="30"/>
  <c r="U18" i="30"/>
  <c r="U10" i="30"/>
  <c r="AH17" i="30"/>
  <c r="AC15" i="30"/>
  <c r="X15" i="30"/>
  <c r="AE19" i="30"/>
  <c r="AI19" i="30"/>
  <c r="X20" i="30"/>
  <c r="AD18" i="30"/>
  <c r="AL12" i="30"/>
  <c r="AE18" i="30"/>
  <c r="AJ21" i="30"/>
  <c r="AH16" i="30"/>
  <c r="X16" i="30"/>
  <c r="AL18" i="30"/>
  <c r="Y17" i="30"/>
  <c r="W13" i="30"/>
  <c r="AA10" i="30"/>
  <c r="AA15" i="30"/>
  <c r="AJ20" i="30"/>
  <c r="AC13" i="30"/>
  <c r="AG14" i="30"/>
  <c r="AG10" i="30"/>
  <c r="AB21" i="30"/>
  <c r="AI11" i="30"/>
  <c r="W12" i="30"/>
  <c r="AE21" i="30"/>
  <c r="I10" i="28" l="1"/>
  <c r="I22" i="28"/>
  <c r="I19" i="28"/>
  <c r="I15" i="28"/>
  <c r="I17" i="28"/>
  <c r="I18" i="28"/>
  <c r="I13" i="28"/>
  <c r="I14" i="28"/>
  <c r="AL22" i="30"/>
  <c r="I20" i="28"/>
  <c r="I23" i="28"/>
  <c r="I12" i="28"/>
  <c r="I21" i="28"/>
  <c r="I16" i="28"/>
  <c r="I11" i="28"/>
  <c r="G8" i="28"/>
  <c r="G24" i="28" s="1"/>
  <c r="E8" i="28"/>
  <c r="H8" i="28"/>
  <c r="H24" i="28" s="1"/>
  <c r="F8" i="28"/>
  <c r="F24" i="28" s="1"/>
  <c r="I9" i="28"/>
  <c r="H21" i="27"/>
  <c r="K21" i="27"/>
  <c r="G21" i="27"/>
  <c r="M21" i="27"/>
  <c r="F21" i="27"/>
  <c r="E21" i="27"/>
  <c r="O21" i="27"/>
  <c r="N21" i="27"/>
  <c r="L21" i="27"/>
  <c r="J21" i="27"/>
  <c r="I21" i="27"/>
  <c r="W32" i="27"/>
  <c r="K32" i="27"/>
  <c r="N32" i="27"/>
  <c r="V32" i="27"/>
  <c r="J32" i="27"/>
  <c r="U32" i="27"/>
  <c r="I32" i="27"/>
  <c r="T32" i="27"/>
  <c r="H32" i="27"/>
  <c r="S32" i="27"/>
  <c r="G32" i="27"/>
  <c r="R32" i="27"/>
  <c r="F32" i="27"/>
  <c r="AC32" i="27"/>
  <c r="Q32" i="27"/>
  <c r="E32" i="27"/>
  <c r="AB32" i="27"/>
  <c r="P32" i="27"/>
  <c r="AA32" i="27"/>
  <c r="O32" i="27"/>
  <c r="Z32" i="27"/>
  <c r="Y32" i="27"/>
  <c r="M32" i="27"/>
  <c r="X32" i="27"/>
  <c r="L32" i="27"/>
  <c r="F10" i="27"/>
  <c r="K10" i="27"/>
  <c r="G10" i="27"/>
  <c r="J10" i="27"/>
  <c r="I10" i="27"/>
  <c r="H10" i="27"/>
  <c r="E10" i="27"/>
  <c r="G30" i="15"/>
  <c r="I30" i="15"/>
  <c r="J30" i="15"/>
  <c r="F37" i="15"/>
  <c r="E37" i="15"/>
  <c r="G38" i="15"/>
  <c r="G41" i="15"/>
  <c r="G43" i="15"/>
  <c r="G42" i="15"/>
  <c r="G40" i="15"/>
  <c r="G39" i="15"/>
  <c r="AE9" i="30"/>
  <c r="Y9" i="30"/>
  <c r="W9" i="30"/>
  <c r="U9" i="30"/>
  <c r="AD9" i="30"/>
  <c r="AC9" i="30"/>
  <c r="AK9" i="30"/>
  <c r="V9" i="30"/>
  <c r="X9" i="30"/>
  <c r="AA9" i="30"/>
  <c r="Z9" i="30"/>
  <c r="AJ9" i="30"/>
  <c r="AF9" i="30"/>
  <c r="AG9" i="30"/>
  <c r="AH9" i="30"/>
  <c r="AI9" i="30"/>
  <c r="AB9" i="30"/>
  <c r="L30" i="15" l="1"/>
  <c r="K30" i="15"/>
  <c r="F30" i="15"/>
  <c r="Y22" i="30"/>
  <c r="Z22" i="30"/>
  <c r="X22" i="30"/>
  <c r="W22" i="30"/>
  <c r="V22" i="30"/>
  <c r="U22" i="30"/>
  <c r="AI22" i="30"/>
  <c r="AA22" i="30"/>
  <c r="AH22" i="30"/>
  <c r="AD22" i="30"/>
  <c r="AJ22" i="30"/>
  <c r="AE22" i="30"/>
  <c r="AG22" i="30"/>
  <c r="AF22" i="30"/>
  <c r="AC22" i="30"/>
  <c r="AB22" i="30"/>
  <c r="AK22" i="30"/>
  <c r="E24" i="28"/>
  <c r="I8" i="28"/>
  <c r="G37" i="15"/>
  <c r="N30" i="15" l="1"/>
  <c r="M30" i="15"/>
  <c r="O30" i="15" l="1"/>
  <c r="P30" i="15"/>
  <c r="R30" i="15" l="1"/>
  <c r="Q30" i="15"/>
  <c r="T30" i="15" l="1"/>
  <c r="S30" i="15"/>
  <c r="U30" i="15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<sst xmlns="http://schemas.openxmlformats.org/spreadsheetml/2006/main" count="34204" uniqueCount="13086">
  <si>
    <t>EQUITIES</t>
  </si>
  <si>
    <t>INVESTMENT_BANK</t>
  </si>
  <si>
    <t>PERSON</t>
  </si>
  <si>
    <t>ORGANISATION</t>
  </si>
  <si>
    <t>COMPANY_TYPE</t>
  </si>
  <si>
    <t>SUB_DEPARTMENT</t>
  </si>
  <si>
    <t>%</t>
  </si>
  <si>
    <t>equities_csuite_senior_midlevel.csv</t>
  </si>
  <si>
    <t>cleared_derivs_csuite_senior_midlevel.csv</t>
  </si>
  <si>
    <t>Seniority</t>
  </si>
  <si>
    <t>Job Type</t>
  </si>
  <si>
    <t>Department</t>
  </si>
  <si>
    <t>Sub Department</t>
  </si>
  <si>
    <t>id</t>
  </si>
  <si>
    <t>Adam</t>
  </si>
  <si>
    <t>SENIOR</t>
  </si>
  <si>
    <t>TECH_OTHER</t>
  </si>
  <si>
    <t>FRONT_OFFICE</t>
  </si>
  <si>
    <t>NOTSET</t>
  </si>
  <si>
    <t>Henrik</t>
  </si>
  <si>
    <t>Ken</t>
  </si>
  <si>
    <t>BUSINESS</t>
  </si>
  <si>
    <t>Jason</t>
  </si>
  <si>
    <t>Cirrito</t>
  </si>
  <si>
    <t>Vice President/ Chief Operating Officer, Fundamental Equity Asset Management</t>
  </si>
  <si>
    <t>CSUITE</t>
  </si>
  <si>
    <t>LEADERSHIP</t>
  </si>
  <si>
    <t>Christopher</t>
  </si>
  <si>
    <t>Garcia</t>
  </si>
  <si>
    <t>Bob</t>
  </si>
  <si>
    <t>Sandeep</t>
  </si>
  <si>
    <t>Anand</t>
  </si>
  <si>
    <t>Varma</t>
  </si>
  <si>
    <t>TECH</t>
  </si>
  <si>
    <t>Don</t>
  </si>
  <si>
    <t>Ian</t>
  </si>
  <si>
    <t>Taylor</t>
  </si>
  <si>
    <t>Bui</t>
  </si>
  <si>
    <t>Joe</t>
  </si>
  <si>
    <t>Ted</t>
  </si>
  <si>
    <t>Choi</t>
  </si>
  <si>
    <t>John</t>
  </si>
  <si>
    <t>Cogman</t>
  </si>
  <si>
    <t>Vice President, Autobahn Equity</t>
  </si>
  <si>
    <t>Andrew</t>
  </si>
  <si>
    <t>Ashish</t>
  </si>
  <si>
    <t>Agrawal</t>
  </si>
  <si>
    <t>Derek</t>
  </si>
  <si>
    <t>Kleinbauer</t>
  </si>
  <si>
    <t>Global Head - Fixed Income &amp; Equity e-Trading | Vice President - Bloomberg Swap Execution Facility</t>
  </si>
  <si>
    <t>David</t>
  </si>
  <si>
    <t>Chad</t>
  </si>
  <si>
    <t>Wheeler</t>
  </si>
  <si>
    <t>Vivek</t>
  </si>
  <si>
    <t>Menon</t>
  </si>
  <si>
    <t>Dirk</t>
  </si>
  <si>
    <t>Dave</t>
  </si>
  <si>
    <t>Andrea</t>
  </si>
  <si>
    <t>Kristian</t>
  </si>
  <si>
    <t>Steven</t>
  </si>
  <si>
    <t>Susan</t>
  </si>
  <si>
    <t>Natalini</t>
  </si>
  <si>
    <t>SVP COO Equity Operations</t>
  </si>
  <si>
    <t>Carlos</t>
  </si>
  <si>
    <t>Jose</t>
  </si>
  <si>
    <t>Greg</t>
  </si>
  <si>
    <t>Robert</t>
  </si>
  <si>
    <t>Alexander</t>
  </si>
  <si>
    <t>Neil</t>
  </si>
  <si>
    <t>Joji</t>
  </si>
  <si>
    <t>Watanabe</t>
  </si>
  <si>
    <t>Saumil</t>
  </si>
  <si>
    <t>Kapadia</t>
  </si>
  <si>
    <t>Vice President, COO - Debt Capital Markets &amp; Equity Capital Markets</t>
  </si>
  <si>
    <t>Prem</t>
  </si>
  <si>
    <t>UNKNOWN</t>
  </si>
  <si>
    <t>Oliver</t>
  </si>
  <si>
    <t>Stephen</t>
  </si>
  <si>
    <t>Romeo</t>
  </si>
  <si>
    <t>Jim</t>
  </si>
  <si>
    <t>Vassak</t>
  </si>
  <si>
    <t>Bo</t>
  </si>
  <si>
    <t>Mike</t>
  </si>
  <si>
    <t>Newman</t>
  </si>
  <si>
    <t>Lam</t>
  </si>
  <si>
    <t>Vishal</t>
  </si>
  <si>
    <t>Patel</t>
  </si>
  <si>
    <t>Jessica</t>
  </si>
  <si>
    <t>OPERATIONS</t>
  </si>
  <si>
    <t>Eric</t>
  </si>
  <si>
    <t>Gaudet</t>
  </si>
  <si>
    <t>Vice President - Equity Product &amp; Trading Solutions</t>
  </si>
  <si>
    <t>Luke</t>
  </si>
  <si>
    <t>Hodges</t>
  </si>
  <si>
    <t>COO &amp; Head of Equities</t>
  </si>
  <si>
    <t>Chase</t>
  </si>
  <si>
    <t>McCann</t>
  </si>
  <si>
    <t>Francis</t>
  </si>
  <si>
    <t>Alvaro</t>
  </si>
  <si>
    <t>Teixeira</t>
  </si>
  <si>
    <t>Alex</t>
  </si>
  <si>
    <t>Monica</t>
  </si>
  <si>
    <t>Russell</t>
  </si>
  <si>
    <t>Chong</t>
  </si>
  <si>
    <t>Leon</t>
  </si>
  <si>
    <t>Dimitri</t>
  </si>
  <si>
    <t>Franois</t>
  </si>
  <si>
    <t>Kim</t>
  </si>
  <si>
    <t>Walker</t>
  </si>
  <si>
    <t>Stephanie</t>
  </si>
  <si>
    <t>Lau</t>
  </si>
  <si>
    <t>Christian</t>
  </si>
  <si>
    <t>Jonathan</t>
  </si>
  <si>
    <t>Jeffrey</t>
  </si>
  <si>
    <t>Rothenberg</t>
  </si>
  <si>
    <t>Vice President-Institutional Equity Trading</t>
  </si>
  <si>
    <t>Paul</t>
  </si>
  <si>
    <t>Westervelt</t>
  </si>
  <si>
    <t>Vice President - Equity Trading</t>
  </si>
  <si>
    <t>Linda</t>
  </si>
  <si>
    <t>Switzer</t>
  </si>
  <si>
    <t>Sr. Vice President Equity Trading</t>
  </si>
  <si>
    <t>Adil</t>
  </si>
  <si>
    <t>Ryan</t>
  </si>
  <si>
    <t>O'Sullivan</t>
  </si>
  <si>
    <t>Denis</t>
  </si>
  <si>
    <t>Sumit</t>
  </si>
  <si>
    <t>Singhal</t>
  </si>
  <si>
    <t>CIO Barclays HK and China, Head of Pre-Trade Tech APAC, Equities IT APAC Lead</t>
  </si>
  <si>
    <t>Trevor</t>
  </si>
  <si>
    <t>Tim</t>
  </si>
  <si>
    <t>James</t>
  </si>
  <si>
    <t>Peter</t>
  </si>
  <si>
    <t>Timothy</t>
  </si>
  <si>
    <t>Ong</t>
  </si>
  <si>
    <t>Vice President - Global Markets Equities Product Development</t>
  </si>
  <si>
    <t>Morton</t>
  </si>
  <si>
    <t>COO/Business Manager Equity Trading Asia</t>
  </si>
  <si>
    <t>Jack</t>
  </si>
  <si>
    <t>Miller</t>
  </si>
  <si>
    <t>Roux</t>
  </si>
  <si>
    <t>CIO - Global Equities Technology</t>
  </si>
  <si>
    <t>Carter</t>
  </si>
  <si>
    <t>Andreas-Philipp</t>
  </si>
  <si>
    <t>Krohn</t>
  </si>
  <si>
    <t>Head of Investments &amp; CIO Equities</t>
  </si>
  <si>
    <t>Simon</t>
  </si>
  <si>
    <t>Ethan</t>
  </si>
  <si>
    <t>Sun</t>
  </si>
  <si>
    <t>Vice President Institutional Equity</t>
  </si>
  <si>
    <t>Steve</t>
  </si>
  <si>
    <t>Malcolm</t>
  </si>
  <si>
    <t>Adams</t>
  </si>
  <si>
    <t>Daniel</t>
  </si>
  <si>
    <t>Darryl</t>
  </si>
  <si>
    <t>Kotton</t>
  </si>
  <si>
    <t>Director | Global Equity Business Manager | GCM COO</t>
  </si>
  <si>
    <t>Dan</t>
  </si>
  <si>
    <t>Brodsky</t>
  </si>
  <si>
    <t>Edoardo</t>
  </si>
  <si>
    <t>Chris</t>
  </si>
  <si>
    <t>Andy</t>
  </si>
  <si>
    <t>Stefan</t>
  </si>
  <si>
    <t>Vinny</t>
  </si>
  <si>
    <t>Noonan</t>
  </si>
  <si>
    <t>Managing Director, Chief Operating Officer, Americas Equities</t>
  </si>
  <si>
    <t>Alberto</t>
  </si>
  <si>
    <t>Sarah</t>
  </si>
  <si>
    <t>Dominic</t>
  </si>
  <si>
    <t>Cheng</t>
  </si>
  <si>
    <t>Sudeep</t>
  </si>
  <si>
    <t>Kumar</t>
  </si>
  <si>
    <t>Claude</t>
  </si>
  <si>
    <t>Frederic</t>
  </si>
  <si>
    <t>Angus</t>
  </si>
  <si>
    <t>Ratnesh</t>
  </si>
  <si>
    <t>CEO - Institutional Equities</t>
  </si>
  <si>
    <t>Richard</t>
  </si>
  <si>
    <t>Abrahams</t>
  </si>
  <si>
    <t>Martin</t>
  </si>
  <si>
    <t>Dante</t>
  </si>
  <si>
    <t>Bill</t>
  </si>
  <si>
    <t>Thomas</t>
  </si>
  <si>
    <t>Guy</t>
  </si>
  <si>
    <t>Anthony</t>
  </si>
  <si>
    <t>Rich</t>
  </si>
  <si>
    <t>Sharon</t>
  </si>
  <si>
    <t>Fay</t>
  </si>
  <si>
    <t>Head of Equities and CIO Global Value</t>
  </si>
  <si>
    <t>Antonio</t>
  </si>
  <si>
    <t>Brian</t>
  </si>
  <si>
    <t>DiCaprio</t>
  </si>
  <si>
    <t>Vice President - SPAC Equity Capital Markets</t>
  </si>
  <si>
    <t>Stewart</t>
  </si>
  <si>
    <t>Douglas</t>
  </si>
  <si>
    <t>Mark</t>
  </si>
  <si>
    <t>Leung</t>
  </si>
  <si>
    <t>Chen</t>
  </si>
  <si>
    <t>Damien</t>
  </si>
  <si>
    <t>Lee</t>
  </si>
  <si>
    <t>Brooks</t>
  </si>
  <si>
    <t>Khanna</t>
  </si>
  <si>
    <t>King</t>
  </si>
  <si>
    <t>Tedder</t>
  </si>
  <si>
    <t>Head/CIO of Global and US Equities</t>
  </si>
  <si>
    <t>Ali</t>
  </si>
  <si>
    <t>William</t>
  </si>
  <si>
    <t>Davies</t>
  </si>
  <si>
    <t>CIO EMEA, Global Head of Equities  Columbia</t>
  </si>
  <si>
    <t>Rob</t>
  </si>
  <si>
    <t>Johnson</t>
  </si>
  <si>
    <t>Rolf</t>
  </si>
  <si>
    <t>Ganter</t>
  </si>
  <si>
    <t>UBS Global Wealth Management - Head CIO European Equities</t>
  </si>
  <si>
    <t>Castagna</t>
  </si>
  <si>
    <t>Vice Chairman, Head of Tech Equities</t>
  </si>
  <si>
    <t>Ackerman</t>
  </si>
  <si>
    <t>Jakob</t>
  </si>
  <si>
    <t>Dominique</t>
  </si>
  <si>
    <t>Adrian</t>
  </si>
  <si>
    <t>Kevin</t>
  </si>
  <si>
    <t>Liu</t>
  </si>
  <si>
    <t>Stephane</t>
  </si>
  <si>
    <t>Takahashi</t>
  </si>
  <si>
    <t>Michael</t>
  </si>
  <si>
    <t>Mathias</t>
  </si>
  <si>
    <t>Adolfo</t>
  </si>
  <si>
    <t>Ramsay</t>
  </si>
  <si>
    <t>Arturo</t>
  </si>
  <si>
    <t>Christina</t>
  </si>
  <si>
    <t>Gary</t>
  </si>
  <si>
    <t>Jacobs</t>
  </si>
  <si>
    <t>Janice</t>
  </si>
  <si>
    <t>Kan</t>
  </si>
  <si>
    <t>Hansch</t>
  </si>
  <si>
    <t>Vice President - Equities Strategies</t>
  </si>
  <si>
    <t>Garth</t>
  </si>
  <si>
    <t>Ritchie</t>
  </si>
  <si>
    <t>Wells</t>
  </si>
  <si>
    <t>COO - Equities</t>
  </si>
  <si>
    <t>Dias</t>
  </si>
  <si>
    <t>Deanne</t>
  </si>
  <si>
    <t>Gough</t>
  </si>
  <si>
    <t>CIO - Global Equities</t>
  </si>
  <si>
    <t>Ivan</t>
  </si>
  <si>
    <t>Casey</t>
  </si>
  <si>
    <t>Kurt</t>
  </si>
  <si>
    <t>Elena</t>
  </si>
  <si>
    <t>Staloff</t>
  </si>
  <si>
    <t>Vice President Equity Clearance</t>
  </si>
  <si>
    <t>Stuart</t>
  </si>
  <si>
    <t>Edward</t>
  </si>
  <si>
    <t>Green</t>
  </si>
  <si>
    <t>Christophe</t>
  </si>
  <si>
    <t>Legrand</t>
  </si>
  <si>
    <t>Leonard</t>
  </si>
  <si>
    <t>Henrique</t>
  </si>
  <si>
    <t>Cintra Carvalho</t>
  </si>
  <si>
    <t>Vice President (LatAm Head of Equities Global Markets Change)</t>
  </si>
  <si>
    <t>Matthew</t>
  </si>
  <si>
    <t>Pearson</t>
  </si>
  <si>
    <t>Hans</t>
  </si>
  <si>
    <t>Brad</t>
  </si>
  <si>
    <t>Marks</t>
  </si>
  <si>
    <t>Ron</t>
  </si>
  <si>
    <t>Ferrara</t>
  </si>
  <si>
    <t>Curtis</t>
  </si>
  <si>
    <t>Nass</t>
  </si>
  <si>
    <t>Vice President / Senior Equity Trader</t>
  </si>
  <si>
    <t>Pinto</t>
  </si>
  <si>
    <t>Au</t>
  </si>
  <si>
    <t>Jon</t>
  </si>
  <si>
    <t>Burns</t>
  </si>
  <si>
    <t>Santiago</t>
  </si>
  <si>
    <t>Claire</t>
  </si>
  <si>
    <t>Alistair</t>
  </si>
  <si>
    <t>Lomas</t>
  </si>
  <si>
    <t>Owen</t>
  </si>
  <si>
    <t>Connie</t>
  </si>
  <si>
    <t>Jan</t>
  </si>
  <si>
    <t>Rakip</t>
  </si>
  <si>
    <t>Assistant Vice President Equity Trading</t>
  </si>
  <si>
    <t>Florian</t>
  </si>
  <si>
    <t>L. Ahrens</t>
  </si>
  <si>
    <t>Managing Director, CIO Global Markets Equities</t>
  </si>
  <si>
    <t>Meyer</t>
  </si>
  <si>
    <t>Brent</t>
  </si>
  <si>
    <t>Smith</t>
  </si>
  <si>
    <t>Ashwin</t>
  </si>
  <si>
    <t>Guido</t>
  </si>
  <si>
    <t>Charles</t>
  </si>
  <si>
    <t>Alexandre</t>
  </si>
  <si>
    <t>Wander, PMP</t>
  </si>
  <si>
    <t>Vice President, Global Equities Technology</t>
  </si>
  <si>
    <t>Bajaj</t>
  </si>
  <si>
    <t>Pranav</t>
  </si>
  <si>
    <t>Abbott</t>
  </si>
  <si>
    <t>Equities and Commodities Vice President</t>
  </si>
  <si>
    <t>Matt</t>
  </si>
  <si>
    <t>Skipp</t>
  </si>
  <si>
    <t>Juan</t>
  </si>
  <si>
    <t>Gonzalez</t>
  </si>
  <si>
    <t>Vice President Head of Equity Trading</t>
  </si>
  <si>
    <t>Griffith</t>
  </si>
  <si>
    <t>Julien</t>
  </si>
  <si>
    <t>Darren</t>
  </si>
  <si>
    <t>Gallo</t>
  </si>
  <si>
    <t>Gaurav</t>
  </si>
  <si>
    <t>Mathur</t>
  </si>
  <si>
    <t>Bell</t>
  </si>
  <si>
    <t>Machado</t>
  </si>
  <si>
    <t>Gabriel</t>
  </si>
  <si>
    <t>Barbara</t>
  </si>
  <si>
    <t>Craig</t>
  </si>
  <si>
    <t>Colin</t>
  </si>
  <si>
    <t>Frank</t>
  </si>
  <si>
    <t>Troise</t>
  </si>
  <si>
    <t>Lyons</t>
  </si>
  <si>
    <t>COO-US Equities</t>
  </si>
  <si>
    <t>Price</t>
  </si>
  <si>
    <t>Lucey</t>
  </si>
  <si>
    <t>Chin</t>
  </si>
  <si>
    <t>Claudio</t>
  </si>
  <si>
    <t>Dhawal</t>
  </si>
  <si>
    <t>Sinha</t>
  </si>
  <si>
    <t>Vice President Equities Execution Quant</t>
  </si>
  <si>
    <t>Dmitry</t>
  </si>
  <si>
    <t>Phillip</t>
  </si>
  <si>
    <t>Paredes</t>
  </si>
  <si>
    <t>Brendan</t>
  </si>
  <si>
    <t>Duffy</t>
  </si>
  <si>
    <t>Scott</t>
  </si>
  <si>
    <t>Bauer</t>
  </si>
  <si>
    <t>Senior Vice President - Equities</t>
  </si>
  <si>
    <t>Andre</t>
  </si>
  <si>
    <t>Anders</t>
  </si>
  <si>
    <t>Hazlem</t>
  </si>
  <si>
    <t>COO Equities</t>
  </si>
  <si>
    <t>Carsten</t>
  </si>
  <si>
    <t>Ed</t>
  </si>
  <si>
    <t>Weissman</t>
  </si>
  <si>
    <t>Application Support Vice President Equity IT</t>
  </si>
  <si>
    <t>George</t>
  </si>
  <si>
    <t>Varagas</t>
  </si>
  <si>
    <t>Vice President - Head of Equities Transactions Clearing</t>
  </si>
  <si>
    <t>Nathan</t>
  </si>
  <si>
    <t>Staton</t>
  </si>
  <si>
    <t>Tony</t>
  </si>
  <si>
    <t>Yu</t>
  </si>
  <si>
    <t>Vice President, Equities Trading Technology</t>
  </si>
  <si>
    <t>Pollard</t>
  </si>
  <si>
    <t>Paulo</t>
  </si>
  <si>
    <t>Bruce</t>
  </si>
  <si>
    <t>Kim Man</t>
  </si>
  <si>
    <t>Li</t>
  </si>
  <si>
    <t>Director - Equity COO</t>
  </si>
  <si>
    <t>Jung</t>
  </si>
  <si>
    <t>Asif</t>
  </si>
  <si>
    <t>Sodagar</t>
  </si>
  <si>
    <t>Vice President - Equities</t>
  </si>
  <si>
    <t>Seth</t>
  </si>
  <si>
    <t>McCabe</t>
  </si>
  <si>
    <t>Khan</t>
  </si>
  <si>
    <t>Elina</t>
  </si>
  <si>
    <t>Hughes</t>
  </si>
  <si>
    <t>Shaw</t>
  </si>
  <si>
    <t>Enrique</t>
  </si>
  <si>
    <t>Cyrus</t>
  </si>
  <si>
    <t>Gautam</t>
  </si>
  <si>
    <t>Zheng</t>
  </si>
  <si>
    <t>Pete</t>
  </si>
  <si>
    <t>Lahey</t>
  </si>
  <si>
    <t>Lett</t>
  </si>
  <si>
    <t>Vice President Equity Execution Services</t>
  </si>
  <si>
    <t>Elaine</t>
  </si>
  <si>
    <t>Kwong</t>
  </si>
  <si>
    <t>Vice President Equities Operations</t>
  </si>
  <si>
    <t>Daryl</t>
  </si>
  <si>
    <t>McDonald</t>
  </si>
  <si>
    <t>Chief Operating Officer, Equities EMEA</t>
  </si>
  <si>
    <t>Russ</t>
  </si>
  <si>
    <t>Lauren</t>
  </si>
  <si>
    <t>Marber</t>
  </si>
  <si>
    <t>Chief Operating Officer, Head of Equities</t>
  </si>
  <si>
    <t>Conroy</t>
  </si>
  <si>
    <t>Foulds</t>
  </si>
  <si>
    <t>Matthias</t>
  </si>
  <si>
    <t>Carl</t>
  </si>
  <si>
    <t>Kamran</t>
  </si>
  <si>
    <t>Ashraf FCA</t>
  </si>
  <si>
    <t>Vice President Equity Initiatives and Emerging Technology</t>
  </si>
  <si>
    <t>Tommy</t>
  </si>
  <si>
    <t>Conway</t>
  </si>
  <si>
    <t>Geoffry</t>
  </si>
  <si>
    <t>Juviler</t>
  </si>
  <si>
    <t>Vice President Equity</t>
  </si>
  <si>
    <t>Janell</t>
  </si>
  <si>
    <t>Phillips</t>
  </si>
  <si>
    <t>Glenn</t>
  </si>
  <si>
    <t>Alan</t>
  </si>
  <si>
    <t>MacDonald</t>
  </si>
  <si>
    <t>Cunningham</t>
  </si>
  <si>
    <t>Billy</t>
  </si>
  <si>
    <t>CASH_EQUITIES</t>
  </si>
  <si>
    <t>Marc</t>
  </si>
  <si>
    <t>Appleby</t>
  </si>
  <si>
    <t>Cash Equities COO</t>
  </si>
  <si>
    <t>Rathore</t>
  </si>
  <si>
    <t>Datta</t>
  </si>
  <si>
    <t>Gustavo</t>
  </si>
  <si>
    <t>Garca</t>
  </si>
  <si>
    <t>Joseph</t>
  </si>
  <si>
    <t>GENERAL_DEVELOPMENT</t>
  </si>
  <si>
    <t>NON_FIN</t>
  </si>
  <si>
    <t>Rao</t>
  </si>
  <si>
    <t>Cornwell</t>
  </si>
  <si>
    <t>Giordano</t>
  </si>
  <si>
    <t>COO - Cash Equities</t>
  </si>
  <si>
    <t>Kasper</t>
  </si>
  <si>
    <t>Ari</t>
  </si>
  <si>
    <t>Cara</t>
  </si>
  <si>
    <t>Vadim</t>
  </si>
  <si>
    <t>Khelemskiy</t>
  </si>
  <si>
    <t>Senior Specialist / Vice President - Global Custody and Cash Services Technology</t>
  </si>
  <si>
    <t>Edelman</t>
  </si>
  <si>
    <t>Arnold</t>
  </si>
  <si>
    <t>Mehta</t>
  </si>
  <si>
    <t>Crane</t>
  </si>
  <si>
    <t>Anna</t>
  </si>
  <si>
    <t>Natarajan</t>
  </si>
  <si>
    <t>Abhinav Raghunandan</t>
  </si>
  <si>
    <t>Kannan</t>
  </si>
  <si>
    <t>Vice President, Eqs Cash Algo Strategies</t>
  </si>
  <si>
    <t>Shah</t>
  </si>
  <si>
    <t>Lewis</t>
  </si>
  <si>
    <t>Samantha</t>
  </si>
  <si>
    <t>Deka</t>
  </si>
  <si>
    <t>Senior Vice President, Head of US Cash Equity Trading, Capital Markets</t>
  </si>
  <si>
    <t>Doug</t>
  </si>
  <si>
    <t>Campbell</t>
  </si>
  <si>
    <t>Brady</t>
  </si>
  <si>
    <t>Francois</t>
  </si>
  <si>
    <t>Gour</t>
  </si>
  <si>
    <t>Thompson</t>
  </si>
  <si>
    <t>Jain</t>
  </si>
  <si>
    <t>Joel</t>
  </si>
  <si>
    <t>Beck</t>
  </si>
  <si>
    <t>SINGLE</t>
  </si>
  <si>
    <t>Chief$$Executive</t>
  </si>
  <si>
    <t>AMBER_MAYBE_x000D_</t>
  </si>
  <si>
    <t>Chief$$Information</t>
  </si>
  <si>
    <t>Chairman</t>
  </si>
  <si>
    <t>Editor-in-Chief and CCO</t>
  </si>
  <si>
    <t>GREEN_x000D_</t>
  </si>
  <si>
    <t>Chief Financial Officer</t>
  </si>
  <si>
    <t>Chief Operating Officer</t>
  </si>
  <si>
    <t>Chief Technology Officer</t>
  </si>
  <si>
    <t>President</t>
  </si>
  <si>
    <t>Chief Investment Officer</t>
  </si>
  <si>
    <t>CIO</t>
  </si>
  <si>
    <t>CFO</t>
  </si>
  <si>
    <t>CEO</t>
  </si>
  <si>
    <t>Board</t>
  </si>
  <si>
    <t>CTO$$!Director$$!Instructor$$!Contractor$$!Sector$$!Doctor</t>
  </si>
  <si>
    <t>Managing Director</t>
  </si>
  <si>
    <t>MD</t>
  </si>
  <si>
    <t>md</t>
  </si>
  <si>
    <t>COO</t>
  </si>
  <si>
    <t>Partner$$!Talent</t>
  </si>
  <si>
    <t>Senior Vice President$$!Accounts</t>
  </si>
  <si>
    <t>Head$$of</t>
  </si>
  <si>
    <t>Senior Director</t>
  </si>
  <si>
    <t>SVP</t>
  </si>
  <si>
    <t>EVP</t>
  </si>
  <si>
    <t>Owner</t>
  </si>
  <si>
    <t>Founder</t>
  </si>
  <si>
    <t>Principal</t>
  </si>
  <si>
    <t>Deputy head</t>
  </si>
  <si>
    <t>head</t>
  </si>
  <si>
    <t>Head</t>
  </si>
  <si>
    <t>MID_LEVEL</t>
  </si>
  <si>
    <t>V P</t>
  </si>
  <si>
    <t>AMBER_x000D_</t>
  </si>
  <si>
    <t>Management</t>
  </si>
  <si>
    <t>Manager</t>
  </si>
  <si>
    <t>Business Development</t>
  </si>
  <si>
    <t>Vice President$$!Senior Vice President</t>
  </si>
  <si>
    <t>VP</t>
  </si>
  <si>
    <t>Executive Director</t>
  </si>
  <si>
    <t>Senior</t>
  </si>
  <si>
    <t>Trader</t>
  </si>
  <si>
    <t>RED_x000D_</t>
  </si>
  <si>
    <t>Sales</t>
  </si>
  <si>
    <t>Trading</t>
  </si>
  <si>
    <t>trader</t>
  </si>
  <si>
    <t>Director</t>
  </si>
  <si>
    <t>JUNIOR</t>
  </si>
  <si>
    <t>Programmer</t>
  </si>
  <si>
    <t>Algo Trading Support</t>
  </si>
  <si>
    <t>_x000D_</t>
  </si>
  <si>
    <t>PM</t>
  </si>
  <si>
    <t>Developer</t>
  </si>
  <si>
    <t>Engineer</t>
  </si>
  <si>
    <t>Project Manager</t>
  </si>
  <si>
    <t>Consultant</t>
  </si>
  <si>
    <t>Business Analyst</t>
  </si>
  <si>
    <t>Operations</t>
  </si>
  <si>
    <t>Associate</t>
  </si>
  <si>
    <t>IT$$!Credit</t>
  </si>
  <si>
    <t>Support</t>
  </si>
  <si>
    <t>Analyst</t>
  </si>
  <si>
    <t>Production Support</t>
  </si>
  <si>
    <t>UNKNOWN_Seniority</t>
  </si>
  <si>
    <t>DEFAULT</t>
  </si>
  <si>
    <t>GREY_x000D_</t>
  </si>
  <si>
    <t>Chief</t>
  </si>
  <si>
    <t>Technology$$Operations</t>
  </si>
  <si>
    <t>Executive$$!Account</t>
  </si>
  <si>
    <t>Senior Vice President</t>
  </si>
  <si>
    <t>Head of IT</t>
  </si>
  <si>
    <t>Trading$$!Data$$!Support</t>
  </si>
  <si>
    <t>Product Manager</t>
  </si>
  <si>
    <t>Portfolio Manager</t>
  </si>
  <si>
    <t>Quant</t>
  </si>
  <si>
    <t>Strat</t>
  </si>
  <si>
    <t>Equity$$!FIX$$!Low Latency$$!Client Connectivity$$!Operations</t>
  </si>
  <si>
    <t>Equities$$!FIX$$!Low Latency$$!Client Connectivity$$!Operations</t>
  </si>
  <si>
    <t>Middle Office</t>
  </si>
  <si>
    <t>Onboarding</t>
  </si>
  <si>
    <t>FEDERATION</t>
  </si>
  <si>
    <t>Compliance</t>
  </si>
  <si>
    <t>Risk</t>
  </si>
  <si>
    <t>Finance</t>
  </si>
  <si>
    <t>Legal</t>
  </si>
  <si>
    <t>CORE_INFRA</t>
  </si>
  <si>
    <t>Security</t>
  </si>
  <si>
    <t>Cloud</t>
  </si>
  <si>
    <t>Cyber</t>
  </si>
  <si>
    <t>Hardware</t>
  </si>
  <si>
    <t>TECH_NON_DEV</t>
  </si>
  <si>
    <t>Development$$!Business Development$$!Learning</t>
  </si>
  <si>
    <t>Tech$$!Technical$$!Project$$!CTO</t>
  </si>
  <si>
    <t>ALL</t>
  </si>
  <si>
    <t>Capital Markets</t>
  </si>
  <si>
    <t>UNKNOWN_Department</t>
  </si>
  <si>
    <t>Equities$$Cash</t>
  </si>
  <si>
    <t>Equity$$Cash</t>
  </si>
  <si>
    <t>Cash</t>
  </si>
  <si>
    <t>CLEARED_DERIVS</t>
  </si>
  <si>
    <t>Equities$$Synthetic</t>
  </si>
  <si>
    <t>Equities$$Derivs</t>
  </si>
  <si>
    <t>Equity$$Derivs</t>
  </si>
  <si>
    <t>Equity$$Derivatives</t>
  </si>
  <si>
    <t>EQUITY_ALGO</t>
  </si>
  <si>
    <t>Equity$$Automation</t>
  </si>
  <si>
    <t>Equity$$Algo</t>
  </si>
  <si>
    <t>Equities$$Derivatives</t>
  </si>
  <si>
    <t>Equities$$Automation</t>
  </si>
  <si>
    <t>Equities$$Algo</t>
  </si>
  <si>
    <t>Equity$$Electronic Trading</t>
  </si>
  <si>
    <t>Equities$$Electronic Trading</t>
  </si>
  <si>
    <t>Equity$$Strategist</t>
  </si>
  <si>
    <t>Algorithmic</t>
  </si>
  <si>
    <t>EQUITY_OTHER</t>
  </si>
  <si>
    <t>Equity$$Prime</t>
  </si>
  <si>
    <t>Equity$$Sales</t>
  </si>
  <si>
    <t>Equity$$Client</t>
  </si>
  <si>
    <t>Equity$$Private</t>
  </si>
  <si>
    <t>Equity$$Compliance</t>
  </si>
  <si>
    <t>Equity$$Finance</t>
  </si>
  <si>
    <t>Equity$$Indices</t>
  </si>
  <si>
    <t>Equity$$Reg</t>
  </si>
  <si>
    <t>Equity$$Market Data</t>
  </si>
  <si>
    <t>Equity$$Research</t>
  </si>
  <si>
    <t>Equities$$Prime</t>
  </si>
  <si>
    <t>Equities$$Sales</t>
  </si>
  <si>
    <t>Equities$$Client</t>
  </si>
  <si>
    <t>Equities$$Private</t>
  </si>
  <si>
    <t>Equities$$Compliance</t>
  </si>
  <si>
    <t>Equities$$Indices</t>
  </si>
  <si>
    <t>Equities$$Reg</t>
  </si>
  <si>
    <t>Equities$$Market Data</t>
  </si>
  <si>
    <t>Equities$$Research</t>
  </si>
  <si>
    <t>Equities$$Finance</t>
  </si>
  <si>
    <t>ETF</t>
  </si>
  <si>
    <t>Exchange traded</t>
  </si>
  <si>
    <t>Passive</t>
  </si>
  <si>
    <t>Synthetic</t>
  </si>
  <si>
    <t>Index</t>
  </si>
  <si>
    <t>Fund$$!Funding$$!Fundamental$$!ing$$!Pension$$!Hedge</t>
  </si>
  <si>
    <t>One Delta</t>
  </si>
  <si>
    <t>Portfolio</t>
  </si>
  <si>
    <t>Futures</t>
  </si>
  <si>
    <t>Options</t>
  </si>
  <si>
    <t>Listed Deriv</t>
  </si>
  <si>
    <t>Cleared Deriv</t>
  </si>
  <si>
    <t>Equities</t>
  </si>
  <si>
    <t>Equity</t>
  </si>
  <si>
    <t>DELTA_ONE</t>
  </si>
  <si>
    <t>Delta One</t>
  </si>
  <si>
    <t>STIR</t>
  </si>
  <si>
    <t>RATES</t>
  </si>
  <si>
    <t>Rates</t>
  </si>
  <si>
    <t>LOANS</t>
  </si>
  <si>
    <t>Loans</t>
  </si>
  <si>
    <t>Loan</t>
  </si>
  <si>
    <t>REPO</t>
  </si>
  <si>
    <t>Repo</t>
  </si>
  <si>
    <t>GAS_POWER</t>
  </si>
  <si>
    <t>Gas$$Power</t>
  </si>
  <si>
    <t>RETAIL</t>
  </si>
  <si>
    <t>Retail</t>
  </si>
  <si>
    <t>WEALTH</t>
  </si>
  <si>
    <t>Wealth</t>
  </si>
  <si>
    <t>BONDS</t>
  </si>
  <si>
    <t>Bonds</t>
  </si>
  <si>
    <t>Bond</t>
  </si>
  <si>
    <t>FIXED_INCOME</t>
  </si>
  <si>
    <t>Fixed Income</t>
  </si>
  <si>
    <t>TREASURY</t>
  </si>
  <si>
    <t>Treasury</t>
  </si>
  <si>
    <t>FX</t>
  </si>
  <si>
    <t>COMMODITIES</t>
  </si>
  <si>
    <t>Commodities</t>
  </si>
  <si>
    <t>CREDIT</t>
  </si>
  <si>
    <t>Credit</t>
  </si>
  <si>
    <t>TRADING</t>
  </si>
  <si>
    <t>UNKNOWN_Sub Department</t>
  </si>
  <si>
    <t>Chief Information Officer</t>
  </si>
  <si>
    <t>Head of$$Tech</t>
  </si>
  <si>
    <t>Head of$$Application</t>
  </si>
  <si>
    <t>Developer$$!Recruiter</t>
  </si>
  <si>
    <t>Chief Digital Officer</t>
  </si>
  <si>
    <t>Architect$$!Data$$!Operations</t>
  </si>
  <si>
    <t>UX</t>
  </si>
  <si>
    <t>UI$$!Equity$$!Equipment$$!Equities</t>
  </si>
  <si>
    <t>Software</t>
  </si>
  <si>
    <t>Engineer$$!Data$$!Operations</t>
  </si>
  <si>
    <t>Technology$$!Business Manager$$!Business Analysis$$!Investment</t>
  </si>
  <si>
    <t>IT $$!Credit</t>
  </si>
  <si>
    <t xml:space="preserve"> IT$$!Credit</t>
  </si>
  <si>
    <t>(IT)$$!Credit</t>
  </si>
  <si>
    <t>-IT$$!Credit</t>
  </si>
  <si>
    <t>system</t>
  </si>
  <si>
    <t>platform$$!Support</t>
  </si>
  <si>
    <t>Tech$$!Business Manager</t>
  </si>
  <si>
    <t>Data</t>
  </si>
  <si>
    <t>Strategy</t>
  </si>
  <si>
    <t>Business Analysis</t>
  </si>
  <si>
    <t>Business Manager</t>
  </si>
  <si>
    <t>Solutions</t>
  </si>
  <si>
    <t>Infrastructure</t>
  </si>
  <si>
    <t>Quality Assurance</t>
  </si>
  <si>
    <t>QA</t>
  </si>
  <si>
    <t>Delivery</t>
  </si>
  <si>
    <t>Product</t>
  </si>
  <si>
    <t>FIX</t>
  </si>
  <si>
    <t>FIX Connectivity</t>
  </si>
  <si>
    <t>Operation</t>
  </si>
  <si>
    <t>Project</t>
  </si>
  <si>
    <t>Controller</t>
  </si>
  <si>
    <t>System</t>
  </si>
  <si>
    <t>Sourcer</t>
  </si>
  <si>
    <t>Recruiter</t>
  </si>
  <si>
    <t>Recruiting</t>
  </si>
  <si>
    <t>Payment</t>
  </si>
  <si>
    <t>Therapist</t>
  </si>
  <si>
    <t>Dentist</t>
  </si>
  <si>
    <t>Teacher</t>
  </si>
  <si>
    <t>Candidate</t>
  </si>
  <si>
    <t>Psych</t>
  </si>
  <si>
    <t>Professor</t>
  </si>
  <si>
    <t>Relationship</t>
  </si>
  <si>
    <t>Cardiology</t>
  </si>
  <si>
    <t>Procurement</t>
  </si>
  <si>
    <t>Admin</t>
  </si>
  <si>
    <t>Co-ordinator</t>
  </si>
  <si>
    <t>Marketing</t>
  </si>
  <si>
    <t>Account Executive</t>
  </si>
  <si>
    <t>Retired</t>
  </si>
  <si>
    <t>Human</t>
  </si>
  <si>
    <t>Law</t>
  </si>
  <si>
    <t>Speaker</t>
  </si>
  <si>
    <t>Talent</t>
  </si>
  <si>
    <t>Real Estate</t>
  </si>
  <si>
    <t>Financial Advisor</t>
  </si>
  <si>
    <t>Sales Executive</t>
  </si>
  <si>
    <t>Financial</t>
  </si>
  <si>
    <t>Police</t>
  </si>
  <si>
    <t>Account</t>
  </si>
  <si>
    <t>Customer</t>
  </si>
  <si>
    <t>Medical</t>
  </si>
  <si>
    <t>Accounts</t>
  </si>
  <si>
    <t>Sales Officer</t>
  </si>
  <si>
    <t>Sales Manager</t>
  </si>
  <si>
    <t>Sales Leader</t>
  </si>
  <si>
    <t>Regional Sales Director</t>
  </si>
  <si>
    <t>Chief Compliance Officer</t>
  </si>
  <si>
    <t>Chief Executive Officer</t>
  </si>
  <si>
    <t>Chief Commercial Officer</t>
  </si>
  <si>
    <t>COO$$!Coordinator</t>
  </si>
  <si>
    <t>Global CEO</t>
  </si>
  <si>
    <t>Audit</t>
  </si>
  <si>
    <t>Investment</t>
  </si>
  <si>
    <t>Risk Manager</t>
  </si>
  <si>
    <t>Credit Risk</t>
  </si>
  <si>
    <t>Counsel</t>
  </si>
  <si>
    <t>Compliance Officer</t>
  </si>
  <si>
    <t>Corporate Treasury</t>
  </si>
  <si>
    <t>Business</t>
  </si>
  <si>
    <t>Chief Revenue Officer</t>
  </si>
  <si>
    <t>Client</t>
  </si>
  <si>
    <t>Advisor</t>
  </si>
  <si>
    <t>Partner</t>
  </si>
  <si>
    <t>Partnership</t>
  </si>
  <si>
    <t>Research</t>
  </si>
  <si>
    <t>Business Development Manager</t>
  </si>
  <si>
    <t>Executive</t>
  </si>
  <si>
    <t>Board Member</t>
  </si>
  <si>
    <t>Member of the Board of Directors</t>
  </si>
  <si>
    <t>Founder &amp; CEO</t>
  </si>
  <si>
    <t>UNKNOWN_Job Type</t>
  </si>
  <si>
    <t>query1</t>
  </si>
  <si>
    <t>query2</t>
  </si>
  <si>
    <t>filename</t>
  </si>
  <si>
    <t>[("person","Sub Department","EQUITIES"),("person","Seniority","CSUITE|SENIOR")]</t>
  </si>
  <si>
    <t>[("person","Sub Department","CASH_EQUITIES"),("person","Seniority","CSUITE|SENIOR")]</t>
  </si>
  <si>
    <t>[("entries","activityType","Meeting")]</t>
  </si>
  <si>
    <t>entries_meetings.csv</t>
  </si>
  <si>
    <t>[("person","Sub Department","CLEARED_DERIVS"),("person","Seniority","CSUITE|SENIOR|MID_LEVEL")]</t>
  </si>
  <si>
    <t>Custom Field</t>
  </si>
  <si>
    <t>Value</t>
  </si>
  <si>
    <t>Type</t>
  </si>
  <si>
    <t>Pattern Match</t>
  </si>
  <si>
    <t>Priority</t>
  </si>
  <si>
    <t>organisation</t>
  </si>
  <si>
    <t>owner</t>
  </si>
  <si>
    <t>createdAt</t>
  </si>
  <si>
    <t>Danske Bank</t>
  </si>
  <si>
    <t>Fidelity Investments</t>
  </si>
  <si>
    <t>Keith</t>
  </si>
  <si>
    <t>ASSET_MANAGER</t>
  </si>
  <si>
    <t>Imperative Execution</t>
  </si>
  <si>
    <t>LIQUIDITY_VENUE</t>
  </si>
  <si>
    <t>Roman</t>
  </si>
  <si>
    <t>Founder and CEO</t>
  </si>
  <si>
    <t>Ginis</t>
  </si>
  <si>
    <t>Deutsche Bank</t>
  </si>
  <si>
    <t>Kris</t>
  </si>
  <si>
    <t>CIO for Markets Finance</t>
  </si>
  <si>
    <t>Harris</t>
  </si>
  <si>
    <t>JPMorgan Chase &amp; Co.</t>
  </si>
  <si>
    <t>Ben</t>
  </si>
  <si>
    <t>ICE</t>
  </si>
  <si>
    <t>State Street</t>
  </si>
  <si>
    <t>Barry</t>
  </si>
  <si>
    <t>Mateus</t>
  </si>
  <si>
    <t>Panagiotis</t>
  </si>
  <si>
    <t>FINTECH</t>
  </si>
  <si>
    <t>CTO</t>
  </si>
  <si>
    <t>Bhattacharya</t>
  </si>
  <si>
    <t>TECH_VENDOR</t>
  </si>
  <si>
    <t>Luminor Group</t>
  </si>
  <si>
    <t>Citi</t>
  </si>
  <si>
    <t>Sanjay</t>
  </si>
  <si>
    <t>Mostenicky</t>
  </si>
  <si>
    <t>Franklin Templeton</t>
  </si>
  <si>
    <t>Amit</t>
  </si>
  <si>
    <t>Barclays</t>
  </si>
  <si>
    <t>Bank of America</t>
  </si>
  <si>
    <t>Fiserv</t>
  </si>
  <si>
    <t>LSEG</t>
  </si>
  <si>
    <t>Nicholas</t>
  </si>
  <si>
    <t>Barker</t>
  </si>
  <si>
    <t>NON_FINANCE</t>
  </si>
  <si>
    <t>Abbey Capital</t>
  </si>
  <si>
    <t>Carney</t>
  </si>
  <si>
    <t>The Interstate</t>
  </si>
  <si>
    <t>Janet</t>
  </si>
  <si>
    <t>Connor</t>
  </si>
  <si>
    <t>ED&amp;F Man Capital Markets</t>
  </si>
  <si>
    <t>BROKER_DEALER</t>
  </si>
  <si>
    <t>Mahesh</t>
  </si>
  <si>
    <t>Axe Trading</t>
  </si>
  <si>
    <t>Interim CIO</t>
  </si>
  <si>
    <t>Allmark</t>
  </si>
  <si>
    <t>Helen</t>
  </si>
  <si>
    <t>CIBC</t>
  </si>
  <si>
    <t>Kristin</t>
  </si>
  <si>
    <t>Maite</t>
  </si>
  <si>
    <t>The Midway</t>
  </si>
  <si>
    <t>Omar</t>
  </si>
  <si>
    <t>Qaiser</t>
  </si>
  <si>
    <t>Bailey</t>
  </si>
  <si>
    <t>Cantor Fitzgerald</t>
  </si>
  <si>
    <t>Conor</t>
  </si>
  <si>
    <t>Hamilton</t>
  </si>
  <si>
    <t>ConvergEx Group</t>
  </si>
  <si>
    <t>Santosh</t>
  </si>
  <si>
    <t>SunGard Global Trading</t>
  </si>
  <si>
    <t>Balasubramanian</t>
  </si>
  <si>
    <t>The National</t>
  </si>
  <si>
    <t>Shahid</t>
  </si>
  <si>
    <t>Hany</t>
  </si>
  <si>
    <t>Alessandro</t>
  </si>
  <si>
    <t>Barroso</t>
  </si>
  <si>
    <t>RBC Capital Markets</t>
  </si>
  <si>
    <t>CGS-CIMB Securities</t>
  </si>
  <si>
    <t>Benjamin</t>
  </si>
  <si>
    <t>XY Capital</t>
  </si>
  <si>
    <t>Tomas</t>
  </si>
  <si>
    <t>Linedata</t>
  </si>
  <si>
    <t>CC Holdings</t>
  </si>
  <si>
    <t>Senior MD/CEO</t>
  </si>
  <si>
    <t>Craddock</t>
  </si>
  <si>
    <t>American Century</t>
  </si>
  <si>
    <t>Blake</t>
  </si>
  <si>
    <t>Lynch</t>
  </si>
  <si>
    <t>Prudential Financial</t>
  </si>
  <si>
    <t>Russo</t>
  </si>
  <si>
    <t>Harry</t>
  </si>
  <si>
    <t>Paterson</t>
  </si>
  <si>
    <t>Williams</t>
  </si>
  <si>
    <t>Syed</t>
  </si>
  <si>
    <t>Wong</t>
  </si>
  <si>
    <t>Luis</t>
  </si>
  <si>
    <t>Rick</t>
  </si>
  <si>
    <t>Nolte</t>
  </si>
  <si>
    <t>Fernando</t>
  </si>
  <si>
    <t>Alfonso</t>
  </si>
  <si>
    <t>Sanchez</t>
  </si>
  <si>
    <t>Ignacio</t>
  </si>
  <si>
    <t>Vega</t>
  </si>
  <si>
    <t>AllianceBernstein</t>
  </si>
  <si>
    <t>Chang</t>
  </si>
  <si>
    <t>Blue Harbour</t>
  </si>
  <si>
    <t>Declan</t>
  </si>
  <si>
    <t>BlueMar Capital</t>
  </si>
  <si>
    <t>Laferriere</t>
  </si>
  <si>
    <t>Eduardo</t>
  </si>
  <si>
    <t>Cortes</t>
  </si>
  <si>
    <t>BANK</t>
  </si>
  <si>
    <t>Rodolfo</t>
  </si>
  <si>
    <t>Ray</t>
  </si>
  <si>
    <t>Danielle</t>
  </si>
  <si>
    <t>M&amp;T Bank</t>
  </si>
  <si>
    <t>Danny</t>
  </si>
  <si>
    <t>Vice President - Product Owner</t>
  </si>
  <si>
    <t>Baco III</t>
  </si>
  <si>
    <t>Blue Oak</t>
  </si>
  <si>
    <t>Jonathon</t>
  </si>
  <si>
    <t>Patrick</t>
  </si>
  <si>
    <t>COO / Partner</t>
  </si>
  <si>
    <t>Egan</t>
  </si>
  <si>
    <t>D'Angelo</t>
  </si>
  <si>
    <t>Donald</t>
  </si>
  <si>
    <t>Devine</t>
  </si>
  <si>
    <t>Albert</t>
  </si>
  <si>
    <t>Schindler</t>
  </si>
  <si>
    <t>Joanna</t>
  </si>
  <si>
    <t>Jeff</t>
  </si>
  <si>
    <t>SG Americas</t>
  </si>
  <si>
    <t>Vice President</t>
  </si>
  <si>
    <t>Falconieri</t>
  </si>
  <si>
    <t>Tom</t>
  </si>
  <si>
    <t>Aberdeen Asset</t>
  </si>
  <si>
    <t>Hale</t>
  </si>
  <si>
    <t>Gerard</t>
  </si>
  <si>
    <t>Falcone</t>
  </si>
  <si>
    <t>Nomura</t>
  </si>
  <si>
    <t>Kaye</t>
  </si>
  <si>
    <t>Seekers Advisors</t>
  </si>
  <si>
    <t>Jean-Baptiste</t>
  </si>
  <si>
    <t>Cebe</t>
  </si>
  <si>
    <t>Blueshift Asset Management, LLC</t>
  </si>
  <si>
    <t>Todd</t>
  </si>
  <si>
    <t>Kramer</t>
  </si>
  <si>
    <t>Parker</t>
  </si>
  <si>
    <t>Blue Sparrow</t>
  </si>
  <si>
    <t>jason</t>
  </si>
  <si>
    <t>Morris</t>
  </si>
  <si>
    <t>Clarke</t>
  </si>
  <si>
    <t>Zhu</t>
  </si>
  <si>
    <t>Morgan Stanley</t>
  </si>
  <si>
    <t>Dev</t>
  </si>
  <si>
    <t>INTERACTIVE_INVESTORS</t>
  </si>
  <si>
    <t>Tumilty</t>
  </si>
  <si>
    <t>StoneX</t>
  </si>
  <si>
    <t>james</t>
  </si>
  <si>
    <t>Sajjad</t>
  </si>
  <si>
    <t>Rashid</t>
  </si>
  <si>
    <t>Athens Exchange</t>
  </si>
  <si>
    <t>Nicos</t>
  </si>
  <si>
    <t>Porfyris</t>
  </si>
  <si>
    <t>Michelle</t>
  </si>
  <si>
    <t>BNY Mellon</t>
  </si>
  <si>
    <t>Brown</t>
  </si>
  <si>
    <t>FINANCIAL_SERVICES</t>
  </si>
  <si>
    <t>Andreas</t>
  </si>
  <si>
    <t>Wagner</t>
  </si>
  <si>
    <t>Cesar</t>
  </si>
  <si>
    <t>Kraus</t>
  </si>
  <si>
    <t>Macquarie Group</t>
  </si>
  <si>
    <t>Kaete</t>
  </si>
  <si>
    <t>Manager / Assistant COO group</t>
  </si>
  <si>
    <t>Edington</t>
  </si>
  <si>
    <t>Credit Suisse</t>
  </si>
  <si>
    <t>Yuri</t>
  </si>
  <si>
    <t>Standard Chartered Bank</t>
  </si>
  <si>
    <t>Commerz Asset Management</t>
  </si>
  <si>
    <t>Scotiabank Global Banking and Markets</t>
  </si>
  <si>
    <t>Vice President, Data &amp; Analytics Engineering</t>
  </si>
  <si>
    <t>Witcomb</t>
  </si>
  <si>
    <t>Brevan Howard</t>
  </si>
  <si>
    <t>Australian Ethical Investment</t>
  </si>
  <si>
    <t>Emilce</t>
  </si>
  <si>
    <t>Senior Vice President, Head of Americas Asset Management and Portfolio, Infrastructure and Energy</t>
  </si>
  <si>
    <t>Song</t>
  </si>
  <si>
    <t>Bradley</t>
  </si>
  <si>
    <t>Goldman Sachs</t>
  </si>
  <si>
    <t>Srutikanta</t>
  </si>
  <si>
    <t>Senior Vice President Of Engineering</t>
  </si>
  <si>
    <t>Hota</t>
  </si>
  <si>
    <t>Intersect Power</t>
  </si>
  <si>
    <t>Andres</t>
  </si>
  <si>
    <t>Senior Vice President - Global Energy Technology</t>
  </si>
  <si>
    <t>Pacheco</t>
  </si>
  <si>
    <t>Yan</t>
  </si>
  <si>
    <t>Nordea</t>
  </si>
  <si>
    <t>Google</t>
  </si>
  <si>
    <t>BBVA</t>
  </si>
  <si>
    <t>Nick</t>
  </si>
  <si>
    <t>EY</t>
  </si>
  <si>
    <t>Ultumus</t>
  </si>
  <si>
    <t>Jane</t>
  </si>
  <si>
    <t>Hodge</t>
  </si>
  <si>
    <t>Jennifer</t>
  </si>
  <si>
    <t>Carla</t>
  </si>
  <si>
    <t>Manish</t>
  </si>
  <si>
    <t>Bathla</t>
  </si>
  <si>
    <t>Han</t>
  </si>
  <si>
    <t>Nicole</t>
  </si>
  <si>
    <t>Ford</t>
  </si>
  <si>
    <t>BMO Capital Markets</t>
  </si>
  <si>
    <t>Dana</t>
  </si>
  <si>
    <t>Arun</t>
  </si>
  <si>
    <t>Pandey</t>
  </si>
  <si>
    <t>American Express</t>
  </si>
  <si>
    <t>Dawn</t>
  </si>
  <si>
    <t>Personal Executive Assistant to Chief Executive Officer (Ken Chenault)</t>
  </si>
  <si>
    <t>Moore</t>
  </si>
  <si>
    <t>UBS</t>
  </si>
  <si>
    <t>Mary</t>
  </si>
  <si>
    <t>Lloyds Banking Group</t>
  </si>
  <si>
    <t>Daiwa Capital Markets</t>
  </si>
  <si>
    <t>Woolford</t>
  </si>
  <si>
    <t>Sullivan</t>
  </si>
  <si>
    <t>Tikehau Capital</t>
  </si>
  <si>
    <t>Vice President, Leveraged Finance Distribution &amp; Trading</t>
  </si>
  <si>
    <t>Naber</t>
  </si>
  <si>
    <t>Reliance Insurance Limited</t>
  </si>
  <si>
    <t>Swaminathan</t>
  </si>
  <si>
    <t>Nauman</t>
  </si>
  <si>
    <t>FactSet</t>
  </si>
  <si>
    <t>yln</t>
  </si>
  <si>
    <t>Associate Director, Vice President</t>
  </si>
  <si>
    <t>kancheti</t>
  </si>
  <si>
    <t>Jens</t>
  </si>
  <si>
    <t>Wells Fargo</t>
  </si>
  <si>
    <t>dupe_Victoria</t>
  </si>
  <si>
    <t>Vice President Delivery</t>
  </si>
  <si>
    <t>dupe_Nguyen</t>
  </si>
  <si>
    <t>Lynn</t>
  </si>
  <si>
    <t>Bernard</t>
  </si>
  <si>
    <t>Powers</t>
  </si>
  <si>
    <t>TD Ameritrade</t>
  </si>
  <si>
    <t>Margaret</t>
  </si>
  <si>
    <t>TELUS Digital</t>
  </si>
  <si>
    <t>Vice President, Marketing Solutions &amp; Client Offers</t>
  </si>
  <si>
    <t>Madan</t>
  </si>
  <si>
    <t>Charlotte</t>
  </si>
  <si>
    <t>Amazon</t>
  </si>
  <si>
    <t>Credit agricole</t>
  </si>
  <si>
    <t>Arie</t>
  </si>
  <si>
    <t>Blum, CFA</t>
  </si>
  <si>
    <t>Wisniewski</t>
  </si>
  <si>
    <t>Liquidnet</t>
  </si>
  <si>
    <t>Vice President - Test Execution Specialist, Global Risk</t>
  </si>
  <si>
    <t>Cardone</t>
  </si>
  <si>
    <t>Yee</t>
  </si>
  <si>
    <t>Rapid Addition Limited</t>
  </si>
  <si>
    <t>Bennett</t>
  </si>
  <si>
    <t>Winter</t>
  </si>
  <si>
    <t>Alasdair</t>
  </si>
  <si>
    <t>Besian</t>
  </si>
  <si>
    <t>Senior Vice President Risk Management</t>
  </si>
  <si>
    <t>Hasani</t>
  </si>
  <si>
    <t>Jay</t>
  </si>
  <si>
    <t>Majumdar</t>
  </si>
  <si>
    <t>Vincent</t>
  </si>
  <si>
    <t>Schroders</t>
  </si>
  <si>
    <t>Allison</t>
  </si>
  <si>
    <t>Petros</t>
  </si>
  <si>
    <t>Lina</t>
  </si>
  <si>
    <t>Investment Banking</t>
  </si>
  <si>
    <t>AMITAVA</t>
  </si>
  <si>
    <t>BISWAS</t>
  </si>
  <si>
    <t>Saxo Bank</t>
  </si>
  <si>
    <t>Venkatesh</t>
  </si>
  <si>
    <t>Hastings Direct</t>
  </si>
  <si>
    <t>Shields</t>
  </si>
  <si>
    <t>Vice President Market Operations</t>
  </si>
  <si>
    <t>Vespucci</t>
  </si>
  <si>
    <t>Erik</t>
  </si>
  <si>
    <t>Vishnu</t>
  </si>
  <si>
    <t>Vice President, Global Finance &amp; Risk Technology</t>
  </si>
  <si>
    <t>Mangal</t>
  </si>
  <si>
    <t>Anita</t>
  </si>
  <si>
    <t>Philip</t>
  </si>
  <si>
    <t>Rashika</t>
  </si>
  <si>
    <t>Murthy</t>
  </si>
  <si>
    <t>O'Brien</t>
  </si>
  <si>
    <t>Director, CEO Office, SCB AG Germany</t>
  </si>
  <si>
    <t>Kalumba</t>
  </si>
  <si>
    <t>Werner</t>
  </si>
  <si>
    <t>Epstein</t>
  </si>
  <si>
    <t>Michel</t>
  </si>
  <si>
    <t>Recio</t>
  </si>
  <si>
    <t>Arshdeep</t>
  </si>
  <si>
    <t>Singh</t>
  </si>
  <si>
    <t>Pradeep</t>
  </si>
  <si>
    <t>Cameron</t>
  </si>
  <si>
    <t>Steel</t>
  </si>
  <si>
    <t>Auerbach Grayson</t>
  </si>
  <si>
    <t>Vice President, Equity Sales Trading</t>
  </si>
  <si>
    <t>Hathaway</t>
  </si>
  <si>
    <t>Emirates NBD</t>
  </si>
  <si>
    <t>Pedro</t>
  </si>
  <si>
    <t>Director Board Of Directors</t>
  </si>
  <si>
    <t>Sousa Cardoso</t>
  </si>
  <si>
    <t>Vinod</t>
  </si>
  <si>
    <t>Schmidt</t>
  </si>
  <si>
    <t>Accenture</t>
  </si>
  <si>
    <t>Huber</t>
  </si>
  <si>
    <t>Edgar</t>
  </si>
  <si>
    <t>Morgan</t>
  </si>
  <si>
    <t>Wright</t>
  </si>
  <si>
    <t>Christie</t>
  </si>
  <si>
    <t>Jerome</t>
  </si>
  <si>
    <t>Tong</t>
  </si>
  <si>
    <t>Nikhil</t>
  </si>
  <si>
    <t>Wilfred</t>
  </si>
  <si>
    <t>Yeung</t>
  </si>
  <si>
    <t>Mitchell</t>
  </si>
  <si>
    <t>CFO Functions</t>
  </si>
  <si>
    <t>Hill</t>
  </si>
  <si>
    <t>Shaun</t>
  </si>
  <si>
    <t>Sudhir</t>
  </si>
  <si>
    <t>V</t>
  </si>
  <si>
    <t>Rene W.</t>
  </si>
  <si>
    <t>CIO Corporate, Commercial &amp; Institutional Banking</t>
  </si>
  <si>
    <t>Keller</t>
  </si>
  <si>
    <t>Manoj</t>
  </si>
  <si>
    <t>Managing Director, Chief Information Security &amp; Cyber Officer, CCIB</t>
  </si>
  <si>
    <t>Robinson</t>
  </si>
  <si>
    <t>White</t>
  </si>
  <si>
    <t>Chief Financial Officer, Europe</t>
  </si>
  <si>
    <t>Pearlman</t>
  </si>
  <si>
    <t>Damian</t>
  </si>
  <si>
    <t>Leach</t>
  </si>
  <si>
    <t>Sumitomo Mitsui Banking Corporation</t>
  </si>
  <si>
    <t>Shawn</t>
  </si>
  <si>
    <t>Rose</t>
  </si>
  <si>
    <t>Dobbins</t>
  </si>
  <si>
    <t>Cecile</t>
  </si>
  <si>
    <t>Higgins</t>
  </si>
  <si>
    <t>Zurich Investments</t>
  </si>
  <si>
    <t>Ankit</t>
  </si>
  <si>
    <t>Bhatia</t>
  </si>
  <si>
    <t>Financial Recruiters International</t>
  </si>
  <si>
    <t>ABN AMRO Bank N.V.</t>
  </si>
  <si>
    <t>Mohammed</t>
  </si>
  <si>
    <t>Kalyana</t>
  </si>
  <si>
    <t>Vice President, Technology (Financial Markets, CIB)</t>
  </si>
  <si>
    <t>Chakravarthy</t>
  </si>
  <si>
    <t>Larsen</t>
  </si>
  <si>
    <t>China COO</t>
  </si>
  <si>
    <t>Sharratt</t>
  </si>
  <si>
    <t>Sonam</t>
  </si>
  <si>
    <t>Vice President | Infrastructure Private Equity</t>
  </si>
  <si>
    <t>Sabikhi</t>
  </si>
  <si>
    <t>Edwards</t>
  </si>
  <si>
    <t>Thorsten</t>
  </si>
  <si>
    <t>Mayr</t>
  </si>
  <si>
    <t>Evanta, a Gartner Company</t>
  </si>
  <si>
    <t>Felimy</t>
  </si>
  <si>
    <t>COO &amp; Global Head, Onboarding, Consumer, Private &amp; Business Banking</t>
  </si>
  <si>
    <t>Greene</t>
  </si>
  <si>
    <t>Mills</t>
  </si>
  <si>
    <t>Angelo</t>
  </si>
  <si>
    <t>Nael</t>
  </si>
  <si>
    <t>Soliman</t>
  </si>
  <si>
    <t>Managing Director, Co-Head of Electronic Trading (Formerly CEO Clearpool Group)</t>
  </si>
  <si>
    <t>Wald</t>
  </si>
  <si>
    <t>MUFG</t>
  </si>
  <si>
    <t>Walsh</t>
  </si>
  <si>
    <t>Hong</t>
  </si>
  <si>
    <t>Vice President, Lead Quantitative Developer</t>
  </si>
  <si>
    <t>Davidson</t>
  </si>
  <si>
    <t>Chief Financial Officer, UK &amp; Europe</t>
  </si>
  <si>
    <t>Ellis</t>
  </si>
  <si>
    <t>Natalie</t>
  </si>
  <si>
    <t>Sachin</t>
  </si>
  <si>
    <t>Oberoi</t>
  </si>
  <si>
    <t>Sales COO, Business Manager</t>
  </si>
  <si>
    <t>Pollack</t>
  </si>
  <si>
    <t>Sameer</t>
  </si>
  <si>
    <t>Punde</t>
  </si>
  <si>
    <t>Davis</t>
  </si>
  <si>
    <t>Surabhi</t>
  </si>
  <si>
    <t>Misra</t>
  </si>
  <si>
    <t>AFME (Association for Financial Markets in Europe)</t>
  </si>
  <si>
    <t>Head of Programme and Change - Legal COO - Executive Director</t>
  </si>
  <si>
    <t>Waterworth</t>
  </si>
  <si>
    <t>Tamir</t>
  </si>
  <si>
    <t>Delaney</t>
  </si>
  <si>
    <t>Rita</t>
  </si>
  <si>
    <t>Global Chief Operating Officer - Global Markets Division</t>
  </si>
  <si>
    <t>Sqalli</t>
  </si>
  <si>
    <t>Rajat</t>
  </si>
  <si>
    <t>Allie</t>
  </si>
  <si>
    <t>Vice President and Chief Data Officer, Global Banking and Markets</t>
  </si>
  <si>
    <t>Leonteq</t>
  </si>
  <si>
    <t>Jeremy</t>
  </si>
  <si>
    <t>Bryson</t>
  </si>
  <si>
    <t>Felipe</t>
  </si>
  <si>
    <t>Chief Information Security Officer (Executive Director)</t>
  </si>
  <si>
    <t>Garca Vivanco (MSM)</t>
  </si>
  <si>
    <t>Chief Executive Officer, Taipei branch</t>
  </si>
  <si>
    <t>Lamberg</t>
  </si>
  <si>
    <t>Rebecca</t>
  </si>
  <si>
    <t>Ahmed</t>
  </si>
  <si>
    <t>Walters</t>
  </si>
  <si>
    <t>Doherty</t>
  </si>
  <si>
    <t>Italia Solare</t>
  </si>
  <si>
    <t>Prearo</t>
  </si>
  <si>
    <t>Cole</t>
  </si>
  <si>
    <t>Neelam</t>
  </si>
  <si>
    <t>Vice President Of Technology Services</t>
  </si>
  <si>
    <t>Thakur</t>
  </si>
  <si>
    <t>Hart</t>
  </si>
  <si>
    <t>Mulholland</t>
  </si>
  <si>
    <t>Kamal</t>
  </si>
  <si>
    <t>Nitin</t>
  </si>
  <si>
    <t>Head - Data &amp; Analytics / Vice President</t>
  </si>
  <si>
    <t>Guru</t>
  </si>
  <si>
    <t>Whyte</t>
  </si>
  <si>
    <t>Sanjeev</t>
  </si>
  <si>
    <t>Verma</t>
  </si>
  <si>
    <t>Mann</t>
  </si>
  <si>
    <t>Ghosh</t>
  </si>
  <si>
    <t>Sebastian</t>
  </si>
  <si>
    <t>Freelance</t>
  </si>
  <si>
    <t>Azer</t>
  </si>
  <si>
    <t>Senior Vice President, Enterprise Risk Management</t>
  </si>
  <si>
    <t>Hann</t>
  </si>
  <si>
    <t>Milton</t>
  </si>
  <si>
    <t>Fabio</t>
  </si>
  <si>
    <t>First Abu Dhabi Bank (FAB)</t>
  </si>
  <si>
    <t>Phil</t>
  </si>
  <si>
    <t>Allen</t>
  </si>
  <si>
    <t>Will</t>
  </si>
  <si>
    <t>Ricardo</t>
  </si>
  <si>
    <t>Minaya</t>
  </si>
  <si>
    <t>Iress</t>
  </si>
  <si>
    <t>Managing Director &amp; CEO</t>
  </si>
  <si>
    <t>Christine</t>
  </si>
  <si>
    <t>Subramanian</t>
  </si>
  <si>
    <t>Self Employed</t>
  </si>
  <si>
    <t>Karim</t>
  </si>
  <si>
    <t>SVP, Chief Operating Officer</t>
  </si>
  <si>
    <t>Rajwani</t>
  </si>
  <si>
    <t>Philippe</t>
  </si>
  <si>
    <t>HSBC</t>
  </si>
  <si>
    <t>Gordon</t>
  </si>
  <si>
    <t>Aziz</t>
  </si>
  <si>
    <t>Evercore</t>
  </si>
  <si>
    <t>Sheikh</t>
  </si>
  <si>
    <t>Gray</t>
  </si>
  <si>
    <t>Karthik</t>
  </si>
  <si>
    <t>Ashok</t>
  </si>
  <si>
    <t>Arora</t>
  </si>
  <si>
    <t>Gorm</t>
  </si>
  <si>
    <t>XCOO</t>
  </si>
  <si>
    <t>Praefke</t>
  </si>
  <si>
    <t>Atul</t>
  </si>
  <si>
    <t>Allan</t>
  </si>
  <si>
    <t>Pham</t>
  </si>
  <si>
    <t>Praveen</t>
  </si>
  <si>
    <t>Joshi</t>
  </si>
  <si>
    <t>Katie</t>
  </si>
  <si>
    <t>Chief Financial Officer, Banking and Financial Services</t>
  </si>
  <si>
    <t>Robertson</t>
  </si>
  <si>
    <t>Eddie</t>
  </si>
  <si>
    <t>Jones</t>
  </si>
  <si>
    <t>Exness</t>
  </si>
  <si>
    <t>Watkins</t>
  </si>
  <si>
    <t>CFO, Operations &amp; Program Director, Business Efficiency (Managing Director)</t>
  </si>
  <si>
    <t>Dymock</t>
  </si>
  <si>
    <t>Sverre</t>
  </si>
  <si>
    <t>CEO and Head of Banking, Nordics</t>
  </si>
  <si>
    <t>Hana</t>
  </si>
  <si>
    <t>Gregory</t>
  </si>
  <si>
    <t>Aman</t>
  </si>
  <si>
    <t>Director, Client Coverage, COO Office</t>
  </si>
  <si>
    <t>Rishi</t>
  </si>
  <si>
    <t>McHugh</t>
  </si>
  <si>
    <t>Libby</t>
  </si>
  <si>
    <t>Equity Derivatives Sales, Vice President at RBC</t>
  </si>
  <si>
    <t>Jandl</t>
  </si>
  <si>
    <t>Vikram</t>
  </si>
  <si>
    <t>Lisa</t>
  </si>
  <si>
    <t>Zelda</t>
  </si>
  <si>
    <t>Prashant</t>
  </si>
  <si>
    <t>Srivastava</t>
  </si>
  <si>
    <t>Steen</t>
  </si>
  <si>
    <t>Jakobsen</t>
  </si>
  <si>
    <t>Rene</t>
  </si>
  <si>
    <t>CFO - Financial Markets</t>
  </si>
  <si>
    <t>Pareek</t>
  </si>
  <si>
    <t>Kohli</t>
  </si>
  <si>
    <t>Malone</t>
  </si>
  <si>
    <t>Turrell</t>
  </si>
  <si>
    <t>Mehdi</t>
  </si>
  <si>
    <t>Jayee</t>
  </si>
  <si>
    <t>Klein</t>
  </si>
  <si>
    <t>Vice President - Debt Capital Markets (DCM) M/O - Securitization</t>
  </si>
  <si>
    <t>Santana - MBA, MSA</t>
  </si>
  <si>
    <t>Alina</t>
  </si>
  <si>
    <t>Mohit</t>
  </si>
  <si>
    <t>Saurabh</t>
  </si>
  <si>
    <t>Tandon</t>
  </si>
  <si>
    <t>McLean</t>
  </si>
  <si>
    <t>Marcos</t>
  </si>
  <si>
    <t>O'Neill</t>
  </si>
  <si>
    <t>Mohanty</t>
  </si>
  <si>
    <t>BNP Paribas</t>
  </si>
  <si>
    <t>Mihai</t>
  </si>
  <si>
    <t>Iyngaran</t>
  </si>
  <si>
    <t>Muniandy</t>
  </si>
  <si>
    <t>Man Group</t>
  </si>
  <si>
    <t>Sriram</t>
  </si>
  <si>
    <t>Reddy</t>
  </si>
  <si>
    <t>Vladimir</t>
  </si>
  <si>
    <t>Lyulchuk</t>
  </si>
  <si>
    <t>Marcus</t>
  </si>
  <si>
    <t>Nielsen</t>
  </si>
  <si>
    <t>Patrice</t>
  </si>
  <si>
    <t>Abhijit</t>
  </si>
  <si>
    <t>Managing Director, Chief Operating Officer, Treasury</t>
  </si>
  <si>
    <t>Patharkar</t>
  </si>
  <si>
    <t>Chief Executive Officer, Greater Bay Area</t>
  </si>
  <si>
    <t>Lin</t>
  </si>
  <si>
    <t>Malik</t>
  </si>
  <si>
    <t>Shavanka</t>
  </si>
  <si>
    <t>Chief Financial Officer, nexus (BaaS)</t>
  </si>
  <si>
    <t>Ratnayake</t>
  </si>
  <si>
    <t>Boris</t>
  </si>
  <si>
    <t>Dr. Armin</t>
  </si>
  <si>
    <t>Divisional Board Member Group Compliance / Chief Compliance Officer / Group MLRO</t>
  </si>
  <si>
    <t>Barthel</t>
  </si>
  <si>
    <t>Diana</t>
  </si>
  <si>
    <t>Ribeiro</t>
  </si>
  <si>
    <t>Radu</t>
  </si>
  <si>
    <t>Vice President, Business Analytics and Data Automation</t>
  </si>
  <si>
    <t>Nedelcu</t>
  </si>
  <si>
    <t>SC</t>
  </si>
  <si>
    <t>Nadeem</t>
  </si>
  <si>
    <t>Eugene</t>
  </si>
  <si>
    <t>Liang</t>
  </si>
  <si>
    <t>Ling</t>
  </si>
  <si>
    <t>Lu</t>
  </si>
  <si>
    <t>Srinivasan</t>
  </si>
  <si>
    <t>Raj</t>
  </si>
  <si>
    <t>Radhakrishnan</t>
  </si>
  <si>
    <t>Sabyasachi</t>
  </si>
  <si>
    <t>Ajay</t>
  </si>
  <si>
    <t>Armen</t>
  </si>
  <si>
    <t>Vice President - Fixed Income Sales &amp; Derivative Solutions</t>
  </si>
  <si>
    <t>Safieh-Garabedian</t>
  </si>
  <si>
    <t>Gilles</t>
  </si>
  <si>
    <t>Schwartz</t>
  </si>
  <si>
    <t>Bandyopadhyay</t>
  </si>
  <si>
    <t>Fernandez</t>
  </si>
  <si>
    <t>darren</t>
  </si>
  <si>
    <t>Euronext</t>
  </si>
  <si>
    <t>Flemming</t>
  </si>
  <si>
    <t>Rahul</t>
  </si>
  <si>
    <t>Sharma</t>
  </si>
  <si>
    <t>Brown Gibbons Lang &amp; Company</t>
  </si>
  <si>
    <t>Eliott</t>
  </si>
  <si>
    <t>Musick</t>
  </si>
  <si>
    <t>Eileen</t>
  </si>
  <si>
    <t>Bloomberg</t>
  </si>
  <si>
    <t>Karen</t>
  </si>
  <si>
    <t>Lim</t>
  </si>
  <si>
    <t>OTCex</t>
  </si>
  <si>
    <t>Cecilia</t>
  </si>
  <si>
    <t>Meredith</t>
  </si>
  <si>
    <t>Nadia</t>
  </si>
  <si>
    <t>Jackson</t>
  </si>
  <si>
    <t>Satish</t>
  </si>
  <si>
    <t>GLG</t>
  </si>
  <si>
    <t>Andrews</t>
  </si>
  <si>
    <t>Kareem</t>
  </si>
  <si>
    <t>Bansal</t>
  </si>
  <si>
    <t>VC</t>
  </si>
  <si>
    <t>Nicola</t>
  </si>
  <si>
    <t>Deputy COO Commerz Markets LLC | Head of Strategy &amp; Management Office</t>
  </si>
  <si>
    <t>Koenig, MBA, CAMS</t>
  </si>
  <si>
    <t>Arvid</t>
  </si>
  <si>
    <t>CEO at Nordea Hypotek</t>
  </si>
  <si>
    <t>Krnmark</t>
  </si>
  <si>
    <t>Assistant Vice President- PMO</t>
  </si>
  <si>
    <t>Haskins</t>
  </si>
  <si>
    <t>Siu</t>
  </si>
  <si>
    <t>Ariel</t>
  </si>
  <si>
    <t>VP &amp; CFO</t>
  </si>
  <si>
    <t>Rosenblatt</t>
  </si>
  <si>
    <t>Nelson</t>
  </si>
  <si>
    <t>Justin</t>
  </si>
  <si>
    <t>Naik</t>
  </si>
  <si>
    <t>Gill</t>
  </si>
  <si>
    <t>Virginia</t>
  </si>
  <si>
    <t>Laura</t>
  </si>
  <si>
    <t>Vice President, Global Corporates</t>
  </si>
  <si>
    <t>Hendry</t>
  </si>
  <si>
    <t>Chowdhury</t>
  </si>
  <si>
    <t>Fabrice</t>
  </si>
  <si>
    <t>Arthur</t>
  </si>
  <si>
    <t>Wayne</t>
  </si>
  <si>
    <t>Vice President Commercial Financial Services | Business &amp; Professional Services</t>
  </si>
  <si>
    <t>Troy</t>
  </si>
  <si>
    <t>Bergman</t>
  </si>
  <si>
    <t>Alyson</t>
  </si>
  <si>
    <t>Senior Vice President, GRM Data, Analytics &amp; Technology</t>
  </si>
  <si>
    <t>Bailey-Flynn</t>
  </si>
  <si>
    <t>Overactive</t>
  </si>
  <si>
    <t>Vice President, Brand Marketing</t>
  </si>
  <si>
    <t>McGlynn</t>
  </si>
  <si>
    <t>Facebook</t>
  </si>
  <si>
    <t>Mittal</t>
  </si>
  <si>
    <t>Balaji</t>
  </si>
  <si>
    <t>Viswanath</t>
  </si>
  <si>
    <t>Knudsen</t>
  </si>
  <si>
    <t>Nishant</t>
  </si>
  <si>
    <t>Taneja</t>
  </si>
  <si>
    <t>Rajesh</t>
  </si>
  <si>
    <t>Roberto</t>
  </si>
  <si>
    <t>Yasunori</t>
  </si>
  <si>
    <t>CEO, Japan</t>
  </si>
  <si>
    <t>Takeuchi</t>
  </si>
  <si>
    <t>Octopus Asset</t>
  </si>
  <si>
    <t>Yang</t>
  </si>
  <si>
    <t>Malek</t>
  </si>
  <si>
    <t>Vice President Global Markets Engineering</t>
  </si>
  <si>
    <t>Ben Jemia, CFA</t>
  </si>
  <si>
    <t>Meta</t>
  </si>
  <si>
    <t>Chitra</t>
  </si>
  <si>
    <t>Senior Vice President, Head - Data Quality &amp; Information Management, Finance Operations</t>
  </si>
  <si>
    <t>Murphy</t>
  </si>
  <si>
    <t>Sheridan</t>
  </si>
  <si>
    <t>Perkins</t>
  </si>
  <si>
    <t>Gavin</t>
  </si>
  <si>
    <t>Vice President, Compliance &amp; 1st line operational risk</t>
  </si>
  <si>
    <t>Lytle</t>
  </si>
  <si>
    <t>Shiraz</t>
  </si>
  <si>
    <t>Benham, CFA</t>
  </si>
  <si>
    <t>Vaidya</t>
  </si>
  <si>
    <t>Clare</t>
  </si>
  <si>
    <t>Max</t>
  </si>
  <si>
    <t>Sarav</t>
  </si>
  <si>
    <t>Ramu</t>
  </si>
  <si>
    <t>Jeroen</t>
  </si>
  <si>
    <t>Ola</t>
  </si>
  <si>
    <t>Olatunde</t>
  </si>
  <si>
    <t>Jerry</t>
  </si>
  <si>
    <t>Senior Vice President and Managing Director, Financial Institutions Advisory</t>
  </si>
  <si>
    <t>Bachman, CFA</t>
  </si>
  <si>
    <t>Otto</t>
  </si>
  <si>
    <t>Sajish</t>
  </si>
  <si>
    <t>Vice President - Financial Market Operations- Client services</t>
  </si>
  <si>
    <t>Varghese</t>
  </si>
  <si>
    <t>Ravi</t>
  </si>
  <si>
    <t>Patil</t>
  </si>
  <si>
    <t>Pawel</t>
  </si>
  <si>
    <t>Cindy</t>
  </si>
  <si>
    <t>Per</t>
  </si>
  <si>
    <t>Hans-Erik</t>
  </si>
  <si>
    <t>CEO Nordea Life &amp; Pension Norway</t>
  </si>
  <si>
    <t>Lind</t>
  </si>
  <si>
    <t>KPMG UK</t>
  </si>
  <si>
    <t>Jarrod</t>
  </si>
  <si>
    <t>Lawrence</t>
  </si>
  <si>
    <t>Nicolas</t>
  </si>
  <si>
    <t>Bertrand</t>
  </si>
  <si>
    <t>Neeraj</t>
  </si>
  <si>
    <t>Chopra</t>
  </si>
  <si>
    <t>Soc Gen</t>
  </si>
  <si>
    <t>Alice</t>
  </si>
  <si>
    <t>Josh</t>
  </si>
  <si>
    <t>Presner</t>
  </si>
  <si>
    <t>Jyotish</t>
  </si>
  <si>
    <t>Ghosal</t>
  </si>
  <si>
    <t>Victor</t>
  </si>
  <si>
    <t>District Vice President</t>
  </si>
  <si>
    <t>Zamin</t>
  </si>
  <si>
    <t>Locke</t>
  </si>
  <si>
    <t>Claudia</t>
  </si>
  <si>
    <t>Murray</t>
  </si>
  <si>
    <t>Chan</t>
  </si>
  <si>
    <t>Hemsley</t>
  </si>
  <si>
    <t>Rudy</t>
  </si>
  <si>
    <t>Gan</t>
  </si>
  <si>
    <t>Bilal</t>
  </si>
  <si>
    <t>Vice President, Global Equity Derivatives</t>
  </si>
  <si>
    <t>Cheung</t>
  </si>
  <si>
    <t>Neville</t>
  </si>
  <si>
    <t>Mastercard</t>
  </si>
  <si>
    <t>Teresa</t>
  </si>
  <si>
    <t>Jensen</t>
  </si>
  <si>
    <t>Leonid</t>
  </si>
  <si>
    <t>Gupta</t>
  </si>
  <si>
    <t>Sean</t>
  </si>
  <si>
    <t>Cargill</t>
  </si>
  <si>
    <t>Neha</t>
  </si>
  <si>
    <t>Abhishek</t>
  </si>
  <si>
    <t>Rahman</t>
  </si>
  <si>
    <t>Gloria</t>
  </si>
  <si>
    <t>Chief Executive Officer , Americas</t>
  </si>
  <si>
    <t>Cranwell</t>
  </si>
  <si>
    <t>Cooper</t>
  </si>
  <si>
    <t>Ankur</t>
  </si>
  <si>
    <t>Kenny</t>
  </si>
  <si>
    <t>Ng</t>
  </si>
  <si>
    <t>Navin</t>
  </si>
  <si>
    <t>Hugo</t>
  </si>
  <si>
    <t>Sren</t>
  </si>
  <si>
    <t>Sethi</t>
  </si>
  <si>
    <t>Camargo</t>
  </si>
  <si>
    <t>Su</t>
  </si>
  <si>
    <t>Varun</t>
  </si>
  <si>
    <t>Trust Bank Ltd</t>
  </si>
  <si>
    <t>Bernardi</t>
  </si>
  <si>
    <t>Harish</t>
  </si>
  <si>
    <t>Tarek</t>
  </si>
  <si>
    <t>Abraham</t>
  </si>
  <si>
    <t>Parthiban</t>
  </si>
  <si>
    <t>Ferovinum</t>
  </si>
  <si>
    <t>Ho Yin</t>
  </si>
  <si>
    <t>Lai</t>
  </si>
  <si>
    <t>Kaur</t>
  </si>
  <si>
    <t>Siddharth</t>
  </si>
  <si>
    <t>Vice President - Economic Scenario Design</t>
  </si>
  <si>
    <t>Banerjee</t>
  </si>
  <si>
    <t>Hasan</t>
  </si>
  <si>
    <t>Hedge Fund Sales, Vice President</t>
  </si>
  <si>
    <t>Hamada</t>
  </si>
  <si>
    <t>Topham</t>
  </si>
  <si>
    <t>Abhinav</t>
  </si>
  <si>
    <t>Tina</t>
  </si>
  <si>
    <t>Desmond</t>
  </si>
  <si>
    <t>Hu</t>
  </si>
  <si>
    <t>Vice President, Commodity Strategy | Rates, FX &amp; Commodities Strategy</t>
  </si>
  <si>
    <t>Ghali, CFA</t>
  </si>
  <si>
    <t>Katherine</t>
  </si>
  <si>
    <t>Earl</t>
  </si>
  <si>
    <t>Aggarwal</t>
  </si>
  <si>
    <t>Saad</t>
  </si>
  <si>
    <t>Pierre</t>
  </si>
  <si>
    <t>Mohammed Omair</t>
  </si>
  <si>
    <t>Vice President - CIMD Engineering - Digital Advice</t>
  </si>
  <si>
    <t>Ampla</t>
  </si>
  <si>
    <t>Vice President, Principal Finance</t>
  </si>
  <si>
    <t>Petrella</t>
  </si>
  <si>
    <t>Leonardo</t>
  </si>
  <si>
    <t>Devendran</t>
  </si>
  <si>
    <t>Deiveegam</t>
  </si>
  <si>
    <t>Dong</t>
  </si>
  <si>
    <t>Summer</t>
  </si>
  <si>
    <t>Global Chief Operating Officer</t>
  </si>
  <si>
    <t>Hinton Lang</t>
  </si>
  <si>
    <t>Kimberly</t>
  </si>
  <si>
    <t>Gann</t>
  </si>
  <si>
    <t>Sunil</t>
  </si>
  <si>
    <t>Heather</t>
  </si>
  <si>
    <t>Haitham</t>
  </si>
  <si>
    <t>Investment Banking Vice President</t>
  </si>
  <si>
    <t>Sherif</t>
  </si>
  <si>
    <t>Simon CFA</t>
  </si>
  <si>
    <t>Natixis</t>
  </si>
  <si>
    <t>Vice President - Aviation and Rail Loan Syndication - Sustainable Banking Coordinator</t>
  </si>
  <si>
    <t>Peteuil</t>
  </si>
  <si>
    <t>Lake</t>
  </si>
  <si>
    <t>Catherine</t>
  </si>
  <si>
    <t>Gould</t>
  </si>
  <si>
    <t>Fu</t>
  </si>
  <si>
    <t>Schick</t>
  </si>
  <si>
    <t>Mackay</t>
  </si>
  <si>
    <t>Jefferies</t>
  </si>
  <si>
    <t>Plaza</t>
  </si>
  <si>
    <t>Client Operations, HF Client Coverage Group - Vice President</t>
  </si>
  <si>
    <t>Paulsson</t>
  </si>
  <si>
    <t>Sam</t>
  </si>
  <si>
    <t>Southall</t>
  </si>
  <si>
    <t>Walter</t>
  </si>
  <si>
    <t>Lindsay</t>
  </si>
  <si>
    <t>Awasthi</t>
  </si>
  <si>
    <t>Ernest</t>
  </si>
  <si>
    <t>Subah (CCRP)</t>
  </si>
  <si>
    <t>VEA Aviation, Inc.</t>
  </si>
  <si>
    <t>Piasecki</t>
  </si>
  <si>
    <t>Dolcemaschio</t>
  </si>
  <si>
    <t>Amanda</t>
  </si>
  <si>
    <t>Vice President - Global Credit Risk Officer Framework</t>
  </si>
  <si>
    <t>Dubuis</t>
  </si>
  <si>
    <t>Metropolitan Capital</t>
  </si>
  <si>
    <t>Norman</t>
  </si>
  <si>
    <t>Eduard</t>
  </si>
  <si>
    <t>Calabrese</t>
  </si>
  <si>
    <t>Managing Director, CFO &amp; CRO US</t>
  </si>
  <si>
    <t>Strandberg</t>
  </si>
  <si>
    <t>Karl</t>
  </si>
  <si>
    <t>Azevedo</t>
  </si>
  <si>
    <t>Emily</t>
  </si>
  <si>
    <t>Doyle</t>
  </si>
  <si>
    <t>Paul J.</t>
  </si>
  <si>
    <t>COO / Business Manager</t>
  </si>
  <si>
    <t>Zimmerman</t>
  </si>
  <si>
    <t>Senior Vice President/Associate Director, Financial Planning &amp; Analysis</t>
  </si>
  <si>
    <t>Gaffney, MBA</t>
  </si>
  <si>
    <t>Schiff</t>
  </si>
  <si>
    <t>Senior Vice President, Portfolio Sales Trading</t>
  </si>
  <si>
    <t>Salup</t>
  </si>
  <si>
    <t>Senior Vice President Head of Transaction Banking</t>
  </si>
  <si>
    <t>Foran</t>
  </si>
  <si>
    <t>TUNDE</t>
  </si>
  <si>
    <t>MALOMO</t>
  </si>
  <si>
    <t>Nigel</t>
  </si>
  <si>
    <t>Nirav</t>
  </si>
  <si>
    <t>D'Ambrosio</t>
  </si>
  <si>
    <t>Sally</t>
  </si>
  <si>
    <t>Vice President, Investment Banking and Research Compliance, Control Room</t>
  </si>
  <si>
    <t>Afonso</t>
  </si>
  <si>
    <t>Mizuho</t>
  </si>
  <si>
    <t>Kyle</t>
  </si>
  <si>
    <t>Emmanuel</t>
  </si>
  <si>
    <t>OUTHIER</t>
  </si>
  <si>
    <t>Jamie</t>
  </si>
  <si>
    <t>Maria</t>
  </si>
  <si>
    <t>Evans</t>
  </si>
  <si>
    <t>Investec</t>
  </si>
  <si>
    <t>Petro</t>
  </si>
  <si>
    <t>Markets &amp; Treasury Risk Specialist - Vice President</t>
  </si>
  <si>
    <t>Ciruna, FRM</t>
  </si>
  <si>
    <t>Standig</t>
  </si>
  <si>
    <t>Beauregard</t>
  </si>
  <si>
    <t>Regional Board Member &amp; CEO - North America</t>
  </si>
  <si>
    <t>Geremia</t>
  </si>
  <si>
    <t>Drew</t>
  </si>
  <si>
    <t>Vice President Credit Repo Trading</t>
  </si>
  <si>
    <t>Rodgers</t>
  </si>
  <si>
    <t>Ward</t>
  </si>
  <si>
    <t>Archelon LLC</t>
  </si>
  <si>
    <t>Vice President, Leveraged Finance - Investment Banking</t>
  </si>
  <si>
    <t>Valsangkar</t>
  </si>
  <si>
    <t>Tej</t>
  </si>
  <si>
    <t>Vice President, Corporate Solution Sales Americas</t>
  </si>
  <si>
    <t>Stephan</t>
  </si>
  <si>
    <t>Henry</t>
  </si>
  <si>
    <t>Ann</t>
  </si>
  <si>
    <t>Marin</t>
  </si>
  <si>
    <t>Long</t>
  </si>
  <si>
    <t>Avi</t>
  </si>
  <si>
    <t>Vice President - Real Estate Investment Banking</t>
  </si>
  <si>
    <t>Betsy</t>
  </si>
  <si>
    <t>Minkin</t>
  </si>
  <si>
    <t>Divya</t>
  </si>
  <si>
    <t>Vice President  US Head of Institutional Client Services</t>
  </si>
  <si>
    <t>Mar</t>
  </si>
  <si>
    <t>Barnes</t>
  </si>
  <si>
    <t>Joshua</t>
  </si>
  <si>
    <t>Goyal</t>
  </si>
  <si>
    <t>Zain</t>
  </si>
  <si>
    <t>Leela</t>
  </si>
  <si>
    <t>Aniruddha</t>
  </si>
  <si>
    <t>Sen</t>
  </si>
  <si>
    <t>Vice President of Capital Markets Operations</t>
  </si>
  <si>
    <t>Cosenza</t>
  </si>
  <si>
    <t>Soumen</t>
  </si>
  <si>
    <t>Bose</t>
  </si>
  <si>
    <t>Ren</t>
  </si>
  <si>
    <t>Sajod</t>
  </si>
  <si>
    <t>Senior Vice President, Fixed Income Research</t>
  </si>
  <si>
    <t>Moradi, CFA</t>
  </si>
  <si>
    <t>Samarasinghe</t>
  </si>
  <si>
    <t>Aaron</t>
  </si>
  <si>
    <t>ICBC</t>
  </si>
  <si>
    <t>Kathryn</t>
  </si>
  <si>
    <t>Controlled Thermal Resources US Inc.</t>
  </si>
  <si>
    <t>Beltz</t>
  </si>
  <si>
    <t>Koblansky</t>
  </si>
  <si>
    <t>Hannah</t>
  </si>
  <si>
    <t>Griffin</t>
  </si>
  <si>
    <t>Magali</t>
  </si>
  <si>
    <t>Cohen</t>
  </si>
  <si>
    <t>Cool</t>
  </si>
  <si>
    <t>Khalil</t>
  </si>
  <si>
    <t>Vice President - Securitization Project Manager</t>
  </si>
  <si>
    <t>El Hammoud</t>
  </si>
  <si>
    <t>Jorge</t>
  </si>
  <si>
    <t>Vitor</t>
  </si>
  <si>
    <t>Frana</t>
  </si>
  <si>
    <t>Degrassi</t>
  </si>
  <si>
    <t>Vice President - Leveraged Lending</t>
  </si>
  <si>
    <t>Zahorik</t>
  </si>
  <si>
    <t>PNC</t>
  </si>
  <si>
    <t>Coleman</t>
  </si>
  <si>
    <t>Browne</t>
  </si>
  <si>
    <t>Sawall</t>
  </si>
  <si>
    <t>Wilson</t>
  </si>
  <si>
    <t>Emil</t>
  </si>
  <si>
    <t>Amy</t>
  </si>
  <si>
    <t>Tushar</t>
  </si>
  <si>
    <t>Fernandes</t>
  </si>
  <si>
    <t>Vice President Credit Risk Management</t>
  </si>
  <si>
    <t>Terence</t>
  </si>
  <si>
    <t>Vice President - Loan Markets, Capital Markets</t>
  </si>
  <si>
    <t>Bali</t>
  </si>
  <si>
    <t>Serene Advisors</t>
  </si>
  <si>
    <t>Vice President - Investment Banking</t>
  </si>
  <si>
    <t>Banville</t>
  </si>
  <si>
    <t>Vice President, FIG</t>
  </si>
  <si>
    <t>Ren, FSA</t>
  </si>
  <si>
    <t>Prasad</t>
  </si>
  <si>
    <t>Nagarapu</t>
  </si>
  <si>
    <t>London Metal Exchange</t>
  </si>
  <si>
    <t>Dean</t>
  </si>
  <si>
    <t>Berry</t>
  </si>
  <si>
    <t>Anchorage Capital</t>
  </si>
  <si>
    <t>Neel</t>
  </si>
  <si>
    <t>Vice President, Global Markets Compliance</t>
  </si>
  <si>
    <t>Mistry</t>
  </si>
  <si>
    <t>Nikol</t>
  </si>
  <si>
    <t>Uljaj</t>
  </si>
  <si>
    <t>Charles Schwab and Co. Inc.</t>
  </si>
  <si>
    <t>Joanne</t>
  </si>
  <si>
    <t>Suvadip</t>
  </si>
  <si>
    <t>Mukherjee</t>
  </si>
  <si>
    <t>Anuj</t>
  </si>
  <si>
    <t>GHCO</t>
  </si>
  <si>
    <t>Zhao</t>
  </si>
  <si>
    <t>Lei</t>
  </si>
  <si>
    <t>Global Spread Product Risk Mitigating Hedging - Vice President</t>
  </si>
  <si>
    <t>Wu, CFA</t>
  </si>
  <si>
    <t>Minesh</t>
  </si>
  <si>
    <t>Hennessy</t>
  </si>
  <si>
    <t>Koeck</t>
  </si>
  <si>
    <t>Goldstein</t>
  </si>
  <si>
    <t>Arpit</t>
  </si>
  <si>
    <t>Ramanarayanan</t>
  </si>
  <si>
    <t>COO/CoS for Prime Brokerage Technologies</t>
  </si>
  <si>
    <t>K R</t>
  </si>
  <si>
    <t>LiquidityBook</t>
  </si>
  <si>
    <t>Rogers</t>
  </si>
  <si>
    <t>DTCC</t>
  </si>
  <si>
    <t>Coinbase</t>
  </si>
  <si>
    <t>Feldshteyn</t>
  </si>
  <si>
    <t>Bishnoi</t>
  </si>
  <si>
    <t>Srikanth</t>
  </si>
  <si>
    <t>Vice President, Senior Engineering Manager</t>
  </si>
  <si>
    <t>Shanmugham</t>
  </si>
  <si>
    <t>New York Life Insurance Company</t>
  </si>
  <si>
    <t>Tal</t>
  </si>
  <si>
    <t>Vice President - Head of Service Insights &amp; Analytics</t>
  </si>
  <si>
    <t>Rosenblum</t>
  </si>
  <si>
    <t>Aruna</t>
  </si>
  <si>
    <t>Naveen</t>
  </si>
  <si>
    <t>Sofia</t>
  </si>
  <si>
    <t>Kotsou</t>
  </si>
  <si>
    <t>Toni</t>
  </si>
  <si>
    <t>ADP</t>
  </si>
  <si>
    <t>Vice President, Data Monetization</t>
  </si>
  <si>
    <t>GSAM Institutional Oversight Vice President</t>
  </si>
  <si>
    <t>Katz</t>
  </si>
  <si>
    <t>Vice President-Global Execution Services</t>
  </si>
  <si>
    <t>Nancy</t>
  </si>
  <si>
    <t>Maria Paula</t>
  </si>
  <si>
    <t>Vice President - Sovereign and Economic Risk</t>
  </si>
  <si>
    <t>Carvajal</t>
  </si>
  <si>
    <t>Vice President - Product Management Digitization and Market Data Strategy</t>
  </si>
  <si>
    <t>Reis</t>
  </si>
  <si>
    <t>Jared</t>
  </si>
  <si>
    <t>Yuting (Kelly)</t>
  </si>
  <si>
    <t>Elizabeth</t>
  </si>
  <si>
    <t>Diageo</t>
  </si>
  <si>
    <t>Sara</t>
  </si>
  <si>
    <t>Vice President, Talent Marketing &amp; Attraction</t>
  </si>
  <si>
    <t>Wingard</t>
  </si>
  <si>
    <t>Meyers</t>
  </si>
  <si>
    <t>Brandon M.</t>
  </si>
  <si>
    <t>Co-Head of IG Credit SMM   Vice President</t>
  </si>
  <si>
    <t>Seaman, CFA</t>
  </si>
  <si>
    <t>Mauro</t>
  </si>
  <si>
    <t>Vice President - Private Wealth Management Operations</t>
  </si>
  <si>
    <t>Calhoun</t>
  </si>
  <si>
    <t>BlackRock</t>
  </si>
  <si>
    <t>Sweat Pants Agency</t>
  </si>
  <si>
    <t>Carlson</t>
  </si>
  <si>
    <t>Federal Defenders of New York (EDNY)</t>
  </si>
  <si>
    <t>Neal</t>
  </si>
  <si>
    <t>Tata Consultancy Services</t>
  </si>
  <si>
    <t>Chandler</t>
  </si>
  <si>
    <t>Iyer</t>
  </si>
  <si>
    <t>Aldrich</t>
  </si>
  <si>
    <t>Vice President | Model Risk Governance &amp; Review</t>
  </si>
  <si>
    <t>Westerband</t>
  </si>
  <si>
    <t>Shetty</t>
  </si>
  <si>
    <t>Rodriguez</t>
  </si>
  <si>
    <t>Tanay</t>
  </si>
  <si>
    <t>Citadel LLC</t>
  </si>
  <si>
    <t>Zhou</t>
  </si>
  <si>
    <t>Ruby</t>
  </si>
  <si>
    <t>Assistant Vice President Treasury Risk</t>
  </si>
  <si>
    <t>Kothari</t>
  </si>
  <si>
    <t>Millennium Management</t>
  </si>
  <si>
    <t>Huang</t>
  </si>
  <si>
    <t>Pawar</t>
  </si>
  <si>
    <t>Blum</t>
  </si>
  <si>
    <t>Pramodh</t>
  </si>
  <si>
    <t>Lad</t>
  </si>
  <si>
    <t>Vice President, Compliance and Regulatory Affairs</t>
  </si>
  <si>
    <t>Bradshaw</t>
  </si>
  <si>
    <t>Vice President Fixed Income Sales</t>
  </si>
  <si>
    <t>Olsen</t>
  </si>
  <si>
    <t>Evan</t>
  </si>
  <si>
    <t>Vice President of Fraud Operations</t>
  </si>
  <si>
    <t>Banks, CAMS</t>
  </si>
  <si>
    <t>Nuveen</t>
  </si>
  <si>
    <t>Kopal</t>
  </si>
  <si>
    <t>Matanhelia</t>
  </si>
  <si>
    <t>Wanda</t>
  </si>
  <si>
    <t>Guardiola</t>
  </si>
  <si>
    <t>Desai</t>
  </si>
  <si>
    <t>Jitin</t>
  </si>
  <si>
    <t>Sr. Vice President</t>
  </si>
  <si>
    <t>Senior Vice President , Treasury and Liqudity Management/Reporting Solutions</t>
  </si>
  <si>
    <t>Tadros, PMP</t>
  </si>
  <si>
    <t>Diaz</t>
  </si>
  <si>
    <t>Yao</t>
  </si>
  <si>
    <t>Tracy</t>
  </si>
  <si>
    <t>Daniels</t>
  </si>
  <si>
    <t>Jaime P.</t>
  </si>
  <si>
    <t>Head, Digital Banking Platforms and Chief Technology Officer at UBS Bank USA</t>
  </si>
  <si>
    <t>Kauffman</t>
  </si>
  <si>
    <t>Yuxuan</t>
  </si>
  <si>
    <t>Ye, CFA</t>
  </si>
  <si>
    <t>Jonathan B.</t>
  </si>
  <si>
    <t>Senior Vice President- Wealth Management</t>
  </si>
  <si>
    <t>Awad</t>
  </si>
  <si>
    <t>PRABU</t>
  </si>
  <si>
    <t>RAMALINGAM</t>
  </si>
  <si>
    <t>Woods</t>
  </si>
  <si>
    <t>Affinity Wealth</t>
  </si>
  <si>
    <t>Nag</t>
  </si>
  <si>
    <t>Executive Director / Vice President of Technology | Global Data Strategy</t>
  </si>
  <si>
    <t>Varma Gunupudi</t>
  </si>
  <si>
    <t>Tia</t>
  </si>
  <si>
    <t>Elliot</t>
  </si>
  <si>
    <t>Starr</t>
  </si>
  <si>
    <t>Senior Vice President, Product Management, Global Payments &amp; Receivables, Treasury &amp; Trade Solutions</t>
  </si>
  <si>
    <t>Gavri</t>
  </si>
  <si>
    <t>SVB</t>
  </si>
  <si>
    <t>NA</t>
  </si>
  <si>
    <t>Vice President, Cross Divisional Application</t>
  </si>
  <si>
    <t>Georgiou</t>
  </si>
  <si>
    <t>Vice President - Leveraged Finance</t>
  </si>
  <si>
    <t>Bhalla</t>
  </si>
  <si>
    <t>Rajagopalan</t>
  </si>
  <si>
    <t>Bluevine</t>
  </si>
  <si>
    <t>Vice President, Lending Business Controls</t>
  </si>
  <si>
    <t>Mendoza</t>
  </si>
  <si>
    <t>Sundar</t>
  </si>
  <si>
    <t>Bryan</t>
  </si>
  <si>
    <t>First Citizens Bank</t>
  </si>
  <si>
    <t>Hasham</t>
  </si>
  <si>
    <t>Bolsa Electronica</t>
  </si>
  <si>
    <t>Franklin</t>
  </si>
  <si>
    <t>Vice President - Corporate Treasury</t>
  </si>
  <si>
    <t>Ennis</t>
  </si>
  <si>
    <t>Silberg</t>
  </si>
  <si>
    <t>Anirban</t>
  </si>
  <si>
    <t>Harris Associates</t>
  </si>
  <si>
    <t>Vice President - Strategic Client Service Strats</t>
  </si>
  <si>
    <t>Zajac</t>
  </si>
  <si>
    <t>Chyanda</t>
  </si>
  <si>
    <t>Querido</t>
  </si>
  <si>
    <t>Ant Financial</t>
  </si>
  <si>
    <t>Mario</t>
  </si>
  <si>
    <t>Vice President - Technology, Media &amp; Telecommunications (TMT) Investment Banking</t>
  </si>
  <si>
    <t>Cambell</t>
  </si>
  <si>
    <t>Vanessa</t>
  </si>
  <si>
    <t>Huaping</t>
  </si>
  <si>
    <t>Shen</t>
  </si>
  <si>
    <t>Burke</t>
  </si>
  <si>
    <t>Diament, PMP</t>
  </si>
  <si>
    <t>Senior Vice President, Compliance Technology</t>
  </si>
  <si>
    <t>Centanni</t>
  </si>
  <si>
    <t>Loeffler</t>
  </si>
  <si>
    <t>Amal</t>
  </si>
  <si>
    <t>Senior Vice President - Y-14 Analytics and Reporting</t>
  </si>
  <si>
    <t>Gopalakrishna</t>
  </si>
  <si>
    <t>Javier</t>
  </si>
  <si>
    <t>Hongming</t>
  </si>
  <si>
    <t>Xu</t>
  </si>
  <si>
    <t>Jordan</t>
  </si>
  <si>
    <t>Quantile</t>
  </si>
  <si>
    <t>Vice President, Listed Derivatives and OTC Clearing Client Solutions</t>
  </si>
  <si>
    <t>Platt</t>
  </si>
  <si>
    <t>Andrey</t>
  </si>
  <si>
    <t>Suresh</t>
  </si>
  <si>
    <t>Dabbirru</t>
  </si>
  <si>
    <t>Nav</t>
  </si>
  <si>
    <t>Tiwari</t>
  </si>
  <si>
    <t>Thiago</t>
  </si>
  <si>
    <t>Vice President - Global AML Technology Project Lead</t>
  </si>
  <si>
    <t>Leite</t>
  </si>
  <si>
    <t>Hayes</t>
  </si>
  <si>
    <t>PIMCO</t>
  </si>
  <si>
    <t>Qin</t>
  </si>
  <si>
    <t>You Jin</t>
  </si>
  <si>
    <t>Cho</t>
  </si>
  <si>
    <t>Salomon</t>
  </si>
  <si>
    <t>Bywater</t>
  </si>
  <si>
    <t>Vice President &amp; Global Division Administrator, Consumer and Wealth Management (CWM) Division</t>
  </si>
  <si>
    <t>Szypulski</t>
  </si>
  <si>
    <t>Campbell O'Connor &amp; Co</t>
  </si>
  <si>
    <t>Alberti Price</t>
  </si>
  <si>
    <t>Marsh &amp; McLennan Companies</t>
  </si>
  <si>
    <t>Biana</t>
  </si>
  <si>
    <t>Shilshtut</t>
  </si>
  <si>
    <t>Siddhesh</t>
  </si>
  <si>
    <t>Vice President, Marcus by Goldman Sachs</t>
  </si>
  <si>
    <t>Kajarekar</t>
  </si>
  <si>
    <t>Bolsa Mexicana</t>
  </si>
  <si>
    <t>Rohin</t>
  </si>
  <si>
    <t>Betty</t>
  </si>
  <si>
    <t>Arianna</t>
  </si>
  <si>
    <t>Operations Senior Vice President</t>
  </si>
  <si>
    <t>Fuller</t>
  </si>
  <si>
    <t>Vice President Global Technology Strategy</t>
  </si>
  <si>
    <t>Kane</t>
  </si>
  <si>
    <t>Jose V.</t>
  </si>
  <si>
    <t>Senior Vice President, Head of LATAM ICG Technology Risk at Citi</t>
  </si>
  <si>
    <t>Morales</t>
  </si>
  <si>
    <t>Guo</t>
  </si>
  <si>
    <t>Yieldmo</t>
  </si>
  <si>
    <t>Walshjamin</t>
  </si>
  <si>
    <t>LendingClub</t>
  </si>
  <si>
    <t>Anurag</t>
  </si>
  <si>
    <t>Vice President, Executive Office - Global Marketing</t>
  </si>
  <si>
    <t>Lovett</t>
  </si>
  <si>
    <t>C. Robin</t>
  </si>
  <si>
    <t>Senior Vice President - Chief Strategy Officer  Quantitative Risk and Stress Testing</t>
  </si>
  <si>
    <t>Castelli MSc</t>
  </si>
  <si>
    <t>Laks</t>
  </si>
  <si>
    <t>Vice President, Cross-Asset Structuring &amp; Origination</t>
  </si>
  <si>
    <t>Hegger</t>
  </si>
  <si>
    <t>Vice President, Product Manager - Analytics</t>
  </si>
  <si>
    <t>Khagendra</t>
  </si>
  <si>
    <t>Senio Engineer Vice President - Global Markets</t>
  </si>
  <si>
    <t>Jacobsson</t>
  </si>
  <si>
    <t>Vikas</t>
  </si>
  <si>
    <t>Tyagi</t>
  </si>
  <si>
    <t>Primy</t>
  </si>
  <si>
    <t>Vice President | Technology Risk Division</t>
  </si>
  <si>
    <t>Mukherjee (she/her/hers)</t>
  </si>
  <si>
    <t>Lyndon</t>
  </si>
  <si>
    <t>James, CSM</t>
  </si>
  <si>
    <t>Stephens</t>
  </si>
  <si>
    <t>Federico</t>
  </si>
  <si>
    <t>Omosuyi</t>
  </si>
  <si>
    <t>Aigbogun, CPA, MSc</t>
  </si>
  <si>
    <t>Brittany</t>
  </si>
  <si>
    <t>Uhl</t>
  </si>
  <si>
    <t>Paula</t>
  </si>
  <si>
    <t>Vice President- Private Wealth Management</t>
  </si>
  <si>
    <t>Echeverry</t>
  </si>
  <si>
    <t>Alfredo</t>
  </si>
  <si>
    <t>Hagen</t>
  </si>
  <si>
    <t>Jagga, CFA</t>
  </si>
  <si>
    <t>Shaikh</t>
  </si>
  <si>
    <t>Heller</t>
  </si>
  <si>
    <t>Vice President- Global Governance, Risk and Control</t>
  </si>
  <si>
    <t>Ciampi</t>
  </si>
  <si>
    <t>Kunal</t>
  </si>
  <si>
    <t>Daley</t>
  </si>
  <si>
    <t>Bianca</t>
  </si>
  <si>
    <t>Ojada Castricum</t>
  </si>
  <si>
    <t>Senior Vice President - CFO Global Markets Operations &amp; Technology</t>
  </si>
  <si>
    <t>Canonico</t>
  </si>
  <si>
    <t>Harsh</t>
  </si>
  <si>
    <t>Vice President, Market Risk for Global Markets Division, Goldman Sachs</t>
  </si>
  <si>
    <t>Bhatia, CFA, FRM</t>
  </si>
  <si>
    <t>AMBIKA</t>
  </si>
  <si>
    <t>MISHRA</t>
  </si>
  <si>
    <t>Oluwaseun</t>
  </si>
  <si>
    <t>Vice President, Cyber Security and Networks.</t>
  </si>
  <si>
    <t>Aina, CISM</t>
  </si>
  <si>
    <t>Wedbush Securities</t>
  </si>
  <si>
    <t>Rodrigo</t>
  </si>
  <si>
    <t>Kate</t>
  </si>
  <si>
    <t>Vice President - Strategy and Execution</t>
  </si>
  <si>
    <t>Mbungo</t>
  </si>
  <si>
    <t>Branden</t>
  </si>
  <si>
    <t>Hurley</t>
  </si>
  <si>
    <t>Vice President Of Engineering</t>
  </si>
  <si>
    <t>Fenton</t>
  </si>
  <si>
    <t>Kristen</t>
  </si>
  <si>
    <t>Vice President - Credit Risk Management - Hedge Funds, FoFs, Private Equity Funds, Mortgage REITs</t>
  </si>
  <si>
    <t>Mandaglio, CFA</t>
  </si>
  <si>
    <t>Wendy</t>
  </si>
  <si>
    <t>Gorman</t>
  </si>
  <si>
    <t>Randy</t>
  </si>
  <si>
    <t>Seun</t>
  </si>
  <si>
    <t>Akinyosoye</t>
  </si>
  <si>
    <t>Vice President - Risk Engineering</t>
  </si>
  <si>
    <t>Dustin</t>
  </si>
  <si>
    <t>Vice President, CLO Syndication</t>
  </si>
  <si>
    <t>Brewer</t>
  </si>
  <si>
    <t>Nasdaq</t>
  </si>
  <si>
    <t>Shome</t>
  </si>
  <si>
    <t>One Man Solutions</t>
  </si>
  <si>
    <t>Yong</t>
  </si>
  <si>
    <t>Vice President, Fixed Income Strategy and Research</t>
  </si>
  <si>
    <t>Wang</t>
  </si>
  <si>
    <t>Pratheep</t>
  </si>
  <si>
    <t>Ramanujam</t>
  </si>
  <si>
    <t>Midde</t>
  </si>
  <si>
    <t>Vice President - Asset Management Operations</t>
  </si>
  <si>
    <t>Boice</t>
  </si>
  <si>
    <t>Vice President, Global Markets Risk Data Management/ Risk Operations</t>
  </si>
  <si>
    <t>Bhatia, MBA</t>
  </si>
  <si>
    <t>Simpson</t>
  </si>
  <si>
    <t>Zack</t>
  </si>
  <si>
    <t>Liu, CFA, FRM</t>
  </si>
  <si>
    <t>Vice President in Prime Brokerage Sales</t>
  </si>
  <si>
    <t>Eck</t>
  </si>
  <si>
    <t>O'leary</t>
  </si>
  <si>
    <t>Russell Reynolds Associates</t>
  </si>
  <si>
    <t>Commercial Projects &amp; Program Manager- Vice President</t>
  </si>
  <si>
    <t>Cappo</t>
  </si>
  <si>
    <t>Vice President - IMD Product Controllers: Performance Analytics</t>
  </si>
  <si>
    <t>Offengenden</t>
  </si>
  <si>
    <t>Eliana</t>
  </si>
  <si>
    <t>Vice President - Inventory Management Program - Securities Division</t>
  </si>
  <si>
    <t>Bourne</t>
  </si>
  <si>
    <t>Capital Group</t>
  </si>
  <si>
    <t>Shin</t>
  </si>
  <si>
    <t>Aleksandr</t>
  </si>
  <si>
    <t>Slava</t>
  </si>
  <si>
    <t>Harin</t>
  </si>
  <si>
    <t>Hugh</t>
  </si>
  <si>
    <t>Vice President, RIA Custody Engineering</t>
  </si>
  <si>
    <t>Director | COO Global Banking and Markets</t>
  </si>
  <si>
    <t>Chisarick, CFA, FRM, ERP, CAIA</t>
  </si>
  <si>
    <t>Huff</t>
  </si>
  <si>
    <t>Chovev</t>
  </si>
  <si>
    <t>Richards</t>
  </si>
  <si>
    <t>Hussain</t>
  </si>
  <si>
    <t>Vice President - Dev Lead</t>
  </si>
  <si>
    <t>Erapalli</t>
  </si>
  <si>
    <t>Shapiro</t>
  </si>
  <si>
    <t>Vice President Software Developer</t>
  </si>
  <si>
    <t>Chief Operating Officer, North America</t>
  </si>
  <si>
    <t>Venu</t>
  </si>
  <si>
    <t>Durgam</t>
  </si>
  <si>
    <t>Amorello</t>
  </si>
  <si>
    <t>Gerald</t>
  </si>
  <si>
    <t>Tradition</t>
  </si>
  <si>
    <t>Evelyn</t>
  </si>
  <si>
    <t>Vice President, GSAM Fixed Income Strats</t>
  </si>
  <si>
    <t>Haynes</t>
  </si>
  <si>
    <t>Yash</t>
  </si>
  <si>
    <t>Thakore</t>
  </si>
  <si>
    <t>Vice President, Head of Americas Client Onboarding (Investment Banking Division)</t>
  </si>
  <si>
    <t>Velasquez</t>
  </si>
  <si>
    <t>Georgia</t>
  </si>
  <si>
    <t>Vice President, Marcus</t>
  </si>
  <si>
    <t>Steffen</t>
  </si>
  <si>
    <t>Roehrsheim</t>
  </si>
  <si>
    <t>Deloitte Consulting</t>
  </si>
  <si>
    <t>Srini</t>
  </si>
  <si>
    <t>Senior Vice President, ICG Loans and Cost of Credit FP&amp;A</t>
  </si>
  <si>
    <t>Reynolds</t>
  </si>
  <si>
    <t>Bekim</t>
  </si>
  <si>
    <t>Ahmetaj</t>
  </si>
  <si>
    <t>DWS Group</t>
  </si>
  <si>
    <t>Terry</t>
  </si>
  <si>
    <t>O'Connell</t>
  </si>
  <si>
    <t>Oleksandr</t>
  </si>
  <si>
    <t>Sinitsyn</t>
  </si>
  <si>
    <t>Vice President, Investment Banking Strategic Investments</t>
  </si>
  <si>
    <t>Lao</t>
  </si>
  <si>
    <t>Sreekanta</t>
  </si>
  <si>
    <t>Vice President - Collateral Management</t>
  </si>
  <si>
    <t>Manjunath</t>
  </si>
  <si>
    <t>dupe_Vivek</t>
  </si>
  <si>
    <t>Senior Vice President, Digital and Next Gen Analytics, Decision Management</t>
  </si>
  <si>
    <t>dupe_Mahanta</t>
  </si>
  <si>
    <t>Shobhika</t>
  </si>
  <si>
    <t>Sr. Vice President, Internal Audit, Digital Transformation, Conduct, Compliance, Operational Risk</t>
  </si>
  <si>
    <t>Jeyachandran (PSM)</t>
  </si>
  <si>
    <t>Jana</t>
  </si>
  <si>
    <t>Vice President, Corporate Access</t>
  </si>
  <si>
    <t>Zinn</t>
  </si>
  <si>
    <t>Gurijala</t>
  </si>
  <si>
    <t>Vice President, Multi Asset Sales</t>
  </si>
  <si>
    <t>Shmidt</t>
  </si>
  <si>
    <t>Zhaohui</t>
  </si>
  <si>
    <t>Meng</t>
  </si>
  <si>
    <t>Timur</t>
  </si>
  <si>
    <t>Fanshteyn</t>
  </si>
  <si>
    <t>Noam</t>
  </si>
  <si>
    <t>Vice President, Asset Management</t>
  </si>
  <si>
    <t>Zeev, PhD</t>
  </si>
  <si>
    <t>Mariev</t>
  </si>
  <si>
    <t>Vice President - Client Relationship Management</t>
  </si>
  <si>
    <t>Kochenburger</t>
  </si>
  <si>
    <t>Vice President, ETF &amp; CEF Research</t>
  </si>
  <si>
    <t>Chyr</t>
  </si>
  <si>
    <t>Plaid</t>
  </si>
  <si>
    <t>Vashisht</t>
  </si>
  <si>
    <t>Lakhmani</t>
  </si>
  <si>
    <t>Yuxing</t>
  </si>
  <si>
    <t>Zhang</t>
  </si>
  <si>
    <t>Lukka</t>
  </si>
  <si>
    <t>Rozman</t>
  </si>
  <si>
    <t>Tanya</t>
  </si>
  <si>
    <t>U.S. Bank</t>
  </si>
  <si>
    <t>Rupp</t>
  </si>
  <si>
    <t>Miller Jr.</t>
  </si>
  <si>
    <t>Blair</t>
  </si>
  <si>
    <t>Leslie</t>
  </si>
  <si>
    <t>Gaby</t>
  </si>
  <si>
    <t>Senior Vice President - Program Management</t>
  </si>
  <si>
    <t>Chammas</t>
  </si>
  <si>
    <t>Olivia</t>
  </si>
  <si>
    <t>Vice President - Prime Brokerage Risk Management</t>
  </si>
  <si>
    <t>Vice President, Digital Business Development and Strategy, IBD</t>
  </si>
  <si>
    <t>Rabinowitz</t>
  </si>
  <si>
    <t>Vice President - Technology Client Services &amp; Application Mgmt. - Global Risk Officer</t>
  </si>
  <si>
    <t>Ragusa</t>
  </si>
  <si>
    <t>Pooja</t>
  </si>
  <si>
    <t>Modi</t>
  </si>
  <si>
    <t>Meha</t>
  </si>
  <si>
    <t>Vice President - Transfer Pricing, Shared Services and Legal Entity Controller - NY</t>
  </si>
  <si>
    <t>Harshal</t>
  </si>
  <si>
    <t>Goel</t>
  </si>
  <si>
    <t>Murali</t>
  </si>
  <si>
    <t>Achari</t>
  </si>
  <si>
    <t>Vaibhav</t>
  </si>
  <si>
    <t>Ying</t>
  </si>
  <si>
    <t>Weijing</t>
  </si>
  <si>
    <t>Vice President, Structured Product Controller</t>
  </si>
  <si>
    <t>Hu, CFA, CAIA</t>
  </si>
  <si>
    <t>Birley</t>
  </si>
  <si>
    <t>Muralitharan</t>
  </si>
  <si>
    <t>Dwyer, MBA</t>
  </si>
  <si>
    <t>Carey</t>
  </si>
  <si>
    <t>Wall</t>
  </si>
  <si>
    <t>Park</t>
  </si>
  <si>
    <t>Kole</t>
  </si>
  <si>
    <t>Bare (He/His/Him)</t>
  </si>
  <si>
    <t>Lissette</t>
  </si>
  <si>
    <t>Chief Operating Officer - The Sustainable Finance Group (SFG)</t>
  </si>
  <si>
    <t>Jorgensen</t>
  </si>
  <si>
    <t>Sr Vice President, Citi Community Capital NAM Loan Operations</t>
  </si>
  <si>
    <t>Ellerman</t>
  </si>
  <si>
    <t>KKR</t>
  </si>
  <si>
    <t>Giugliano</t>
  </si>
  <si>
    <t>Orly</t>
  </si>
  <si>
    <t>Kagan</t>
  </si>
  <si>
    <t>Deephaven Data Labs</t>
  </si>
  <si>
    <t>Perry</t>
  </si>
  <si>
    <t>Young</t>
  </si>
  <si>
    <t>Prakash</t>
  </si>
  <si>
    <t>Chandak</t>
  </si>
  <si>
    <t>Swayam</t>
  </si>
  <si>
    <t>Vice President - FICC Execution Solutions - Americas</t>
  </si>
  <si>
    <t>Thacker</t>
  </si>
  <si>
    <t>Parind</t>
  </si>
  <si>
    <t>Vice President- Risk</t>
  </si>
  <si>
    <t>Kantheti</t>
  </si>
  <si>
    <t>Vice President - Private Equity Secondaries</t>
  </si>
  <si>
    <t>Freeman</t>
  </si>
  <si>
    <t>Izabella</t>
  </si>
  <si>
    <t>Vice President, US Head of Portfolio Strategy and Multi-Asset Class Product Management</t>
  </si>
  <si>
    <t>Goldenberg, CFA</t>
  </si>
  <si>
    <t>Alexandra</t>
  </si>
  <si>
    <t>Fried</t>
  </si>
  <si>
    <t>Ahmad</t>
  </si>
  <si>
    <t>Harwell</t>
  </si>
  <si>
    <t>Johnny</t>
  </si>
  <si>
    <t>Thenmozhi</t>
  </si>
  <si>
    <t>Muthusamy</t>
  </si>
  <si>
    <t>Naqvi</t>
  </si>
  <si>
    <t>Burroughs</t>
  </si>
  <si>
    <t>Paresh</t>
  </si>
  <si>
    <t>Thatte</t>
  </si>
  <si>
    <t>Digital Air Technology &amp; Analytics</t>
  </si>
  <si>
    <t>Deepa</t>
  </si>
  <si>
    <t>Vice President - Risk Engineering - Credit Risk</t>
  </si>
  <si>
    <t>Bhashyam</t>
  </si>
  <si>
    <t>Vice President - Research &amp; Analytics - Software Engineer (Data Analytics API Lead)</t>
  </si>
  <si>
    <t>Vice President Global Capital Markets</t>
  </si>
  <si>
    <t>Umude, CQF</t>
  </si>
  <si>
    <t>Protego Trust</t>
  </si>
  <si>
    <t>John (J.) C.</t>
  </si>
  <si>
    <t>Vice President: Institutional Clients Group - Futures, Clearing &amp; Collateral Operations</t>
  </si>
  <si>
    <t>Senior Vice President - Compliance Technology</t>
  </si>
  <si>
    <t>Shah, PMP,CAMS</t>
  </si>
  <si>
    <t>Controller | CFO | COO</t>
  </si>
  <si>
    <t>McHugh, CPA, CFA</t>
  </si>
  <si>
    <t>Motzenbecker</t>
  </si>
  <si>
    <t>Jenny</t>
  </si>
  <si>
    <t>Xie, CPA</t>
  </si>
  <si>
    <t>Kathryn (Katie)</t>
  </si>
  <si>
    <t>Le</t>
  </si>
  <si>
    <t>Vice President, Global Leveraged Portfolio</t>
  </si>
  <si>
    <t>Xing, CFA</t>
  </si>
  <si>
    <t>Senior Vice President - Operational Risk Management</t>
  </si>
  <si>
    <t>Polyak</t>
  </si>
  <si>
    <t>Larry</t>
  </si>
  <si>
    <t>Killeen</t>
  </si>
  <si>
    <t>Kartik</t>
  </si>
  <si>
    <t>Vice President, Engineering Manager</t>
  </si>
  <si>
    <t>Panjabi</t>
  </si>
  <si>
    <t>Shifrin</t>
  </si>
  <si>
    <t>Senior Vice President, AML, KYC / Compliance AML Execution Group Manager</t>
  </si>
  <si>
    <t>Cevallos</t>
  </si>
  <si>
    <t>PepsiCo</t>
  </si>
  <si>
    <t>Nagendra</t>
  </si>
  <si>
    <t>krishnamurthy</t>
  </si>
  <si>
    <t>Wallace</t>
  </si>
  <si>
    <t>Vice President - Retail Seperately Managed Accounts</t>
  </si>
  <si>
    <t>Marko</t>
  </si>
  <si>
    <t>Global Technology/Cyber and Data Risk, Senior Vice President, Enterprise Resilience Group Manager</t>
  </si>
  <si>
    <t>LATINOVIC, CRISC, MBCI, CTPRP, CSX</t>
  </si>
  <si>
    <t>Ram</t>
  </si>
  <si>
    <t>Toby</t>
  </si>
  <si>
    <t>Bordier Gestion</t>
  </si>
  <si>
    <t>Sethuraman</t>
  </si>
  <si>
    <t>Venkatasubramanian</t>
  </si>
  <si>
    <t>Vice President - Enterprise Risk Management</t>
  </si>
  <si>
    <t>Newnham</t>
  </si>
  <si>
    <t>Vice President, Valuation Oversight Group</t>
  </si>
  <si>
    <t>Greer</t>
  </si>
  <si>
    <t>Vithal</t>
  </si>
  <si>
    <t>Vice President - Core Compliance Technology</t>
  </si>
  <si>
    <t>Katti</t>
  </si>
  <si>
    <t>Point72 Asset Management</t>
  </si>
  <si>
    <t>Clayton</t>
  </si>
  <si>
    <t>AQR Capital Management</t>
  </si>
  <si>
    <t>Ezra</t>
  </si>
  <si>
    <t>HEDGE_FUND</t>
  </si>
  <si>
    <t>Mikhail</t>
  </si>
  <si>
    <t>Vice President, Engineering Recruiter</t>
  </si>
  <si>
    <t>Longo</t>
  </si>
  <si>
    <t>Kenneth</t>
  </si>
  <si>
    <t>Adam J.</t>
  </si>
  <si>
    <t>Wealth Advisor &amp; Vice President</t>
  </si>
  <si>
    <t>Grossman, AIF</t>
  </si>
  <si>
    <t>Pozzi</t>
  </si>
  <si>
    <t>Katya</t>
  </si>
  <si>
    <t>Chupryna, CFA</t>
  </si>
  <si>
    <t>Technology Fellow | Global Co-Head Middleware Engineering Software Architecture, Vice President</t>
  </si>
  <si>
    <t>Raymond</t>
  </si>
  <si>
    <t>Holmes</t>
  </si>
  <si>
    <t>Wazila</t>
  </si>
  <si>
    <t>Vice President, Corporate Treasury Engineering</t>
  </si>
  <si>
    <t>Shikari</t>
  </si>
  <si>
    <t>Java Software Engineer | Vice President</t>
  </si>
  <si>
    <t>Accioly</t>
  </si>
  <si>
    <t>Neill</t>
  </si>
  <si>
    <t>Baringa</t>
  </si>
  <si>
    <t>Yieldstreet</t>
  </si>
  <si>
    <t>Vice President - Private Wealth Management Digital</t>
  </si>
  <si>
    <t>Rosenberg, PMP</t>
  </si>
  <si>
    <t>Sanjiv</t>
  </si>
  <si>
    <t>Moses</t>
  </si>
  <si>
    <t>Beth</t>
  </si>
  <si>
    <t>Vice President, Head of Operational Excellence, Digital Consumer Finance Operations</t>
  </si>
  <si>
    <t>Drawbridge</t>
  </si>
  <si>
    <t>Menkes</t>
  </si>
  <si>
    <t>Rituparna</t>
  </si>
  <si>
    <t>Bhise</t>
  </si>
  <si>
    <t>Shyam</t>
  </si>
  <si>
    <t>Kennedy</t>
  </si>
  <si>
    <t>Kerwin</t>
  </si>
  <si>
    <t>Vice President - Compliance Technology</t>
  </si>
  <si>
    <t>Shirley</t>
  </si>
  <si>
    <t>Technology CFO/Chief of Staff/Business Manager</t>
  </si>
  <si>
    <t>Leh</t>
  </si>
  <si>
    <t>Ismeet</t>
  </si>
  <si>
    <t>Vice President, Global Head Application Security</t>
  </si>
  <si>
    <t>Dhillon</t>
  </si>
  <si>
    <t>Vice President - Risk</t>
  </si>
  <si>
    <t>Nandakumar</t>
  </si>
  <si>
    <t>Luther</t>
  </si>
  <si>
    <t>Vice President, Equities Sales &amp; Trading, Business Management (Corporate &amp; Investment Bank)</t>
  </si>
  <si>
    <t>Nettey, PMP</t>
  </si>
  <si>
    <t>Prerak</t>
  </si>
  <si>
    <t>Vohra</t>
  </si>
  <si>
    <t>Ismail</t>
  </si>
  <si>
    <t>Kevin (Cheng)</t>
  </si>
  <si>
    <t>Chen, CFA, CAIA</t>
  </si>
  <si>
    <t>Umesh</t>
  </si>
  <si>
    <t>Standard Bank Group</t>
  </si>
  <si>
    <t>Angela M.</t>
  </si>
  <si>
    <t>COO, Global Banking Markets &amp; Enterprise Risk Finance</t>
  </si>
  <si>
    <t>Rucks</t>
  </si>
  <si>
    <t>Parthasarathy</t>
  </si>
  <si>
    <t>Bowery Valuation</t>
  </si>
  <si>
    <t>Zeynab</t>
  </si>
  <si>
    <t>Syed Asghar</t>
  </si>
  <si>
    <t>Arindam</t>
  </si>
  <si>
    <t>Vice President, Analytics</t>
  </si>
  <si>
    <t>Van Kampen</t>
  </si>
  <si>
    <t>Seema</t>
  </si>
  <si>
    <t>Vice President - Treasury Services</t>
  </si>
  <si>
    <t>Sellitti</t>
  </si>
  <si>
    <t>Taras</t>
  </si>
  <si>
    <t>Kowaliw</t>
  </si>
  <si>
    <t>Brex</t>
  </si>
  <si>
    <t>Kome</t>
  </si>
  <si>
    <t>Vice President, COO Global Markets Operations and Engineering</t>
  </si>
  <si>
    <t>Emuh</t>
  </si>
  <si>
    <t>Jeremiah</t>
  </si>
  <si>
    <t>DeNonno</t>
  </si>
  <si>
    <t>Global Chief Operating Officer-Global Markets Operations</t>
  </si>
  <si>
    <t>Ivezaj</t>
  </si>
  <si>
    <t>Vice President Program Management</t>
  </si>
  <si>
    <t>Shetty, PMP</t>
  </si>
  <si>
    <t>Hertz</t>
  </si>
  <si>
    <t>Shant</t>
  </si>
  <si>
    <t>Epremian</t>
  </si>
  <si>
    <t>Yoohyun</t>
  </si>
  <si>
    <t>Sung</t>
  </si>
  <si>
    <t>Lucy</t>
  </si>
  <si>
    <t>Chief Operating Officer of the Group Payments Board</t>
  </si>
  <si>
    <t>Dorr</t>
  </si>
  <si>
    <t>Anshul</t>
  </si>
  <si>
    <t>Mehra</t>
  </si>
  <si>
    <t>Fannie Mae</t>
  </si>
  <si>
    <t>Aparna</t>
  </si>
  <si>
    <t>Vice President - Global Product Management, Treasury and Trade Services</t>
  </si>
  <si>
    <t>Naphade (PMP)</t>
  </si>
  <si>
    <t>Nik</t>
  </si>
  <si>
    <t>Vice President, Payments &amp; FinTech Equity Research</t>
  </si>
  <si>
    <t>Cremo</t>
  </si>
  <si>
    <t>Senior Vice President Operations</t>
  </si>
  <si>
    <t>Garrido</t>
  </si>
  <si>
    <t>East West Bank</t>
  </si>
  <si>
    <t>Senior Vice President Data Governance</t>
  </si>
  <si>
    <t>Aschmies</t>
  </si>
  <si>
    <t>Venkat</t>
  </si>
  <si>
    <t>Mayerhofer</t>
  </si>
  <si>
    <t>Balyasny Asset Management L.P.</t>
  </si>
  <si>
    <t>Travis</t>
  </si>
  <si>
    <t>Dreyer</t>
  </si>
  <si>
    <t>Estim</t>
  </si>
  <si>
    <t>Vice President, Head of Business Intelligence</t>
  </si>
  <si>
    <t>Aristomene, Jr.</t>
  </si>
  <si>
    <t>Mayank</t>
  </si>
  <si>
    <t>Haoran</t>
  </si>
  <si>
    <t>Zhao, CFA</t>
  </si>
  <si>
    <t>Vice President of Learning and Development</t>
  </si>
  <si>
    <t>Bosley</t>
  </si>
  <si>
    <t>Vice President - eFX Sales</t>
  </si>
  <si>
    <t>Rozov</t>
  </si>
  <si>
    <t>ANANT</t>
  </si>
  <si>
    <t>Vice President - App Bank Operations</t>
  </si>
  <si>
    <t>KAPOOR</t>
  </si>
  <si>
    <t>Han K.</t>
  </si>
  <si>
    <t>Joo</t>
  </si>
  <si>
    <t>Prayag</t>
  </si>
  <si>
    <t>Pathak</t>
  </si>
  <si>
    <t>Ritesh</t>
  </si>
  <si>
    <t>Vice President, Data Scientist</t>
  </si>
  <si>
    <t>Singh, Data Scientist</t>
  </si>
  <si>
    <t>Apratim</t>
  </si>
  <si>
    <t>Vice President, Engineering Leadership</t>
  </si>
  <si>
    <t>Rajendra</t>
  </si>
  <si>
    <t>Kerry</t>
  </si>
  <si>
    <t>SitusAMC</t>
  </si>
  <si>
    <t>AVP Chief Information Security Officer (CISO), Global Markets and IBCM</t>
  </si>
  <si>
    <t>Smith MBA, CISSP, PMP, ITIL</t>
  </si>
  <si>
    <t>Vanguard</t>
  </si>
  <si>
    <t>Umair</t>
  </si>
  <si>
    <t>Vice President, Asset and Liabilities Management</t>
  </si>
  <si>
    <t>Shams</t>
  </si>
  <si>
    <t>Maggie</t>
  </si>
  <si>
    <t>Apollo Global Management Inc.</t>
  </si>
  <si>
    <t>Gayathri</t>
  </si>
  <si>
    <t>Chief Technology Officer - Asset Management Americas</t>
  </si>
  <si>
    <t>Pandurangan</t>
  </si>
  <si>
    <t>Rappa</t>
  </si>
  <si>
    <t>Sr Vice President Data Management and Data Analytics</t>
  </si>
  <si>
    <t>Agarwal</t>
  </si>
  <si>
    <t>Jeanne</t>
  </si>
  <si>
    <t>Vice President, Alternative Investment Product Development</t>
  </si>
  <si>
    <t>Gribbin, CFA</t>
  </si>
  <si>
    <t>Fixed Income Project Manager - Vice President</t>
  </si>
  <si>
    <t>Vice President | TxB Sales | Investment Banking Division</t>
  </si>
  <si>
    <t>Raffa</t>
  </si>
  <si>
    <t>Brody</t>
  </si>
  <si>
    <t>Sergey</t>
  </si>
  <si>
    <t>Vice President, Marketing &amp; Product Strategy, Marcus by Goldman Sachs</t>
  </si>
  <si>
    <t>Lowy</t>
  </si>
  <si>
    <t>Perella Weinberg</t>
  </si>
  <si>
    <t>Garlan</t>
  </si>
  <si>
    <t>Deshpande</t>
  </si>
  <si>
    <t>Kai</t>
  </si>
  <si>
    <t>BOS Dom</t>
  </si>
  <si>
    <t>Przemyslaw</t>
  </si>
  <si>
    <t>Dominguez</t>
  </si>
  <si>
    <t>Avinash</t>
  </si>
  <si>
    <t>Chidare</t>
  </si>
  <si>
    <t>Senior Vice President - Operations Senior Leader</t>
  </si>
  <si>
    <t>Edward Jones &amp; Co.</t>
  </si>
  <si>
    <t>Byron</t>
  </si>
  <si>
    <t>Srinivas</t>
  </si>
  <si>
    <t>Nate</t>
  </si>
  <si>
    <t>Mustafa</t>
  </si>
  <si>
    <t>Al Niama (He/Him/His)</t>
  </si>
  <si>
    <t>Ranga</t>
  </si>
  <si>
    <t>Calyanakoti</t>
  </si>
  <si>
    <t>FlexTrade Systems</t>
  </si>
  <si>
    <t>Levine</t>
  </si>
  <si>
    <t>Boston Company</t>
  </si>
  <si>
    <t>Foley</t>
  </si>
  <si>
    <t>Cowen Inc.</t>
  </si>
  <si>
    <t>Cat</t>
  </si>
  <si>
    <t>West</t>
  </si>
  <si>
    <t>Jaffe</t>
  </si>
  <si>
    <t>Corporate Vice President, Program Management</t>
  </si>
  <si>
    <t>Pressil, PMP, CSM</t>
  </si>
  <si>
    <t>Roger J.</t>
  </si>
  <si>
    <t>Scheuing</t>
  </si>
  <si>
    <t>Managing Director, Chief Operating Officer Americas</t>
  </si>
  <si>
    <t>Director Technology &amp; Operations COO Office</t>
  </si>
  <si>
    <t>Fund</t>
  </si>
  <si>
    <t>Enrico</t>
  </si>
  <si>
    <t>Debra</t>
  </si>
  <si>
    <t>Devon</t>
  </si>
  <si>
    <t>Ramdihal</t>
  </si>
  <si>
    <t>Chloe</t>
  </si>
  <si>
    <t>Wenger</t>
  </si>
  <si>
    <t>Parekh</t>
  </si>
  <si>
    <t>Tiago</t>
  </si>
  <si>
    <t>Vice President - ICRM Sanctions</t>
  </si>
  <si>
    <t>De Rezende</t>
  </si>
  <si>
    <t>Melissa</t>
  </si>
  <si>
    <t>Maureen</t>
  </si>
  <si>
    <t>Zimmer Biomet</t>
  </si>
  <si>
    <t>Rapp</t>
  </si>
  <si>
    <t>Elias</t>
  </si>
  <si>
    <t>Zahid</t>
  </si>
  <si>
    <t>Vice President, Algo Trading Development</t>
  </si>
  <si>
    <t>Hossain</t>
  </si>
  <si>
    <t>Gandhi</t>
  </si>
  <si>
    <t>Kinsella</t>
  </si>
  <si>
    <t>Wolf</t>
  </si>
  <si>
    <t>Brenda</t>
  </si>
  <si>
    <t>Pickering Energy Partners</t>
  </si>
  <si>
    <t>Anderson</t>
  </si>
  <si>
    <t>menon</t>
  </si>
  <si>
    <t>Marco</t>
  </si>
  <si>
    <t>Dunn</t>
  </si>
  <si>
    <t>Alexis</t>
  </si>
  <si>
    <t>Vito</t>
  </si>
  <si>
    <t>Digilio</t>
  </si>
  <si>
    <t>Kwan</t>
  </si>
  <si>
    <t>Englander</t>
  </si>
  <si>
    <t>NYDIG</t>
  </si>
  <si>
    <t>Vice President, Client Transition Management</t>
  </si>
  <si>
    <t>Ma</t>
  </si>
  <si>
    <t>Fadi</t>
  </si>
  <si>
    <t>Vice President, Operations Control and Operations Change</t>
  </si>
  <si>
    <t>Rizzo</t>
  </si>
  <si>
    <t>Tsai</t>
  </si>
  <si>
    <t>Black Jr.</t>
  </si>
  <si>
    <t>Coralie</t>
  </si>
  <si>
    <t>Business Manager, Vice-President GIB Americas</t>
  </si>
  <si>
    <t>Aboulfouioud</t>
  </si>
  <si>
    <t>EFG Private Bank</t>
  </si>
  <si>
    <t>Julian</t>
  </si>
  <si>
    <t>Shane</t>
  </si>
  <si>
    <t>Levinson</t>
  </si>
  <si>
    <t>Vice President- Credit/ABS Sales</t>
  </si>
  <si>
    <t>Geller</t>
  </si>
  <si>
    <t>Jill</t>
  </si>
  <si>
    <t>MoneyCorp</t>
  </si>
  <si>
    <t>Vice President - Emerging Markets Foreign Exchange Options Trading</t>
  </si>
  <si>
    <t>dupe_Sneha</t>
  </si>
  <si>
    <t>Vice President - Short Term Rates Sales</t>
  </si>
  <si>
    <t>dupe_DSilva</t>
  </si>
  <si>
    <t>Mandeep</t>
  </si>
  <si>
    <t>SMBC Nikko Capital Markets Limited</t>
  </si>
  <si>
    <t>Head of Business Management (COO), Capital Markets, U.S. Region</t>
  </si>
  <si>
    <t>Thomson</t>
  </si>
  <si>
    <t>Coglitore</t>
  </si>
  <si>
    <t>Cory</t>
  </si>
  <si>
    <t>Balamurugan</t>
  </si>
  <si>
    <t>Vice President , Digital Client Access - Technology Service</t>
  </si>
  <si>
    <t>KrishnaBabu</t>
  </si>
  <si>
    <t>Wellington Management</t>
  </si>
  <si>
    <t>Gregg</t>
  </si>
  <si>
    <t>Chow</t>
  </si>
  <si>
    <t>O'Leary</t>
  </si>
  <si>
    <t>Louise</t>
  </si>
  <si>
    <t>Graham</t>
  </si>
  <si>
    <t>Madeline</t>
  </si>
  <si>
    <t>Ferguson</t>
  </si>
  <si>
    <t>Boston Financial</t>
  </si>
  <si>
    <t>Arcesium</t>
  </si>
  <si>
    <t>Leah</t>
  </si>
  <si>
    <t>Peter J.</t>
  </si>
  <si>
    <t>Vice President Retail Loan Operations &amp; AML Technology, Information Technology Support Specialist</t>
  </si>
  <si>
    <t>Jachimczyk</t>
  </si>
  <si>
    <t>Wilhelm</t>
  </si>
  <si>
    <t>Hesse</t>
  </si>
  <si>
    <t>Nagaraj</t>
  </si>
  <si>
    <t>T. Rowe Price</t>
  </si>
  <si>
    <t>Collin</t>
  </si>
  <si>
    <t>Bobbie</t>
  </si>
  <si>
    <t>Vice President, Global Sales and AM, Exchange Traded Instruments</t>
  </si>
  <si>
    <t>Pittman</t>
  </si>
  <si>
    <t>Vice President, Head of Trading at US Bank Wealth Management</t>
  </si>
  <si>
    <t>Thilak</t>
  </si>
  <si>
    <t>Vice President, Cognitive Computing</t>
  </si>
  <si>
    <t>Thirumurthy Siva</t>
  </si>
  <si>
    <t>California Resources Corporation</t>
  </si>
  <si>
    <t>Vice President Investment Banking</t>
  </si>
  <si>
    <t>Hunthausen</t>
  </si>
  <si>
    <t>Mayer</t>
  </si>
  <si>
    <t>Fox</t>
  </si>
  <si>
    <t>Brandon</t>
  </si>
  <si>
    <t>Lo</t>
  </si>
  <si>
    <t>Capital One</t>
  </si>
  <si>
    <t>Sophie</t>
  </si>
  <si>
    <t>Jean-Philippe</t>
  </si>
  <si>
    <t>Managing Director, Chief Information Officer (CIO), Americas</t>
  </si>
  <si>
    <t>Gerbi</t>
  </si>
  <si>
    <t>Karimdadian</t>
  </si>
  <si>
    <t>Vice President Relationship Management</t>
  </si>
  <si>
    <t>Waldron</t>
  </si>
  <si>
    <t>Denise</t>
  </si>
  <si>
    <t>Vice President - Digital Product Management</t>
  </si>
  <si>
    <t>Chief Executive Officer of Scotiabank U.S. and Head of U.S. Global Banking and Markets</t>
  </si>
  <si>
    <t>Kruse</t>
  </si>
  <si>
    <t>Stifel Financial Corp.</t>
  </si>
  <si>
    <t>Transamerica</t>
  </si>
  <si>
    <t>Jason (Xiaolin)</t>
  </si>
  <si>
    <t>Yin</t>
  </si>
  <si>
    <t>Munde</t>
  </si>
  <si>
    <t>Chung</t>
  </si>
  <si>
    <t>UniCredit</t>
  </si>
  <si>
    <t>Eng</t>
  </si>
  <si>
    <t>Mago</t>
  </si>
  <si>
    <t>Sergio</t>
  </si>
  <si>
    <t>Meghan</t>
  </si>
  <si>
    <t>Pat</t>
  </si>
  <si>
    <t>Hingorani, CPA,CA,CFA</t>
  </si>
  <si>
    <t>Thibault</t>
  </si>
  <si>
    <t>Deb</t>
  </si>
  <si>
    <t>Diego</t>
  </si>
  <si>
    <t>Boston Options</t>
  </si>
  <si>
    <t>Olivier</t>
  </si>
  <si>
    <t>Gueris</t>
  </si>
  <si>
    <t>Alexandria</t>
  </si>
  <si>
    <t>Vice President - Digital Planning</t>
  </si>
  <si>
    <t>Carbunari</t>
  </si>
  <si>
    <t>Sutton</t>
  </si>
  <si>
    <t>Mrinalini</t>
  </si>
  <si>
    <t>Santhosh</t>
  </si>
  <si>
    <t>Babu</t>
  </si>
  <si>
    <t>Griffiths</t>
  </si>
  <si>
    <t>Melvin</t>
  </si>
  <si>
    <t>Fecowicz</t>
  </si>
  <si>
    <t>Cliff</t>
  </si>
  <si>
    <t>Raghavan</t>
  </si>
  <si>
    <t>E*TRADE</t>
  </si>
  <si>
    <t>Batul</t>
  </si>
  <si>
    <t>Laljiwala</t>
  </si>
  <si>
    <t>Julia</t>
  </si>
  <si>
    <t>Goldberg</t>
  </si>
  <si>
    <t>Valentina</t>
  </si>
  <si>
    <t>Pizza</t>
  </si>
  <si>
    <t>Meehan</t>
  </si>
  <si>
    <t>Jacqueline</t>
  </si>
  <si>
    <t>Juan Pablo</t>
  </si>
  <si>
    <t>Vallejo</t>
  </si>
  <si>
    <t>Sunny</t>
  </si>
  <si>
    <t>Gulrajani</t>
  </si>
  <si>
    <t>JP</t>
  </si>
  <si>
    <t>SVP Global Banking &amp; Capital Markets &amp; US Chief Audit Executive</t>
  </si>
  <si>
    <t>Clifford</t>
  </si>
  <si>
    <t>Reyes</t>
  </si>
  <si>
    <t>Mikko</t>
  </si>
  <si>
    <t>Vice President Of Product Management | Knowledge Management</t>
  </si>
  <si>
    <t>Ollila</t>
  </si>
  <si>
    <t>Mishels</t>
  </si>
  <si>
    <t>Rooney</t>
  </si>
  <si>
    <t>Puneet</t>
  </si>
  <si>
    <t>test</t>
  </si>
  <si>
    <t>Hinds</t>
  </si>
  <si>
    <t>Commercial Banking - Assistant Vice President Relationship Management</t>
  </si>
  <si>
    <t>Mahon</t>
  </si>
  <si>
    <t>Jenius Bank</t>
  </si>
  <si>
    <t>Vice President, Credit Risk Management, Unsecured Consumer Lending</t>
  </si>
  <si>
    <t>Sherman</t>
  </si>
  <si>
    <t>Blumberg</t>
  </si>
  <si>
    <t>Siva</t>
  </si>
  <si>
    <t>Assistant Vice President, Infrastructure Operations</t>
  </si>
  <si>
    <t>D - PPM CASM</t>
  </si>
  <si>
    <t>Vice President, MSET</t>
  </si>
  <si>
    <t>Maio</t>
  </si>
  <si>
    <t>Rajkumar</t>
  </si>
  <si>
    <t>Ganesan</t>
  </si>
  <si>
    <t>TP ICAP</t>
  </si>
  <si>
    <t>Fitzpatrick</t>
  </si>
  <si>
    <t>Ilia</t>
  </si>
  <si>
    <t>Berman</t>
  </si>
  <si>
    <t>Guzman</t>
  </si>
  <si>
    <t>Silva</t>
  </si>
  <si>
    <t>Lombardi</t>
  </si>
  <si>
    <t>Knowles</t>
  </si>
  <si>
    <t>Chockalingam</t>
  </si>
  <si>
    <t>Vice President - Client Services Manager</t>
  </si>
  <si>
    <t>Cox</t>
  </si>
  <si>
    <t>Huaijian</t>
  </si>
  <si>
    <t>Tyash</t>
  </si>
  <si>
    <t>Ghosh, PMP SPOC ESMC</t>
  </si>
  <si>
    <t>Heino</t>
  </si>
  <si>
    <t>Vice President- Trading applications</t>
  </si>
  <si>
    <t>Vasu</t>
  </si>
  <si>
    <t>Ramamurthy</t>
  </si>
  <si>
    <t>Durkin</t>
  </si>
  <si>
    <t>Xihong</t>
  </si>
  <si>
    <t>Nini</t>
  </si>
  <si>
    <t>Fear</t>
  </si>
  <si>
    <t>Venkata Ramana</t>
  </si>
  <si>
    <t>Suvarapu</t>
  </si>
  <si>
    <t>Dansong</t>
  </si>
  <si>
    <t>Chaudhari</t>
  </si>
  <si>
    <t>Axoni</t>
  </si>
  <si>
    <t>Yann</t>
  </si>
  <si>
    <t>Isaacs</t>
  </si>
  <si>
    <t>Hyde</t>
  </si>
  <si>
    <t>Assistant Vice President</t>
  </si>
  <si>
    <t>Chung Lam</t>
  </si>
  <si>
    <t>He</t>
  </si>
  <si>
    <t>Nikki</t>
  </si>
  <si>
    <t>Vice President Trading Operations</t>
  </si>
  <si>
    <t>Desjourdy</t>
  </si>
  <si>
    <t>Northern Trust Corporation</t>
  </si>
  <si>
    <t>Picarillo</t>
  </si>
  <si>
    <t>Hannes</t>
  </si>
  <si>
    <t>Fehser</t>
  </si>
  <si>
    <t>ING</t>
  </si>
  <si>
    <t>Riordan</t>
  </si>
  <si>
    <t>Carinci</t>
  </si>
  <si>
    <t>Victoria</t>
  </si>
  <si>
    <t>Michael Philip</t>
  </si>
  <si>
    <t>Kaufman</t>
  </si>
  <si>
    <t>Vice President, Global Investment Strategy Research</t>
  </si>
  <si>
    <t>Devery</t>
  </si>
  <si>
    <t>Georges</t>
  </si>
  <si>
    <t>Jake</t>
  </si>
  <si>
    <t>Sonny</t>
  </si>
  <si>
    <t>Mendez</t>
  </si>
  <si>
    <t>Flom</t>
  </si>
  <si>
    <t>Vice President of Risk/Compliance Technology</t>
  </si>
  <si>
    <t>Bentson</t>
  </si>
  <si>
    <t>Abizar</t>
  </si>
  <si>
    <t>Basrai</t>
  </si>
  <si>
    <t>Tejas</t>
  </si>
  <si>
    <t>Dennis</t>
  </si>
  <si>
    <t>Mitesh</t>
  </si>
  <si>
    <t>Doshi</t>
  </si>
  <si>
    <t>Ilya</t>
  </si>
  <si>
    <t>Kelly</t>
  </si>
  <si>
    <t>Djibril</t>
  </si>
  <si>
    <t>Tounkara</t>
  </si>
  <si>
    <t>Yanaal</t>
  </si>
  <si>
    <t>Coremont</t>
  </si>
  <si>
    <t>Amie</t>
  </si>
  <si>
    <t>Vice President Talent Acquisition Global Banking and Markets Technology</t>
  </si>
  <si>
    <t>Reynoso</t>
  </si>
  <si>
    <t>Melanie</t>
  </si>
  <si>
    <t>Vice President - Quantitative Development</t>
  </si>
  <si>
    <t>Rizvi</t>
  </si>
  <si>
    <t>Fitzgerald</t>
  </si>
  <si>
    <t>Symphony</t>
  </si>
  <si>
    <t>BGC Capital</t>
  </si>
  <si>
    <t>iCapital Network, Inc.</t>
  </si>
  <si>
    <t>Grace</t>
  </si>
  <si>
    <t>Mahajan</t>
  </si>
  <si>
    <t>Ross</t>
  </si>
  <si>
    <t>Levin</t>
  </si>
  <si>
    <t>Board Director</t>
  </si>
  <si>
    <t>Leibowitz</t>
  </si>
  <si>
    <t>Cboe Global Markets</t>
  </si>
  <si>
    <t>Roshan</t>
  </si>
  <si>
    <t>DMello</t>
  </si>
  <si>
    <t>Garrett</t>
  </si>
  <si>
    <t>Roberts</t>
  </si>
  <si>
    <t>Executive Director - Chief Data Office</t>
  </si>
  <si>
    <t>Minocha</t>
  </si>
  <si>
    <t>Atif</t>
  </si>
  <si>
    <t>Nader</t>
  </si>
  <si>
    <t>Igor</t>
  </si>
  <si>
    <t>Shariff</t>
  </si>
  <si>
    <t>Manik</t>
  </si>
  <si>
    <t>Vice President Institutional Equity Sales</t>
  </si>
  <si>
    <t>Fischer</t>
  </si>
  <si>
    <t>Norbert</t>
  </si>
  <si>
    <t>Roger</t>
  </si>
  <si>
    <t>Morningstar</t>
  </si>
  <si>
    <t>Nguyen</t>
  </si>
  <si>
    <t>Chatterjee</t>
  </si>
  <si>
    <t>Pande</t>
  </si>
  <si>
    <t>Markit Inc.</t>
  </si>
  <si>
    <t>Anoop</t>
  </si>
  <si>
    <t>Koteswara Rao</t>
  </si>
  <si>
    <t>Korrapati</t>
  </si>
  <si>
    <t>Wade</t>
  </si>
  <si>
    <t>Efthymios</t>
  </si>
  <si>
    <t>Fellios</t>
  </si>
  <si>
    <t>Amir</t>
  </si>
  <si>
    <t>Farah</t>
  </si>
  <si>
    <t>Amol</t>
  </si>
  <si>
    <t>Muthukrishnan</t>
  </si>
  <si>
    <t>Sridhar</t>
  </si>
  <si>
    <t>Vice President, Global Technology, J.P Morgan Chase</t>
  </si>
  <si>
    <t>Pasupuleti</t>
  </si>
  <si>
    <t>Piper Jaffray</t>
  </si>
  <si>
    <t>Pratiksha</t>
  </si>
  <si>
    <t>Chhangawala</t>
  </si>
  <si>
    <t>Saraf</t>
  </si>
  <si>
    <t>GTS</t>
  </si>
  <si>
    <t>DISYS</t>
  </si>
  <si>
    <t>Simonini</t>
  </si>
  <si>
    <t>Harrison</t>
  </si>
  <si>
    <t>Serge</t>
  </si>
  <si>
    <t>Lutsenko</t>
  </si>
  <si>
    <t>S&amp;P</t>
  </si>
  <si>
    <t>Griffo</t>
  </si>
  <si>
    <t>Roland</t>
  </si>
  <si>
    <t>Mary Christine</t>
  </si>
  <si>
    <t>Vice President - Equity &amp; Futures Trade Surveillance/Compliance/Oversight and Control</t>
  </si>
  <si>
    <t>Moy</t>
  </si>
  <si>
    <t>Bharat</t>
  </si>
  <si>
    <t>Salokhe</t>
  </si>
  <si>
    <t>Rohan Singh</t>
  </si>
  <si>
    <t>Vice President, Corporate and Institutional Solution</t>
  </si>
  <si>
    <t>Negi</t>
  </si>
  <si>
    <t>Hegde</t>
  </si>
  <si>
    <t>Dixon</t>
  </si>
  <si>
    <t>Nagabhushana</t>
  </si>
  <si>
    <t>Vice President,  Government Developmental Services (Corporate Trust Technologies)</t>
  </si>
  <si>
    <t>Chowdary Gutha</t>
  </si>
  <si>
    <t>Equinix</t>
  </si>
  <si>
    <t>Kaplan</t>
  </si>
  <si>
    <t>Noel</t>
  </si>
  <si>
    <t>Vice President - Digital Strategy</t>
  </si>
  <si>
    <t>Pietrobono</t>
  </si>
  <si>
    <t>Theresa</t>
  </si>
  <si>
    <t>Vice President, Technology Business Development</t>
  </si>
  <si>
    <t>Butler</t>
  </si>
  <si>
    <t>Maritza</t>
  </si>
  <si>
    <t>Bishop</t>
  </si>
  <si>
    <t>Karpov</t>
  </si>
  <si>
    <t>Brennan</t>
  </si>
  <si>
    <t>Jackie</t>
  </si>
  <si>
    <t>Lalit</t>
  </si>
  <si>
    <t>Bhargava</t>
  </si>
  <si>
    <t>Vice President, Electronic Market Making Technology</t>
  </si>
  <si>
    <t>Natenzon</t>
  </si>
  <si>
    <t>Fajardo</t>
  </si>
  <si>
    <t>Whatley</t>
  </si>
  <si>
    <t>Radian</t>
  </si>
  <si>
    <t>Vice President Talent Acquisition</t>
  </si>
  <si>
    <t>Khosla</t>
  </si>
  <si>
    <t>Snowflake</t>
  </si>
  <si>
    <t>Marsik</t>
  </si>
  <si>
    <t>BondBloxx</t>
  </si>
  <si>
    <t>Vice President - Business Development and Capital Markets - Exchange Traded Funds</t>
  </si>
  <si>
    <t>Feinberg</t>
  </si>
  <si>
    <t>Michalak</t>
  </si>
  <si>
    <t>IBM</t>
  </si>
  <si>
    <t>Irene</t>
  </si>
  <si>
    <t>Kesarwani</t>
  </si>
  <si>
    <t>Rodrigues</t>
  </si>
  <si>
    <t>Vice President Sales</t>
  </si>
  <si>
    <t>Burrus</t>
  </si>
  <si>
    <t>Virtu</t>
  </si>
  <si>
    <t>Oleg</t>
  </si>
  <si>
    <t>Vernik</t>
  </si>
  <si>
    <t>Vice President in Futures Sales</t>
  </si>
  <si>
    <t>Armetta</t>
  </si>
  <si>
    <t>Delong</t>
  </si>
  <si>
    <t>Giri</t>
  </si>
  <si>
    <t>Thirumalai</t>
  </si>
  <si>
    <t>Saha</t>
  </si>
  <si>
    <t>Randall</t>
  </si>
  <si>
    <t>Deepen</t>
  </si>
  <si>
    <t>Dhiraj</t>
  </si>
  <si>
    <t>Robert A.</t>
  </si>
  <si>
    <t>Ferreira</t>
  </si>
  <si>
    <t>Vice President - New Product Development</t>
  </si>
  <si>
    <t>Gibbons</t>
  </si>
  <si>
    <t>Dong(Mark)</t>
  </si>
  <si>
    <t>Vice President, Quantitative Analyst</t>
  </si>
  <si>
    <t>Niu</t>
  </si>
  <si>
    <t>DeSimone</t>
  </si>
  <si>
    <t>Vice President - Trading Services</t>
  </si>
  <si>
    <t>Tomae</t>
  </si>
  <si>
    <t>Raphael</t>
  </si>
  <si>
    <t>City National Bank</t>
  </si>
  <si>
    <t>Shikha</t>
  </si>
  <si>
    <t>Varma Mehta</t>
  </si>
  <si>
    <t>Weber</t>
  </si>
  <si>
    <t>Varun J.</t>
  </si>
  <si>
    <t>Vice President | Digital Channels</t>
  </si>
  <si>
    <t>Paul D.</t>
  </si>
  <si>
    <t>Vice President Of Channel Sales</t>
  </si>
  <si>
    <t>Epperlein</t>
  </si>
  <si>
    <t>Kent</t>
  </si>
  <si>
    <t>Vice President - Futures &amp; OTC Clearing Sales</t>
  </si>
  <si>
    <t>Lucas</t>
  </si>
  <si>
    <t>Vice President, U.S. Corporate Access</t>
  </si>
  <si>
    <t>Trabert</t>
  </si>
  <si>
    <t>Instinet Incorporated</t>
  </si>
  <si>
    <t>Akhil</t>
  </si>
  <si>
    <t>Vice President-Equity Derivatives  IT</t>
  </si>
  <si>
    <t>Chief Operating Officer-Equity Research</t>
  </si>
  <si>
    <t>Senior Vice President, Head of Market Structure</t>
  </si>
  <si>
    <t>Ziotis Kurzrok</t>
  </si>
  <si>
    <t>Motto</t>
  </si>
  <si>
    <t>Yeong</t>
  </si>
  <si>
    <t>McKinley</t>
  </si>
  <si>
    <t>Rosenblatt Securities</t>
  </si>
  <si>
    <t>Elisseou</t>
  </si>
  <si>
    <t>Sonitta</t>
  </si>
  <si>
    <t>Dawood Peeler</t>
  </si>
  <si>
    <t>Deepak</t>
  </si>
  <si>
    <t>Senior Technology Risk Vice President, Technology Architect, Global Manager</t>
  </si>
  <si>
    <t>Vellore</t>
  </si>
  <si>
    <t>Wood</t>
  </si>
  <si>
    <t>Brahman Capital</t>
  </si>
  <si>
    <t>Vivian</t>
  </si>
  <si>
    <t>Carrieri</t>
  </si>
  <si>
    <t>Hei</t>
  </si>
  <si>
    <t>Frey</t>
  </si>
  <si>
    <t>Bramshill Investments</t>
  </si>
  <si>
    <t>Nieporte</t>
  </si>
  <si>
    <t>Anton</t>
  </si>
  <si>
    <t>Brandywine Global</t>
  </si>
  <si>
    <t>Diane</t>
  </si>
  <si>
    <t>Manley</t>
  </si>
  <si>
    <t>Joey</t>
  </si>
  <si>
    <t>Cecabank</t>
  </si>
  <si>
    <t>Hui</t>
  </si>
  <si>
    <t>Jennings</t>
  </si>
  <si>
    <t>Bret</t>
  </si>
  <si>
    <t>Glue42</t>
  </si>
  <si>
    <t>Ita</t>
  </si>
  <si>
    <t>Mohsin</t>
  </si>
  <si>
    <t>Senior Vice President - Global Engineering Lead - Low Latency Engineering and Analytics</t>
  </si>
  <si>
    <t>Jaffar</t>
  </si>
  <si>
    <t>BR Dialectic</t>
  </si>
  <si>
    <t>Lance</t>
  </si>
  <si>
    <t>Kravitz</t>
  </si>
  <si>
    <t>Breakwater Trading</t>
  </si>
  <si>
    <t>MFS Investment Management</t>
  </si>
  <si>
    <t>Manuel</t>
  </si>
  <si>
    <t>Vice President Global Investment Technology</t>
  </si>
  <si>
    <t>Delgado</t>
  </si>
  <si>
    <t>zhang</t>
  </si>
  <si>
    <t>Hulsizer</t>
  </si>
  <si>
    <t>Mirza</t>
  </si>
  <si>
    <t>Hossein</t>
  </si>
  <si>
    <t>Independent</t>
  </si>
  <si>
    <t>CalcGuard Technologies</t>
  </si>
  <si>
    <t>Rakesh</t>
  </si>
  <si>
    <t>Issa</t>
  </si>
  <si>
    <t>Ricky</t>
  </si>
  <si>
    <t>Stern</t>
  </si>
  <si>
    <t>Baird</t>
  </si>
  <si>
    <t>Fidessa</t>
  </si>
  <si>
    <t>Baker</t>
  </si>
  <si>
    <t>Marex</t>
  </si>
  <si>
    <t>Jaroslaw</t>
  </si>
  <si>
    <t>Santander</t>
  </si>
  <si>
    <t>Sheldon</t>
  </si>
  <si>
    <t>PureStream Trading Technologies</t>
  </si>
  <si>
    <t>Armando</t>
  </si>
  <si>
    <t>Loic</t>
  </si>
  <si>
    <t>Oscar</t>
  </si>
  <si>
    <t>Powell</t>
  </si>
  <si>
    <t>Brenham Capital</t>
  </si>
  <si>
    <t>McKamy</t>
  </si>
  <si>
    <t>Wei</t>
  </si>
  <si>
    <t>Tan</t>
  </si>
  <si>
    <t>Thakkar</t>
  </si>
  <si>
    <t>Walton</t>
  </si>
  <si>
    <t>Genesis Global</t>
  </si>
  <si>
    <t>Liao</t>
  </si>
  <si>
    <t>BTG</t>
  </si>
  <si>
    <t>Marina</t>
  </si>
  <si>
    <t>Grant</t>
  </si>
  <si>
    <t>Holland</t>
  </si>
  <si>
    <t>Bridge Capital</t>
  </si>
  <si>
    <t>Aleks</t>
  </si>
  <si>
    <t>Teddy</t>
  </si>
  <si>
    <t>Jiang</t>
  </si>
  <si>
    <t>OpenText</t>
  </si>
  <si>
    <t>Bridger Management</t>
  </si>
  <si>
    <t>Appian Corporation</t>
  </si>
  <si>
    <t>Regional Vice President, BFSI</t>
  </si>
  <si>
    <t>Marlow</t>
  </si>
  <si>
    <t>Cammarosano</t>
  </si>
  <si>
    <t>Bridgeway Capital</t>
  </si>
  <si>
    <t>Von</t>
  </si>
  <si>
    <t>Celestine</t>
  </si>
  <si>
    <t>Genesis Corporation</t>
  </si>
  <si>
    <t>Tyler</t>
  </si>
  <si>
    <t>Brighton Jones</t>
  </si>
  <si>
    <t>Mayfield</t>
  </si>
  <si>
    <t>Artemis Capital</t>
  </si>
  <si>
    <t>Vice President Of Recruiting</t>
  </si>
  <si>
    <t>Zeehandelar</t>
  </si>
  <si>
    <t>SimCorp</t>
  </si>
  <si>
    <t>Jordan &amp; Jordan</t>
  </si>
  <si>
    <t>Kathy</t>
  </si>
  <si>
    <t>Kathleen</t>
  </si>
  <si>
    <t>AI Media Group</t>
  </si>
  <si>
    <t>Dr Nick</t>
  </si>
  <si>
    <t>Brilliquid LLC</t>
  </si>
  <si>
    <t>British Airways</t>
  </si>
  <si>
    <t>McGregor Smith</t>
  </si>
  <si>
    <t>Equiduct</t>
  </si>
  <si>
    <t>Co-op Solutions</t>
  </si>
  <si>
    <t>Executive Vice President/Chief Experience Officer (CXO)</t>
  </si>
  <si>
    <t>Paxson</t>
  </si>
  <si>
    <t>Nichols</t>
  </si>
  <si>
    <t>Wintrust Bank</t>
  </si>
  <si>
    <t>Barb</t>
  </si>
  <si>
    <t>Senior Vice President - Customer Experience Manager</t>
  </si>
  <si>
    <t>Jacklin</t>
  </si>
  <si>
    <t>Broadmark Asset</t>
  </si>
  <si>
    <t>Hespe</t>
  </si>
  <si>
    <t>Broad Peak</t>
  </si>
  <si>
    <t>Shaharyar</t>
  </si>
  <si>
    <t>Asaf, CFA</t>
  </si>
  <si>
    <t>LemonadeLXP</t>
  </si>
  <si>
    <t>AJ</t>
  </si>
  <si>
    <t>Broadridge</t>
  </si>
  <si>
    <t>Bobby</t>
  </si>
  <si>
    <t>Designit</t>
  </si>
  <si>
    <t>Parmaksizian</t>
  </si>
  <si>
    <t>Kasisto</t>
  </si>
  <si>
    <t>Vice President, Business Development and Partnerships</t>
  </si>
  <si>
    <t>Aditya</t>
  </si>
  <si>
    <t>Connolly</t>
  </si>
  <si>
    <t>Brookfield Public</t>
  </si>
  <si>
    <t>vhf Group</t>
  </si>
  <si>
    <t>Mohamed</t>
  </si>
  <si>
    <t>President and CEO vhf Inc.</t>
  </si>
  <si>
    <t>TIAA</t>
  </si>
  <si>
    <t>Harit</t>
  </si>
  <si>
    <t>Talwar</t>
  </si>
  <si>
    <t>Northwestern Mutual</t>
  </si>
  <si>
    <t>Dolan</t>
  </si>
  <si>
    <t>Beatriz</t>
  </si>
  <si>
    <t>Lara Bartolom</t>
  </si>
  <si>
    <t>Courtney</t>
  </si>
  <si>
    <t>Brownstone Investment Group</t>
  </si>
  <si>
    <t>Peterson</t>
  </si>
  <si>
    <t>Busey</t>
  </si>
  <si>
    <t>Willie</t>
  </si>
  <si>
    <t>President of Regional Banking</t>
  </si>
  <si>
    <t>Mayberry</t>
  </si>
  <si>
    <t>Absa Capital</t>
  </si>
  <si>
    <t>Riaz</t>
  </si>
  <si>
    <t>Roy</t>
  </si>
  <si>
    <t>Provident Bank</t>
  </si>
  <si>
    <t>Digital Channels Director Senior Vice President</t>
  </si>
  <si>
    <t>Treadway</t>
  </si>
  <si>
    <t>Bryan Garnier</t>
  </si>
  <si>
    <t>Gregoire</t>
  </si>
  <si>
    <t>Gillingham</t>
  </si>
  <si>
    <t>Tibra Capital</t>
  </si>
  <si>
    <t>Francesco</t>
  </si>
  <si>
    <t>Jean-Paul</t>
  </si>
  <si>
    <t>Hubert</t>
  </si>
  <si>
    <t>ClariVest Asset</t>
  </si>
  <si>
    <t>Jacobson</t>
  </si>
  <si>
    <t>Bryn Mawr</t>
  </si>
  <si>
    <t>Freeland</t>
  </si>
  <si>
    <t>Charles River Development</t>
  </si>
  <si>
    <t>Man Numeric</t>
  </si>
  <si>
    <t>Gray Jr.</t>
  </si>
  <si>
    <t>Compass Pro Bono - National</t>
  </si>
  <si>
    <t>Gus</t>
  </si>
  <si>
    <t>Co-Founder, Former Board Member and Volunteer Consultant</t>
  </si>
  <si>
    <t>Bessalel</t>
  </si>
  <si>
    <t>Envel</t>
  </si>
  <si>
    <t>Executive Chairman</t>
  </si>
  <si>
    <t>Edina Realty</t>
  </si>
  <si>
    <t>Sr. Vice President &amp; CIO</t>
  </si>
  <si>
    <t>Loeb</t>
  </si>
  <si>
    <t>Backbase</t>
  </si>
  <si>
    <t>Jouk</t>
  </si>
  <si>
    <t>CEO / Founder</t>
  </si>
  <si>
    <t>Pleiter</t>
  </si>
  <si>
    <t>Ruchir</t>
  </si>
  <si>
    <t>BSCHSA</t>
  </si>
  <si>
    <t>Marcio</t>
  </si>
  <si>
    <t>Irfan</t>
  </si>
  <si>
    <t>Rafael</t>
  </si>
  <si>
    <t>Cheryl</t>
  </si>
  <si>
    <t>Matteo</t>
  </si>
  <si>
    <t>Abel Noser</t>
  </si>
  <si>
    <t>Dominick</t>
  </si>
  <si>
    <t>Eckert</t>
  </si>
  <si>
    <t>Aufmann</t>
  </si>
  <si>
    <t>Managing Director/ CIO</t>
  </si>
  <si>
    <t>Sweetwood</t>
  </si>
  <si>
    <t>Johan</t>
  </si>
  <si>
    <t>Franken</t>
  </si>
  <si>
    <t>Remi</t>
  </si>
  <si>
    <t>Gulzar</t>
  </si>
  <si>
    <t>Michiel</t>
  </si>
  <si>
    <t>Maxense</t>
  </si>
  <si>
    <t>Mensy</t>
  </si>
  <si>
    <t>De Roeck</t>
  </si>
  <si>
    <t>Berends</t>
  </si>
  <si>
    <t>Gert</t>
  </si>
  <si>
    <t>Jasper</t>
  </si>
  <si>
    <t>Pieter</t>
  </si>
  <si>
    <t>Eames</t>
  </si>
  <si>
    <t>Tracey</t>
  </si>
  <si>
    <t>Byrne</t>
  </si>
  <si>
    <t>Hyder</t>
  </si>
  <si>
    <t>Sin</t>
  </si>
  <si>
    <t>Candice</t>
  </si>
  <si>
    <t>Peters</t>
  </si>
  <si>
    <t>Burgio</t>
  </si>
  <si>
    <t>Burnett</t>
  </si>
  <si>
    <t>Ronan</t>
  </si>
  <si>
    <t>Pearce</t>
  </si>
  <si>
    <t>Ching</t>
  </si>
  <si>
    <t>Klassen</t>
  </si>
  <si>
    <t>Nowak</t>
  </si>
  <si>
    <t>Ho</t>
  </si>
  <si>
    <t>Manning</t>
  </si>
  <si>
    <t>Rohit</t>
  </si>
  <si>
    <t>Duane</t>
  </si>
  <si>
    <t>Chia</t>
  </si>
  <si>
    <t>Foster</t>
  </si>
  <si>
    <t>O'Connor</t>
  </si>
  <si>
    <t>Hiroshi</t>
  </si>
  <si>
    <t>Ronald</t>
  </si>
  <si>
    <t>Saunders</t>
  </si>
  <si>
    <t>Ewing</t>
  </si>
  <si>
    <t>Fred</t>
  </si>
  <si>
    <t>Tucker</t>
  </si>
  <si>
    <t>So</t>
  </si>
  <si>
    <t>Shea</t>
  </si>
  <si>
    <t>Visser</t>
  </si>
  <si>
    <t>Masters</t>
  </si>
  <si>
    <t>Hopkins</t>
  </si>
  <si>
    <t>May</t>
  </si>
  <si>
    <t>Plummer</t>
  </si>
  <si>
    <t>Iain</t>
  </si>
  <si>
    <t>Nakamura</t>
  </si>
  <si>
    <t>Best</t>
  </si>
  <si>
    <t>SVP CIO</t>
  </si>
  <si>
    <t>Chivers</t>
  </si>
  <si>
    <t>Abrams Capital</t>
  </si>
  <si>
    <t>Abu Dhabi Investment Authority</t>
  </si>
  <si>
    <t>Salem</t>
  </si>
  <si>
    <t>Deborah</t>
  </si>
  <si>
    <t>Flanagan</t>
  </si>
  <si>
    <t>Harding</t>
  </si>
  <si>
    <t>Acadian Asset Management</t>
  </si>
  <si>
    <t>ACTIV Financial Systems Inc.</t>
  </si>
  <si>
    <t>Collins</t>
  </si>
  <si>
    <t>Judy</t>
  </si>
  <si>
    <t>Addepar</t>
  </si>
  <si>
    <t>Maloney</t>
  </si>
  <si>
    <t>Harvey</t>
  </si>
  <si>
    <t>ADM</t>
  </si>
  <si>
    <t>Kadlec</t>
  </si>
  <si>
    <t>Mildred</t>
  </si>
  <si>
    <t>New Accounts Representative (Client On-Boarding)</t>
  </si>
  <si>
    <t>Peoples</t>
  </si>
  <si>
    <t>Walls</t>
  </si>
  <si>
    <t>Damilatis</t>
  </si>
  <si>
    <t>Dima</t>
  </si>
  <si>
    <t>Nedvetsky</t>
  </si>
  <si>
    <t>AFS</t>
  </si>
  <si>
    <t>Hein</t>
  </si>
  <si>
    <t>Siemerink</t>
  </si>
  <si>
    <t>Wim</t>
  </si>
  <si>
    <t>AIG</t>
  </si>
  <si>
    <t>Galbraith</t>
  </si>
  <si>
    <t>Akuna Capital</t>
  </si>
  <si>
    <t>Killion</t>
  </si>
  <si>
    <t>Sandy</t>
  </si>
  <si>
    <t>Freddie</t>
  </si>
  <si>
    <t>Fan</t>
  </si>
  <si>
    <t>Cezar</t>
  </si>
  <si>
    <t>Ellefsen</t>
  </si>
  <si>
    <t>Schreiber</t>
  </si>
  <si>
    <t>Jin</t>
  </si>
  <si>
    <t>Clement</t>
  </si>
  <si>
    <t>Alcova Asset Management</t>
  </si>
  <si>
    <t>Davison</t>
  </si>
  <si>
    <t>Allen &amp; Co.</t>
  </si>
  <si>
    <t>Stanley</t>
  </si>
  <si>
    <t>Senior Vice President Fixed Income</t>
  </si>
  <si>
    <t>Wallin</t>
  </si>
  <si>
    <t>Khaled</t>
  </si>
  <si>
    <t>Abdou</t>
  </si>
  <si>
    <t>Bipin</t>
  </si>
  <si>
    <t>Bhaiyya</t>
  </si>
  <si>
    <t>Gaetano</t>
  </si>
  <si>
    <t>Margolis</t>
  </si>
  <si>
    <t>Art</t>
  </si>
  <si>
    <t>Gyimesi</t>
  </si>
  <si>
    <t>Valentino</t>
  </si>
  <si>
    <t>COO Multi-Asset Group</t>
  </si>
  <si>
    <t>Peller</t>
  </si>
  <si>
    <t>Augustus</t>
  </si>
  <si>
    <t>Cheh</t>
  </si>
  <si>
    <t>Benny</t>
  </si>
  <si>
    <t>Allianz</t>
  </si>
  <si>
    <t>Lars</t>
  </si>
  <si>
    <t>Ziegler</t>
  </si>
  <si>
    <t>Muller</t>
  </si>
  <si>
    <t>Hoffman</t>
  </si>
  <si>
    <t>Markus</t>
  </si>
  <si>
    <t>Thierry</t>
  </si>
  <si>
    <t>Christy</t>
  </si>
  <si>
    <t>Laurent</t>
  </si>
  <si>
    <t>Caroline</t>
  </si>
  <si>
    <t>Beatrice</t>
  </si>
  <si>
    <t>Hugues</t>
  </si>
  <si>
    <t>Alpine Global Management LLC</t>
  </si>
  <si>
    <t>Howard</t>
  </si>
  <si>
    <t>Tai</t>
  </si>
  <si>
    <t>Cota</t>
  </si>
  <si>
    <t>Hoover</t>
  </si>
  <si>
    <t>American Family Insurance</t>
  </si>
  <si>
    <t>Vince</t>
  </si>
  <si>
    <t>COO Investments</t>
  </si>
  <si>
    <t>Pasqualicchio</t>
  </si>
  <si>
    <t>AMP Global Clearing LLC</t>
  </si>
  <si>
    <t>COO &amp; CFO</t>
  </si>
  <si>
    <t>Joiner</t>
  </si>
  <si>
    <t>Arseneau</t>
  </si>
  <si>
    <t>Alam</t>
  </si>
  <si>
    <t>Amundi</t>
  </si>
  <si>
    <t>Pamela</t>
  </si>
  <si>
    <t>Valerie</t>
  </si>
  <si>
    <t>Pascal</t>
  </si>
  <si>
    <t>Neo</t>
  </si>
  <si>
    <t>Franck</t>
  </si>
  <si>
    <t>Antoine</t>
  </si>
  <si>
    <t>Fong</t>
  </si>
  <si>
    <t>Analytic Partners</t>
  </si>
  <si>
    <t>Tao</t>
  </si>
  <si>
    <t>andrew</t>
  </si>
  <si>
    <t>Bein</t>
  </si>
  <si>
    <t>Giovanni</t>
  </si>
  <si>
    <t>ANZ</t>
  </si>
  <si>
    <t>Finbourne</t>
  </si>
  <si>
    <t>O'Hara</t>
  </si>
  <si>
    <t>Kenji</t>
  </si>
  <si>
    <t>Tam</t>
  </si>
  <si>
    <t>Apex Fund</t>
  </si>
  <si>
    <t>Stringer</t>
  </si>
  <si>
    <t>Rosenthal</t>
  </si>
  <si>
    <t>Capuzzi</t>
  </si>
  <si>
    <t>Executive Vice President</t>
  </si>
  <si>
    <t>Schroeder</t>
  </si>
  <si>
    <t>APG Asset Management</t>
  </si>
  <si>
    <t>Stein</t>
  </si>
  <si>
    <t>Annette</t>
  </si>
  <si>
    <t>Mosman</t>
  </si>
  <si>
    <t>Marcel</t>
  </si>
  <si>
    <t>Prins</t>
  </si>
  <si>
    <t>Arjen</t>
  </si>
  <si>
    <t>Robin</t>
  </si>
  <si>
    <t>Joyce</t>
  </si>
  <si>
    <t>Nico</t>
  </si>
  <si>
    <t>Meijer</t>
  </si>
  <si>
    <t>Phinney</t>
  </si>
  <si>
    <t>AQM Technologies</t>
  </si>
  <si>
    <t>Hitesh</t>
  </si>
  <si>
    <t>Israel</t>
  </si>
  <si>
    <t>Friedman</t>
  </si>
  <si>
    <t>Coskun</t>
  </si>
  <si>
    <t>Baglio</t>
  </si>
  <si>
    <t>Aqua Securities LP</t>
  </si>
  <si>
    <t>Gay</t>
  </si>
  <si>
    <t>Aquis Exchange</t>
  </si>
  <si>
    <t>Magnus</t>
  </si>
  <si>
    <t>Arbor Research &amp; Trading LLC</t>
  </si>
  <si>
    <t>Sood</t>
  </si>
  <si>
    <t>Arca</t>
  </si>
  <si>
    <t>Sandler</t>
  </si>
  <si>
    <t>Julie</t>
  </si>
  <si>
    <t>Adcock</t>
  </si>
  <si>
    <t>Frattola</t>
  </si>
  <si>
    <t>Archer</t>
  </si>
  <si>
    <t>Wiesenberg</t>
  </si>
  <si>
    <t>Goldenberg</t>
  </si>
  <si>
    <t>Arden Asset Management</t>
  </si>
  <si>
    <t>Wassal</t>
  </si>
  <si>
    <t>Williamson</t>
  </si>
  <si>
    <t>ARK Investment Management</t>
  </si>
  <si>
    <t>Gilbert</t>
  </si>
  <si>
    <t>Arrowgrass Capital Partners LLP</t>
  </si>
  <si>
    <t>Coltman</t>
  </si>
  <si>
    <t>Glen</t>
  </si>
  <si>
    <t>Koenig</t>
  </si>
  <si>
    <t>Alfred</t>
  </si>
  <si>
    <t>Dimitris</t>
  </si>
  <si>
    <t>Atlas Investment</t>
  </si>
  <si>
    <t>Atreyu Group LLC</t>
  </si>
  <si>
    <t>Kledaras</t>
  </si>
  <si>
    <t>Ismael</t>
  </si>
  <si>
    <t>Deep Systems</t>
  </si>
  <si>
    <t>Tuskey</t>
  </si>
  <si>
    <t>Llewellyn</t>
  </si>
  <si>
    <t>Hilton</t>
  </si>
  <si>
    <t>Bernstein</t>
  </si>
  <si>
    <t>M</t>
  </si>
  <si>
    <t>Mr.</t>
  </si>
  <si>
    <t>Avatar Securities LLC</t>
  </si>
  <si>
    <t>Reavey</t>
  </si>
  <si>
    <t>Avenue</t>
  </si>
  <si>
    <t>Cullinane</t>
  </si>
  <si>
    <t>Marty</t>
  </si>
  <si>
    <t>Fontaine</t>
  </si>
  <si>
    <t>Dymond</t>
  </si>
  <si>
    <t>AXA Investment Managers</t>
  </si>
  <si>
    <t>Fisher</t>
  </si>
  <si>
    <t>Ellen</t>
  </si>
  <si>
    <t>Xavier</t>
  </si>
  <si>
    <t>COO for the trading and security financing division</t>
  </si>
  <si>
    <t>Hoche</t>
  </si>
  <si>
    <t>Emile</t>
  </si>
  <si>
    <t>Sanders</t>
  </si>
  <si>
    <t>Webb</t>
  </si>
  <si>
    <t>Remy</t>
  </si>
  <si>
    <t>Bruno</t>
  </si>
  <si>
    <t>AXIS Capital</t>
  </si>
  <si>
    <t>Vinay</t>
  </si>
  <si>
    <t>Israni</t>
  </si>
  <si>
    <t>Abhay</t>
  </si>
  <si>
    <t>Upadhyay</t>
  </si>
  <si>
    <t>Axos Bank</t>
  </si>
  <si>
    <t>AX Team</t>
  </si>
  <si>
    <t>Rosenberger</t>
  </si>
  <si>
    <t>Hunter</t>
  </si>
  <si>
    <t>B3</t>
  </si>
  <si>
    <t>Castro</t>
  </si>
  <si>
    <t>Luiz</t>
  </si>
  <si>
    <t>Bertti</t>
  </si>
  <si>
    <t>Marcelo</t>
  </si>
  <si>
    <t>Bazilio</t>
  </si>
  <si>
    <t>Luis Otavio</t>
  </si>
  <si>
    <t>Saliba Furtado</t>
  </si>
  <si>
    <t>Araujo</t>
  </si>
  <si>
    <t>Julio</t>
  </si>
  <si>
    <t>Monteiro</t>
  </si>
  <si>
    <t>SIX</t>
  </si>
  <si>
    <t>Gross</t>
  </si>
  <si>
    <t>Sanket</t>
  </si>
  <si>
    <t>William (Bill) D.</t>
  </si>
  <si>
    <t>Kinney</t>
  </si>
  <si>
    <t>Louis</t>
  </si>
  <si>
    <t>O'Malley</t>
  </si>
  <si>
    <t>Aurigema</t>
  </si>
  <si>
    <t>Moe</t>
  </si>
  <si>
    <t>Garber</t>
  </si>
  <si>
    <t>WU</t>
  </si>
  <si>
    <t>Banca IMI</t>
  </si>
  <si>
    <t>Novello</t>
  </si>
  <si>
    <t>Palacardo</t>
  </si>
  <si>
    <t>Carmine</t>
  </si>
  <si>
    <t>Davide</t>
  </si>
  <si>
    <t>Margherita</t>
  </si>
  <si>
    <t>Massimo</t>
  </si>
  <si>
    <t>QUANTUM TECHNOLOGY SOLUTIONS LIMITED</t>
  </si>
  <si>
    <t>Trey</t>
  </si>
  <si>
    <t>Harvin</t>
  </si>
  <si>
    <t>Ernesto</t>
  </si>
  <si>
    <t>Banco do Brasil</t>
  </si>
  <si>
    <t>Banco Modal</t>
  </si>
  <si>
    <t>Puga</t>
  </si>
  <si>
    <t>RaboBank</t>
  </si>
  <si>
    <t>Ito</t>
  </si>
  <si>
    <t>Ayala</t>
  </si>
  <si>
    <t>Luciano</t>
  </si>
  <si>
    <t>Kleverson</t>
  </si>
  <si>
    <t>Batista</t>
  </si>
  <si>
    <t>Soares</t>
  </si>
  <si>
    <t>Silvia</t>
  </si>
  <si>
    <t>Aida</t>
  </si>
  <si>
    <t>Cruz</t>
  </si>
  <si>
    <t>Global COO of the Santander CIB</t>
  </si>
  <si>
    <t>Hajjahi</t>
  </si>
  <si>
    <t>Mathieu</t>
  </si>
  <si>
    <t>Guillermo</t>
  </si>
  <si>
    <t>Carole Anete</t>
  </si>
  <si>
    <t>Izard</t>
  </si>
  <si>
    <t>Hertshten Group</t>
  </si>
  <si>
    <t>Elad</t>
  </si>
  <si>
    <t>Pierce</t>
  </si>
  <si>
    <t>Esther</t>
  </si>
  <si>
    <t>Elisa</t>
  </si>
  <si>
    <t>Lopez</t>
  </si>
  <si>
    <t>Cabra</t>
  </si>
  <si>
    <t>Jean</t>
  </si>
  <si>
    <t>Juan Carlos</t>
  </si>
  <si>
    <t>Aljazira Capital</t>
  </si>
  <si>
    <t>Guillaume</t>
  </si>
  <si>
    <t>Jean-Francois</t>
  </si>
  <si>
    <t>Hays</t>
  </si>
  <si>
    <t>Julius Baer</t>
  </si>
  <si>
    <t>Enzo</t>
  </si>
  <si>
    <t>Lindberg</t>
  </si>
  <si>
    <t>Mang</t>
  </si>
  <si>
    <t>Smolenski</t>
  </si>
  <si>
    <t>Gabriele</t>
  </si>
  <si>
    <t>Yeo</t>
  </si>
  <si>
    <t>Sauter</t>
  </si>
  <si>
    <t>Vice President Global Markets Operations Technology Futures &amp; Options and OTC Clearing</t>
  </si>
  <si>
    <t>Vice President ? F&amp;O Electronic Trading Desk</t>
  </si>
  <si>
    <t>Serjeant</t>
  </si>
  <si>
    <t>Preeti</t>
  </si>
  <si>
    <t>Fishman</t>
  </si>
  <si>
    <t>Slater</t>
  </si>
  <si>
    <t>Avis</t>
  </si>
  <si>
    <t>Gutridge</t>
  </si>
  <si>
    <t>Cultrano</t>
  </si>
  <si>
    <t>Jimmy</t>
  </si>
  <si>
    <t>Boyle</t>
  </si>
  <si>
    <t>Rajeev</t>
  </si>
  <si>
    <t>Ranjan</t>
  </si>
  <si>
    <t>Michele</t>
  </si>
  <si>
    <t>Chronicle Software</t>
  </si>
  <si>
    <t>Chief Information Officer of Global Markets</t>
  </si>
  <si>
    <t>Dubno</t>
  </si>
  <si>
    <t>First Vice President &amp; Controlle</t>
  </si>
  <si>
    <t>Carone</t>
  </si>
  <si>
    <t>Dowd</t>
  </si>
  <si>
    <t>n/a</t>
  </si>
  <si>
    <t>President Merrill Lynch Investment Managers</t>
  </si>
  <si>
    <t>Peek</t>
  </si>
  <si>
    <t>Chip</t>
  </si>
  <si>
    <t>Geoffrey</t>
  </si>
  <si>
    <t>Snyder</t>
  </si>
  <si>
    <t>Brett</t>
  </si>
  <si>
    <t>Clint</t>
  </si>
  <si>
    <t>Turner</t>
  </si>
  <si>
    <t>Pern</t>
  </si>
  <si>
    <t>Cohan</t>
  </si>
  <si>
    <t>Damon</t>
  </si>
  <si>
    <t>McCarthy</t>
  </si>
  <si>
    <t>Johnston</t>
  </si>
  <si>
    <t>First Vice President</t>
  </si>
  <si>
    <t>Hordle</t>
  </si>
  <si>
    <t>Hark</t>
  </si>
  <si>
    <t>Yip</t>
  </si>
  <si>
    <t>Donahue</t>
  </si>
  <si>
    <t>Charlene</t>
  </si>
  <si>
    <t>Carbone</t>
  </si>
  <si>
    <t>Ranta</t>
  </si>
  <si>
    <t>Preisdent And CEO Merrill Lynch Securities Services Division</t>
  </si>
  <si>
    <t>President of Corporate and Institutional Client Group</t>
  </si>
  <si>
    <t>Emanuel</t>
  </si>
  <si>
    <t>Chairman &amp; Chief Executive Officer</t>
  </si>
  <si>
    <t>Geduld</t>
  </si>
  <si>
    <t>Rany</t>
  </si>
  <si>
    <t>Chacar</t>
  </si>
  <si>
    <t>Adnane</t>
  </si>
  <si>
    <t>Charchour</t>
  </si>
  <si>
    <t>Vice President Business Solutions</t>
  </si>
  <si>
    <t>Joyner</t>
  </si>
  <si>
    <t>Gottlieb</t>
  </si>
  <si>
    <t>Jaime</t>
  </si>
  <si>
    <t>Charlie</t>
  </si>
  <si>
    <t>Sweeney</t>
  </si>
  <si>
    <t>Antony</t>
  </si>
  <si>
    <t>Ahrens</t>
  </si>
  <si>
    <t>Rutherford</t>
  </si>
  <si>
    <t>Cynthia</t>
  </si>
  <si>
    <t>Subu</t>
  </si>
  <si>
    <t>Jacob</t>
  </si>
  <si>
    <t>Welch</t>
  </si>
  <si>
    <t>Jennie</t>
  </si>
  <si>
    <t>Vankadhara</t>
  </si>
  <si>
    <t>Donoghue</t>
  </si>
  <si>
    <t>Mambretti</t>
  </si>
  <si>
    <t>Krishnan</t>
  </si>
  <si>
    <t>Banks</t>
  </si>
  <si>
    <t>Wolfe</t>
  </si>
  <si>
    <t>Stan</t>
  </si>
  <si>
    <t>Trivedi</t>
  </si>
  <si>
    <t>Hansen</t>
  </si>
  <si>
    <t>Abramson</t>
  </si>
  <si>
    <t>Kaitlyn</t>
  </si>
  <si>
    <t>Assistant Vice President Futures and Options Group</t>
  </si>
  <si>
    <t>August</t>
  </si>
  <si>
    <t>Vice President Equity Technology</t>
  </si>
  <si>
    <t>Vice President Global FF&amp;O Portfolio &amp; Collateral Optimization</t>
  </si>
  <si>
    <t>Carroll</t>
  </si>
  <si>
    <t>Mitra</t>
  </si>
  <si>
    <t>Salamone</t>
  </si>
  <si>
    <t>Condren</t>
  </si>
  <si>
    <t>Dushyant</t>
  </si>
  <si>
    <t>Vishnoi</t>
  </si>
  <si>
    <t>Lehnert</t>
  </si>
  <si>
    <t>Lucido</t>
  </si>
  <si>
    <t>Arnaud</t>
  </si>
  <si>
    <t>Baehr</t>
  </si>
  <si>
    <t>Geoff</t>
  </si>
  <si>
    <t>Preston</t>
  </si>
  <si>
    <t>Jeschke</t>
  </si>
  <si>
    <t>Camille</t>
  </si>
  <si>
    <t>A</t>
  </si>
  <si>
    <t>Lowe</t>
  </si>
  <si>
    <t>Vice President Global Equities Technology</t>
  </si>
  <si>
    <t>Murat</t>
  </si>
  <si>
    <t>Ko</t>
  </si>
  <si>
    <t>Tsang</t>
  </si>
  <si>
    <t>Lila</t>
  </si>
  <si>
    <t>Almeida</t>
  </si>
  <si>
    <t>Herculano</t>
  </si>
  <si>
    <t>Brazil COO Group &amp; LatAm Business Controls</t>
  </si>
  <si>
    <t>Wan</t>
  </si>
  <si>
    <t>Somsaman</t>
  </si>
  <si>
    <t>Vice President Market Data Services</t>
  </si>
  <si>
    <t>Chawawut</t>
  </si>
  <si>
    <t>Vice President Electronic Trading</t>
  </si>
  <si>
    <t>Bansode</t>
  </si>
  <si>
    <t>Tak</t>
  </si>
  <si>
    <t>Sugahara</t>
  </si>
  <si>
    <t>Deputy President and Representative Director</t>
  </si>
  <si>
    <t>Kawashima</t>
  </si>
  <si>
    <t>Pomeranke</t>
  </si>
  <si>
    <t>Jyoti</t>
  </si>
  <si>
    <t>Ferdinand V.</t>
  </si>
  <si>
    <t>Abne</t>
  </si>
  <si>
    <t>Kayoko</t>
  </si>
  <si>
    <t>Miyajima</t>
  </si>
  <si>
    <t>Koji</t>
  </si>
  <si>
    <t>Ishizaki</t>
  </si>
  <si>
    <t>Yoshiki</t>
  </si>
  <si>
    <t>Ota</t>
  </si>
  <si>
    <t>Short</t>
  </si>
  <si>
    <t>Leo</t>
  </si>
  <si>
    <t>Chau</t>
  </si>
  <si>
    <t>Fricke</t>
  </si>
  <si>
    <t>Costello</t>
  </si>
  <si>
    <t>Sudhakar</t>
  </si>
  <si>
    <t>Dai</t>
  </si>
  <si>
    <t>Dietrich</t>
  </si>
  <si>
    <t>Yoo</t>
  </si>
  <si>
    <t>Mina</t>
  </si>
  <si>
    <t>Brant</t>
  </si>
  <si>
    <t>VP and CIO</t>
  </si>
  <si>
    <t>Jang</t>
  </si>
  <si>
    <t>Ramesh</t>
  </si>
  <si>
    <t>Bramley</t>
  </si>
  <si>
    <t>Dmitri</t>
  </si>
  <si>
    <t>Greenwood</t>
  </si>
  <si>
    <t>Kelvin</t>
  </si>
  <si>
    <t>Poon</t>
  </si>
  <si>
    <t>Dhingra</t>
  </si>
  <si>
    <t>Tammy</t>
  </si>
  <si>
    <t>Willem</t>
  </si>
  <si>
    <t>Reilly</t>
  </si>
  <si>
    <t>Vice President Foreign Exchange eDealing</t>
  </si>
  <si>
    <t>Schuster</t>
  </si>
  <si>
    <t>Mitch</t>
  </si>
  <si>
    <t>Al</t>
  </si>
  <si>
    <t>COO US Instutional Equities</t>
  </si>
  <si>
    <t>Aiyan</t>
  </si>
  <si>
    <t>Shaukat</t>
  </si>
  <si>
    <t>Vice President Arbitrage</t>
  </si>
  <si>
    <t>Moylett</t>
  </si>
  <si>
    <t>Demetry</t>
  </si>
  <si>
    <t>Woetzel</t>
  </si>
  <si>
    <t>Shriram</t>
  </si>
  <si>
    <t>Hamza</t>
  </si>
  <si>
    <t>Hoochoy</t>
  </si>
  <si>
    <t>Mahoney</t>
  </si>
  <si>
    <t>Bank of Singapore</t>
  </si>
  <si>
    <t>DeCastro</t>
  </si>
  <si>
    <t>Cook</t>
  </si>
  <si>
    <t>Chaitanya</t>
  </si>
  <si>
    <t>Phyllis</t>
  </si>
  <si>
    <t>Bucaille</t>
  </si>
  <si>
    <t>Cao</t>
  </si>
  <si>
    <t>Florent</t>
  </si>
  <si>
    <t>Vontobel</t>
  </si>
  <si>
    <t>Rainer</t>
  </si>
  <si>
    <t>Schaub</t>
  </si>
  <si>
    <t>Tobias</t>
  </si>
  <si>
    <t>Cyril</t>
  </si>
  <si>
    <t>Hottinger</t>
  </si>
  <si>
    <t>Andersson</t>
  </si>
  <si>
    <t>Silas</t>
  </si>
  <si>
    <t>Fok</t>
  </si>
  <si>
    <t>Kessler</t>
  </si>
  <si>
    <t>Banque Internationale  Luxembourg (BIL)</t>
  </si>
  <si>
    <t>Albrecht</t>
  </si>
  <si>
    <t>Stig</t>
  </si>
  <si>
    <t>Foss</t>
  </si>
  <si>
    <t>Jacques</t>
  </si>
  <si>
    <t>Reich</t>
  </si>
  <si>
    <t>Didier</t>
  </si>
  <si>
    <t>Clinton</t>
  </si>
  <si>
    <t>Binod</t>
  </si>
  <si>
    <t>COO Equity Derivatives APAC</t>
  </si>
  <si>
    <t>Chu</t>
  </si>
  <si>
    <t>Emilio</t>
  </si>
  <si>
    <t>Pang</t>
  </si>
  <si>
    <t>Rowe</t>
  </si>
  <si>
    <t>Dattani</t>
  </si>
  <si>
    <t>Browning</t>
  </si>
  <si>
    <t>Toms</t>
  </si>
  <si>
    <t>Takashi</t>
  </si>
  <si>
    <t>Cedric</t>
  </si>
  <si>
    <t>Austin</t>
  </si>
  <si>
    <t>Umar</t>
  </si>
  <si>
    <t>Goodfellow</t>
  </si>
  <si>
    <t>Ayman</t>
  </si>
  <si>
    <t>Ewald</t>
  </si>
  <si>
    <t>Cross</t>
  </si>
  <si>
    <t>Hilary</t>
  </si>
  <si>
    <t>Wilkins</t>
  </si>
  <si>
    <t>Giles</t>
  </si>
  <si>
    <t>Baldwin</t>
  </si>
  <si>
    <t>Vekaria</t>
  </si>
  <si>
    <t>Freeborn</t>
  </si>
  <si>
    <t>CIO of Americas - CDR to Freeborn</t>
  </si>
  <si>
    <t>Greenbaum</t>
  </si>
  <si>
    <t>O'Reilly</t>
  </si>
  <si>
    <t>Ritossa</t>
  </si>
  <si>
    <t>Bijan</t>
  </si>
  <si>
    <t>Treister</t>
  </si>
  <si>
    <t>Day</t>
  </si>
  <si>
    <t>Vice President of Operations</t>
  </si>
  <si>
    <t>Croke</t>
  </si>
  <si>
    <t>Dinh</t>
  </si>
  <si>
    <t>Vice President - Futures Client Solutions</t>
  </si>
  <si>
    <t>Haga</t>
  </si>
  <si>
    <t>Yuen</t>
  </si>
  <si>
    <t>Leong</t>
  </si>
  <si>
    <t>Hari</t>
  </si>
  <si>
    <t>Beyman</t>
  </si>
  <si>
    <t>Chauvet</t>
  </si>
  <si>
    <t>Mohammad</t>
  </si>
  <si>
    <t>Divisional CIO</t>
  </si>
  <si>
    <t>Testa</t>
  </si>
  <si>
    <t>Tsou</t>
  </si>
  <si>
    <t>Evgeni</t>
  </si>
  <si>
    <t>Pintu</t>
  </si>
  <si>
    <t>Garg</t>
  </si>
  <si>
    <t>Aquino</t>
  </si>
  <si>
    <t>Hampson</t>
  </si>
  <si>
    <t>Senior Vice President Equities IT</t>
  </si>
  <si>
    <t>Yates</t>
  </si>
  <si>
    <t>Patricia</t>
  </si>
  <si>
    <t>Turley</t>
  </si>
  <si>
    <t>Baglino</t>
  </si>
  <si>
    <t>Westwood</t>
  </si>
  <si>
    <t>Low</t>
  </si>
  <si>
    <t>Marlisa</t>
  </si>
  <si>
    <t>Senior Vice President &amp; Counsel &amp; Global Head Equities Legal</t>
  </si>
  <si>
    <t>Vinciguerra</t>
  </si>
  <si>
    <t>Nawaz</t>
  </si>
  <si>
    <t>Sheik</t>
  </si>
  <si>
    <t>Oates</t>
  </si>
  <si>
    <t>Imai</t>
  </si>
  <si>
    <t>Devanesan</t>
  </si>
  <si>
    <t>Stevens</t>
  </si>
  <si>
    <t>Brooker</t>
  </si>
  <si>
    <t>Francisco</t>
  </si>
  <si>
    <t>Izawa</t>
  </si>
  <si>
    <t>Vice President IT</t>
  </si>
  <si>
    <t>Wu</t>
  </si>
  <si>
    <t>Suresh Kumar</t>
  </si>
  <si>
    <t>Shanmugan</t>
  </si>
  <si>
    <t>Mukund</t>
  </si>
  <si>
    <t>Tatipamula_OLD</t>
  </si>
  <si>
    <t>Melinda</t>
  </si>
  <si>
    <t>Darak</t>
  </si>
  <si>
    <t>Rutledge</t>
  </si>
  <si>
    <t>Tomoko</t>
  </si>
  <si>
    <t>Hasegawa</t>
  </si>
  <si>
    <t>Stehen</t>
  </si>
  <si>
    <t>Barnham</t>
  </si>
  <si>
    <t>Yasuo</t>
  </si>
  <si>
    <t>Vice President Equity Connectivity</t>
  </si>
  <si>
    <t>Kitagawa</t>
  </si>
  <si>
    <t>Ruth</t>
  </si>
  <si>
    <t>McNeil</t>
  </si>
  <si>
    <t>Vice President - Market Data</t>
  </si>
  <si>
    <t>Ketan</t>
  </si>
  <si>
    <t>Wylie</t>
  </si>
  <si>
    <t>JoseLuis</t>
  </si>
  <si>
    <t>CEO Consumer Finance; Group Head of Strategy</t>
  </si>
  <si>
    <t>de Mora Gill-Gallardo</t>
  </si>
  <si>
    <t>Levy</t>
  </si>
  <si>
    <t>Chapman</t>
  </si>
  <si>
    <t>Weston</t>
  </si>
  <si>
    <t>Horsey</t>
  </si>
  <si>
    <t>Bassett</t>
  </si>
  <si>
    <t>Carlo</t>
  </si>
  <si>
    <t>BATS</t>
  </si>
  <si>
    <t>Ratterman</t>
  </si>
  <si>
    <t>Isaacson</t>
  </si>
  <si>
    <t>Clem</t>
  </si>
  <si>
    <t>President &amp; CEO</t>
  </si>
  <si>
    <t>Baupost</t>
  </si>
  <si>
    <t>Haque</t>
  </si>
  <si>
    <t>Clark</t>
  </si>
  <si>
    <t>Mulligan</t>
  </si>
  <si>
    <t>Bayview Asset Management LLC</t>
  </si>
  <si>
    <t>Manny</t>
  </si>
  <si>
    <t>Osamu</t>
  </si>
  <si>
    <t>Kobayashi</t>
  </si>
  <si>
    <t>Rieko</t>
  </si>
  <si>
    <t>Shimojo</t>
  </si>
  <si>
    <t>Sakamoto</t>
  </si>
  <si>
    <t>Sanae</t>
  </si>
  <si>
    <t>Saga</t>
  </si>
  <si>
    <t>Inoue</t>
  </si>
  <si>
    <t>Nicholson</t>
  </si>
  <si>
    <t>Thornton</t>
  </si>
  <si>
    <t>Sharp</t>
  </si>
  <si>
    <t>Jimenez</t>
  </si>
  <si>
    <t>Bernardo</t>
  </si>
  <si>
    <t>Ruiz</t>
  </si>
  <si>
    <t>Henriksson</t>
  </si>
  <si>
    <t>Riley</t>
  </si>
  <si>
    <t>Bustillo</t>
  </si>
  <si>
    <t>Samuel</t>
  </si>
  <si>
    <t>Pablo</t>
  </si>
  <si>
    <t>L</t>
  </si>
  <si>
    <t>Cago</t>
  </si>
  <si>
    <t>Luna</t>
  </si>
  <si>
    <t>BCS</t>
  </si>
  <si>
    <t>Denson</t>
  </si>
  <si>
    <t>Matthieu</t>
  </si>
  <si>
    <t>R</t>
  </si>
  <si>
    <t>Endava</t>
  </si>
  <si>
    <t>Chairman of Board</t>
  </si>
  <si>
    <t>Belvedere Trading LLC</t>
  </si>
  <si>
    <t>Yezdaan</t>
  </si>
  <si>
    <t>Baber</t>
  </si>
  <si>
    <t>Edwin</t>
  </si>
  <si>
    <t>Hutchinson</t>
  </si>
  <si>
    <t>Beller</t>
  </si>
  <si>
    <t>Petersen</t>
  </si>
  <si>
    <t>Ulrich</t>
  </si>
  <si>
    <t>BestExHub</t>
  </si>
  <si>
    <t>Weinberg</t>
  </si>
  <si>
    <t>Nigam</t>
  </si>
  <si>
    <t>Sousa</t>
  </si>
  <si>
    <t>Kirby</t>
  </si>
  <si>
    <t>Kendall</t>
  </si>
  <si>
    <t>Pasham</t>
  </si>
  <si>
    <t>Ramon</t>
  </si>
  <si>
    <t>Windeatt</t>
  </si>
  <si>
    <t>BMLL</t>
  </si>
  <si>
    <t>Uluc</t>
  </si>
  <si>
    <t>SAKA</t>
  </si>
  <si>
    <t>Mana</t>
  </si>
  <si>
    <t>Lester</t>
  </si>
  <si>
    <t>Sahoo</t>
  </si>
  <si>
    <t>Laurence</t>
  </si>
  <si>
    <t>Shannon</t>
  </si>
  <si>
    <t>Nagpal</t>
  </si>
  <si>
    <t>Duncan</t>
  </si>
  <si>
    <t>Chiu</t>
  </si>
  <si>
    <t>Sudhanshu</t>
  </si>
  <si>
    <t>Litchfield</t>
  </si>
  <si>
    <t>Garbien</t>
  </si>
  <si>
    <t>Ashley</t>
  </si>
  <si>
    <t>Vice President - Market Data Relationship</t>
  </si>
  <si>
    <t>IPUSHPULL</t>
  </si>
  <si>
    <t>Adler</t>
  </si>
  <si>
    <t>Warren</t>
  </si>
  <si>
    <t>Arnie</t>
  </si>
  <si>
    <t>Wachs</t>
  </si>
  <si>
    <t>Hanson</t>
  </si>
  <si>
    <t>Global COO</t>
  </si>
  <si>
    <t>Mason</t>
  </si>
  <si>
    <t>Tate</t>
  </si>
  <si>
    <t>Mehul</t>
  </si>
  <si>
    <t>COO Securities Services Division</t>
  </si>
  <si>
    <t>Greenberg</t>
  </si>
  <si>
    <t>Buckley</t>
  </si>
  <si>
    <t>Elliott</t>
  </si>
  <si>
    <t>O'Shea</t>
  </si>
  <si>
    <t>Grossman</t>
  </si>
  <si>
    <t>Aya</t>
  </si>
  <si>
    <t>Furue</t>
  </si>
  <si>
    <t>Buerge</t>
  </si>
  <si>
    <t>Swarup</t>
  </si>
  <si>
    <t>Shu</t>
  </si>
  <si>
    <t>Niwa</t>
  </si>
  <si>
    <t>Masako</t>
  </si>
  <si>
    <t>Tsuchiya</t>
  </si>
  <si>
    <t>BT</t>
  </si>
  <si>
    <t>Koo</t>
  </si>
  <si>
    <t>Oh</t>
  </si>
  <si>
    <t>Whitney</t>
  </si>
  <si>
    <t>Knapp</t>
  </si>
  <si>
    <t>Santos</t>
  </si>
  <si>
    <t>Harrington</t>
  </si>
  <si>
    <t>Gene</t>
  </si>
  <si>
    <t>Kong</t>
  </si>
  <si>
    <t>Angela</t>
  </si>
  <si>
    <t>Adrien</t>
  </si>
  <si>
    <t>COO - Fixed Income E Trading</t>
  </si>
  <si>
    <t>Jenner</t>
  </si>
  <si>
    <t>Bang</t>
  </si>
  <si>
    <t>Gardner</t>
  </si>
  <si>
    <t>Healey</t>
  </si>
  <si>
    <t>Terrence</t>
  </si>
  <si>
    <t>Ralph</t>
  </si>
  <si>
    <t>Rosenfeld</t>
  </si>
  <si>
    <t>Rehan</t>
  </si>
  <si>
    <t>Mohan</t>
  </si>
  <si>
    <t>Abel</t>
  </si>
  <si>
    <t>ian</t>
  </si>
  <si>
    <t>Donal</t>
  </si>
  <si>
    <t>Miles</t>
  </si>
  <si>
    <t>Kwon</t>
  </si>
  <si>
    <t>COO (Core Business)</t>
  </si>
  <si>
    <t>Brenton</t>
  </si>
  <si>
    <t>Yuichi</t>
  </si>
  <si>
    <t>Ulf</t>
  </si>
  <si>
    <t>Hartley</t>
  </si>
  <si>
    <t>Joon</t>
  </si>
  <si>
    <t>Cummings</t>
  </si>
  <si>
    <t>Conrad</t>
  </si>
  <si>
    <t>McCoy</t>
  </si>
  <si>
    <t>Sabrina</t>
  </si>
  <si>
    <t>Nishimura</t>
  </si>
  <si>
    <t>Flora</t>
  </si>
  <si>
    <t>Yam</t>
  </si>
  <si>
    <t>Kelley</t>
  </si>
  <si>
    <t>Lou</t>
  </si>
  <si>
    <t>Phillipe</t>
  </si>
  <si>
    <t>Orlando</t>
  </si>
  <si>
    <t>Blue Ocean</t>
  </si>
  <si>
    <t>Ambrose</t>
  </si>
  <si>
    <t>Stella</t>
  </si>
  <si>
    <t>Scott T.</t>
  </si>
  <si>
    <t>Meier</t>
  </si>
  <si>
    <t>Raman</t>
  </si>
  <si>
    <t>ALI</t>
  </si>
  <si>
    <t>Tse</t>
  </si>
  <si>
    <t>Edouard</t>
  </si>
  <si>
    <t>Abonnel</t>
  </si>
  <si>
    <t>Rogier</t>
  </si>
  <si>
    <t>Orr</t>
  </si>
  <si>
    <t>Parsons</t>
  </si>
  <si>
    <t>Rajiv</t>
  </si>
  <si>
    <t>COO Trading PanAsia (moving to Europe for global role - 17/03/14)</t>
  </si>
  <si>
    <t>Alain</t>
  </si>
  <si>
    <t>Radzik</t>
  </si>
  <si>
    <t>SPASSKY</t>
  </si>
  <si>
    <t>BOULENGUIEZ</t>
  </si>
  <si>
    <t>Kee-Meng</t>
  </si>
  <si>
    <t>Cognizant</t>
  </si>
  <si>
    <t>Suneej</t>
  </si>
  <si>
    <t>COO Asia</t>
  </si>
  <si>
    <t>Kidangan</t>
  </si>
  <si>
    <t>Nabil</t>
  </si>
  <si>
    <t>Chief Information Officer Equities and Derivatives</t>
  </si>
  <si>
    <t>Vallee</t>
  </si>
  <si>
    <t>Fung</t>
  </si>
  <si>
    <t>Ashutosh</t>
  </si>
  <si>
    <t>Rajendran</t>
  </si>
  <si>
    <t>Bolton</t>
  </si>
  <si>
    <t>Patra</t>
  </si>
  <si>
    <t>Hernandez</t>
  </si>
  <si>
    <t>Arif</t>
  </si>
  <si>
    <t>Kang</t>
  </si>
  <si>
    <t>NYSE</t>
  </si>
  <si>
    <t>Marczak</t>
  </si>
  <si>
    <t>Armstrong</t>
  </si>
  <si>
    <t>Elmer</t>
  </si>
  <si>
    <t>Barnett</t>
  </si>
  <si>
    <t>Fei</t>
  </si>
  <si>
    <t>Vijayvergiya</t>
  </si>
  <si>
    <t>CEO ETF Strategy</t>
  </si>
  <si>
    <t>Luk</t>
  </si>
  <si>
    <t>Watson</t>
  </si>
  <si>
    <t>Glenda</t>
  </si>
  <si>
    <t>Gopinath</t>
  </si>
  <si>
    <t>Fiona</t>
  </si>
  <si>
    <t>Schinik</t>
  </si>
  <si>
    <t>Borntec</t>
  </si>
  <si>
    <t>Haworth</t>
  </si>
  <si>
    <t>Robert 'Buck'</t>
  </si>
  <si>
    <t>Flavio</t>
  </si>
  <si>
    <t>Bradesco</t>
  </si>
  <si>
    <t>Anibal</t>
  </si>
  <si>
    <t>Bridgewater Associates</t>
  </si>
  <si>
    <t>Tareq</t>
  </si>
  <si>
    <t>Vice President Technology Infrastructure</t>
  </si>
  <si>
    <t>McGuire</t>
  </si>
  <si>
    <t>Fraser</t>
  </si>
  <si>
    <t>Kovacs</t>
  </si>
  <si>
    <t>Andrzejewski</t>
  </si>
  <si>
    <t>Henderson</t>
  </si>
  <si>
    <t>Thrussell</t>
  </si>
  <si>
    <t>Mora</t>
  </si>
  <si>
    <t>Parth</t>
  </si>
  <si>
    <t>Brook Path Partners</t>
  </si>
  <si>
    <t>EVP and COO</t>
  </si>
  <si>
    <t>Taikitsadaporn</t>
  </si>
  <si>
    <t>Brown Brothers Harriman</t>
  </si>
  <si>
    <t>Antoinette</t>
  </si>
  <si>
    <t>Cleary</t>
  </si>
  <si>
    <t>McChesney</t>
  </si>
  <si>
    <t>Flynn</t>
  </si>
  <si>
    <t>Perrone</t>
  </si>
  <si>
    <t>Oliveira</t>
  </si>
  <si>
    <t>Nash</t>
  </si>
  <si>
    <t>Berke</t>
  </si>
  <si>
    <t>Senior Vice President Investment Management</t>
  </si>
  <si>
    <t>Ives</t>
  </si>
  <si>
    <t>Senior Vice President Investor Services</t>
  </si>
  <si>
    <t>Wahmann</t>
  </si>
  <si>
    <t>Bonomi</t>
  </si>
  <si>
    <t>Resende</t>
  </si>
  <si>
    <t>South</t>
  </si>
  <si>
    <t>Stefano</t>
  </si>
  <si>
    <t>BTIG</t>
  </si>
  <si>
    <t>Senior Vice President of Technology</t>
  </si>
  <si>
    <t>Palladino</t>
  </si>
  <si>
    <t>Finkel</t>
  </si>
  <si>
    <t>Leroy</t>
  </si>
  <si>
    <t>chris</t>
  </si>
  <si>
    <t>Starker</t>
  </si>
  <si>
    <t>Velez</t>
  </si>
  <si>
    <t>john</t>
  </si>
  <si>
    <t>G</t>
  </si>
  <si>
    <t>Barrett</t>
  </si>
  <si>
    <t>Aniello</t>
  </si>
  <si>
    <t>LeRoy</t>
  </si>
  <si>
    <t>Bernie</t>
  </si>
  <si>
    <t>Duke</t>
  </si>
  <si>
    <t>Erica</t>
  </si>
  <si>
    <t>Vice President TradeSave</t>
  </si>
  <si>
    <t>Chessen</t>
  </si>
  <si>
    <t>BTON Financial</t>
  </si>
  <si>
    <t>Shepard</t>
  </si>
  <si>
    <t>Man</t>
  </si>
  <si>
    <t>Lackman</t>
  </si>
  <si>
    <t>Barreto</t>
  </si>
  <si>
    <t>Cabrera</t>
  </si>
  <si>
    <t>Vice President Institutional Trading</t>
  </si>
  <si>
    <t>Flaws</t>
  </si>
  <si>
    <t>Libertini</t>
  </si>
  <si>
    <t>Calamos Investments</t>
  </si>
  <si>
    <t>Munoz</t>
  </si>
  <si>
    <t>Goldman</t>
  </si>
  <si>
    <t>Carol</t>
  </si>
  <si>
    <t>Calamos</t>
  </si>
  <si>
    <t>Porter</t>
  </si>
  <si>
    <t>Donovan</t>
  </si>
  <si>
    <t>McBride</t>
  </si>
  <si>
    <t>Heerdt</t>
  </si>
  <si>
    <t>Cannaccord</t>
  </si>
  <si>
    <t>Mayur</t>
  </si>
  <si>
    <t>EVP CIO</t>
  </si>
  <si>
    <t>Jappy</t>
  </si>
  <si>
    <t>Cass</t>
  </si>
  <si>
    <t>Tariq</t>
  </si>
  <si>
    <t>Kimmel</t>
  </si>
  <si>
    <t>Page</t>
  </si>
  <si>
    <t>Olson</t>
  </si>
  <si>
    <t>Garry</t>
  </si>
  <si>
    <t>Vogel</t>
  </si>
  <si>
    <t>Gibson</t>
  </si>
  <si>
    <t>Sal</t>
  </si>
  <si>
    <t>Lutnick</t>
  </si>
  <si>
    <t>Fusco</t>
  </si>
  <si>
    <t>Tamara</t>
  </si>
  <si>
    <t>Yvan</t>
  </si>
  <si>
    <t>McGee</t>
  </si>
  <si>
    <t>Yapi Kredi Invest</t>
  </si>
  <si>
    <t>Fresko</t>
  </si>
  <si>
    <t>Donnelly</t>
  </si>
  <si>
    <t>B</t>
  </si>
  <si>
    <t>Bird</t>
  </si>
  <si>
    <t>Sina</t>
  </si>
  <si>
    <t>Stepanov</t>
  </si>
  <si>
    <t>Ursula</t>
  </si>
  <si>
    <t>Admin to CEO</t>
  </si>
  <si>
    <t>Lynn's</t>
  </si>
  <si>
    <t>Tanner</t>
  </si>
  <si>
    <t>McCormick</t>
  </si>
  <si>
    <t>Senior Vice President of Investment Operations</t>
  </si>
  <si>
    <t>Bullard</t>
  </si>
  <si>
    <t>Kamlesh</t>
  </si>
  <si>
    <t>Ramjee</t>
  </si>
  <si>
    <t>Chauvin</t>
  </si>
  <si>
    <t>Caravel Concepts</t>
  </si>
  <si>
    <t>Clara</t>
  </si>
  <si>
    <t>Herring</t>
  </si>
  <si>
    <t>Carnegie Investment Bank</t>
  </si>
  <si>
    <t>Antas</t>
  </si>
  <si>
    <t>Johansson</t>
  </si>
  <si>
    <t>Carlson Capital</t>
  </si>
  <si>
    <t>Castleton Commodities International</t>
  </si>
  <si>
    <t>Biersack</t>
  </si>
  <si>
    <t>Terri</t>
  </si>
  <si>
    <t>McKiernan</t>
  </si>
  <si>
    <t>Vice President Compliance Officer</t>
  </si>
  <si>
    <t>Gideon</t>
  </si>
  <si>
    <t>Mclean</t>
  </si>
  <si>
    <t>Maurice</t>
  </si>
  <si>
    <t>Geddes</t>
  </si>
  <si>
    <t>Gates</t>
  </si>
  <si>
    <t>Cedro Technologies</t>
  </si>
  <si>
    <t>Matthews</t>
  </si>
  <si>
    <t>Morse</t>
  </si>
  <si>
    <t>Centurion Investment Management  LLC.</t>
  </si>
  <si>
    <t>Harlan</t>
  </si>
  <si>
    <t>Schier</t>
  </si>
  <si>
    <t>Cetera Financial Group</t>
  </si>
  <si>
    <t>CF Global Trading</t>
  </si>
  <si>
    <t>Rey</t>
  </si>
  <si>
    <t>Spencer</t>
  </si>
  <si>
    <t>CGIS Securities</t>
  </si>
  <si>
    <t>Quek</t>
  </si>
  <si>
    <t>Vice-President</t>
  </si>
  <si>
    <t>Driscoll</t>
  </si>
  <si>
    <t>Geiger</t>
  </si>
  <si>
    <t>Kiran</t>
  </si>
  <si>
    <t>Lambertus</t>
  </si>
  <si>
    <t>Noah</t>
  </si>
  <si>
    <t>Hebert</t>
  </si>
  <si>
    <t>President CRB</t>
  </si>
  <si>
    <t>Schardin</t>
  </si>
  <si>
    <t>Gallagher</t>
  </si>
  <si>
    <t>EVP &amp; CIO (Austin TX)</t>
  </si>
  <si>
    <t>Rama</t>
  </si>
  <si>
    <t>Vice President Brokerage Accounting and Trading Technology</t>
  </si>
  <si>
    <t>Bokka</t>
  </si>
  <si>
    <t>Lorraine</t>
  </si>
  <si>
    <t>Raul</t>
  </si>
  <si>
    <t>Cheyne Capital</t>
  </si>
  <si>
    <t>Macdonald</t>
  </si>
  <si>
    <t>Chicago Trading Company</t>
  </si>
  <si>
    <t>Hess</t>
  </si>
  <si>
    <t>Kode</t>
  </si>
  <si>
    <t>CIO - No Longer There</t>
  </si>
  <si>
    <t>Cowden</t>
  </si>
  <si>
    <t>Briar</t>
  </si>
  <si>
    <t>Cobbold-Moore</t>
  </si>
  <si>
    <t>China CITIC Bank</t>
  </si>
  <si>
    <t>Jacky</t>
  </si>
  <si>
    <t>CCB</t>
  </si>
  <si>
    <t>First Vice President Project Team leader</t>
  </si>
  <si>
    <t>Edmund</t>
  </si>
  <si>
    <t>Senior Vice President Head of Application Systems (Business Application)</t>
  </si>
  <si>
    <t>Jian</t>
  </si>
  <si>
    <t>Wen</t>
  </si>
  <si>
    <t>Romero</t>
  </si>
  <si>
    <t>Emerson</t>
  </si>
  <si>
    <t>Operations COO</t>
  </si>
  <si>
    <t>Sefferino</t>
  </si>
  <si>
    <t>Barratt</t>
  </si>
  <si>
    <t>Hooker</t>
  </si>
  <si>
    <t>Senthil</t>
  </si>
  <si>
    <t>Ingrid</t>
  </si>
  <si>
    <t>Kraemer</t>
  </si>
  <si>
    <t>Curran</t>
  </si>
  <si>
    <t>McNamara</t>
  </si>
  <si>
    <t>Martinelli</t>
  </si>
  <si>
    <t>Aarti</t>
  </si>
  <si>
    <t>COO - Global Markets and Quantitative Strategies</t>
  </si>
  <si>
    <t>Andresen</t>
  </si>
  <si>
    <t>Gleason</t>
  </si>
  <si>
    <t>Warner</t>
  </si>
  <si>
    <t>Pratyush</t>
  </si>
  <si>
    <t>J.</t>
  </si>
  <si>
    <t>Saravanan</t>
  </si>
  <si>
    <t>Krzysztof</t>
  </si>
  <si>
    <t>Krishna</t>
  </si>
  <si>
    <t>Randolph</t>
  </si>
  <si>
    <t>Lasota</t>
  </si>
  <si>
    <t>Coach</t>
  </si>
  <si>
    <t>Palaniappan</t>
  </si>
  <si>
    <t>Ullink</t>
  </si>
  <si>
    <t>Akiyama</t>
  </si>
  <si>
    <t>CASH</t>
  </si>
  <si>
    <t>Masashi</t>
  </si>
  <si>
    <t>Vice President Head of Japan EQ Products of</t>
  </si>
  <si>
    <t>Sato</t>
  </si>
  <si>
    <t>Ivav</t>
  </si>
  <si>
    <t>Sukianto</t>
  </si>
  <si>
    <t>Hemant</t>
  </si>
  <si>
    <t>Lindinger</t>
  </si>
  <si>
    <t>Case</t>
  </si>
  <si>
    <t>paul</t>
  </si>
  <si>
    <t>Slade</t>
  </si>
  <si>
    <t>Lupo</t>
  </si>
  <si>
    <t>Vice President -FX</t>
  </si>
  <si>
    <t>Bowman</t>
  </si>
  <si>
    <t>Dinesh</t>
  </si>
  <si>
    <t>Ghaisas</t>
  </si>
  <si>
    <t>Jhaveri</t>
  </si>
  <si>
    <t>Dale</t>
  </si>
  <si>
    <t>Sze</t>
  </si>
  <si>
    <t>Galvez</t>
  </si>
  <si>
    <t>Onyx Commodities</t>
  </si>
  <si>
    <t>Monahan</t>
  </si>
  <si>
    <t>Natan</t>
  </si>
  <si>
    <t>Weiner</t>
  </si>
  <si>
    <t>Vice President Systematic Trading</t>
  </si>
  <si>
    <t>Giesken</t>
  </si>
  <si>
    <t>Lakshmi</t>
  </si>
  <si>
    <t>Vice President Institutional Portfolio Services (GTS)</t>
  </si>
  <si>
    <t>Gist</t>
  </si>
  <si>
    <t>Bowden</t>
  </si>
  <si>
    <t>Vargas</t>
  </si>
  <si>
    <t>Soman</t>
  </si>
  <si>
    <t>Naresh</t>
  </si>
  <si>
    <t>Schreier</t>
  </si>
  <si>
    <t>Lemanik</t>
  </si>
  <si>
    <t>Linh</t>
  </si>
  <si>
    <t>Nicky</t>
  </si>
  <si>
    <t>Joan</t>
  </si>
  <si>
    <t>Daisuke</t>
  </si>
  <si>
    <t>Nakashima</t>
  </si>
  <si>
    <t>Mantchovski</t>
  </si>
  <si>
    <t>Assistant Vice President EMEA Expense Management</t>
  </si>
  <si>
    <t>Burrows</t>
  </si>
  <si>
    <t>Dalton</t>
  </si>
  <si>
    <t>Chetan</t>
  </si>
  <si>
    <t>Sven</t>
  </si>
  <si>
    <t>Kraft</t>
  </si>
  <si>
    <t>Manek</t>
  </si>
  <si>
    <t>Jing</t>
  </si>
  <si>
    <t>Hunt</t>
  </si>
  <si>
    <t>Bentinck</t>
  </si>
  <si>
    <t>Tham</t>
  </si>
  <si>
    <t>Heim</t>
  </si>
  <si>
    <t>Hermann</t>
  </si>
  <si>
    <t>ClearBridge Investments</t>
  </si>
  <si>
    <t>Marjorie</t>
  </si>
  <si>
    <t>Tredgett</t>
  </si>
  <si>
    <t>Lento</t>
  </si>
  <si>
    <t>Clearstream</t>
  </si>
  <si>
    <t>Clearwater Advisors</t>
  </si>
  <si>
    <t>Richardson</t>
  </si>
  <si>
    <t>Close Brothers</t>
  </si>
  <si>
    <t>Koffler</t>
  </si>
  <si>
    <t>CME Group</t>
  </si>
  <si>
    <t>Mary Kate</t>
  </si>
  <si>
    <t>Swanson</t>
  </si>
  <si>
    <t>Alp</t>
  </si>
  <si>
    <t>Coleman Group</t>
  </si>
  <si>
    <t>Colt Technology Services</t>
  </si>
  <si>
    <t>Burton</t>
  </si>
  <si>
    <t>Saleem</t>
  </si>
  <si>
    <t>Millard</t>
  </si>
  <si>
    <t>Sandra</t>
  </si>
  <si>
    <t>CIO Investment Banking &amp; International</t>
  </si>
  <si>
    <t>Batchelor</t>
  </si>
  <si>
    <t>Savage</t>
  </si>
  <si>
    <t>Mueller</t>
  </si>
  <si>
    <t>Emma</t>
  </si>
  <si>
    <t>Michal</t>
  </si>
  <si>
    <t>Vice President/ Group manager GS ITR Market Connectivity</t>
  </si>
  <si>
    <t>Feldmann</t>
  </si>
  <si>
    <t>Lord</t>
  </si>
  <si>
    <t>MD CIO IB</t>
  </si>
  <si>
    <t>Hayley</t>
  </si>
  <si>
    <t>PA of James Tanner MD &amp; CIO IB</t>
  </si>
  <si>
    <t>McDermid</t>
  </si>
  <si>
    <t>Sargent</t>
  </si>
  <si>
    <t>Yau</t>
  </si>
  <si>
    <t>Vice President - Engineering Infrastructure</t>
  </si>
  <si>
    <t>Connamara</t>
  </si>
  <si>
    <t>Downs</t>
  </si>
  <si>
    <t>Goetz</t>
  </si>
  <si>
    <t>Cantor</t>
  </si>
  <si>
    <t>DeMonte</t>
  </si>
  <si>
    <t>Alvin</t>
  </si>
  <si>
    <t>Geraci</t>
  </si>
  <si>
    <t>Marshall</t>
  </si>
  <si>
    <t>Dowling</t>
  </si>
  <si>
    <t>McKeown</t>
  </si>
  <si>
    <t>Sokol</t>
  </si>
  <si>
    <t>Zaidi</t>
  </si>
  <si>
    <t>Freda</t>
  </si>
  <si>
    <t>Yi</t>
  </si>
  <si>
    <t>Riyad Capital</t>
  </si>
  <si>
    <t>Caxton</t>
  </si>
  <si>
    <t>CQS</t>
  </si>
  <si>
    <t>Cremel</t>
  </si>
  <si>
    <t>Vyas</t>
  </si>
  <si>
    <t>Vijay</t>
  </si>
  <si>
    <t>Schwab</t>
  </si>
  <si>
    <t>Dodgson</t>
  </si>
  <si>
    <t>COO / CFO &amp; CC | Client Onboarding Services</t>
  </si>
  <si>
    <t>Flint</t>
  </si>
  <si>
    <t>COO Private Banking and Wealth Management</t>
  </si>
  <si>
    <t>Sipp</t>
  </si>
  <si>
    <t>Chamberlain</t>
  </si>
  <si>
    <t>Nichola</t>
  </si>
  <si>
    <t>Castanha</t>
  </si>
  <si>
    <t>Shoji</t>
  </si>
  <si>
    <t>Masatoshi</t>
  </si>
  <si>
    <t>Vice President - IT</t>
  </si>
  <si>
    <t>Abed</t>
  </si>
  <si>
    <t>Bistriteanu</t>
  </si>
  <si>
    <t>IBA Chairman Chief Executive</t>
  </si>
  <si>
    <t>Kuo</t>
  </si>
  <si>
    <t>Webster</t>
  </si>
  <si>
    <t>Luongo</t>
  </si>
  <si>
    <t>Sergei</t>
  </si>
  <si>
    <t>CDAM</t>
  </si>
  <si>
    <t>Vlad</t>
  </si>
  <si>
    <t>Vice President - Listed Derivatives</t>
  </si>
  <si>
    <t>Hay</t>
  </si>
  <si>
    <t>Faulkner</t>
  </si>
  <si>
    <t>Niall</t>
  </si>
  <si>
    <t>Bush</t>
  </si>
  <si>
    <t>CSC</t>
  </si>
  <si>
    <t>Co-President &amp; CFO</t>
  </si>
  <si>
    <t>Mikkelson</t>
  </si>
  <si>
    <t>Currenex</t>
  </si>
  <si>
    <t>Chief Operating Officer and Senior Managing Director</t>
  </si>
  <si>
    <t>Newns</t>
  </si>
  <si>
    <t>D.A. Davidson Investment Banking</t>
  </si>
  <si>
    <t>Vice President of Information Technology</t>
  </si>
  <si>
    <t>Lassila</t>
  </si>
  <si>
    <t>Corey</t>
  </si>
  <si>
    <t>Debbie</t>
  </si>
  <si>
    <t>Skyler</t>
  </si>
  <si>
    <t>Bloxham</t>
  </si>
  <si>
    <t>D1 Capital Partners L.P.</t>
  </si>
  <si>
    <t>Shuichi</t>
  </si>
  <si>
    <t>Hiroyuki</t>
  </si>
  <si>
    <t>Yuka</t>
  </si>
  <si>
    <t>Chief Information Officer EMEA &amp; Global Head of Derivatives IT</t>
  </si>
  <si>
    <t>Brice</t>
  </si>
  <si>
    <t>Samson</t>
  </si>
  <si>
    <t>To</t>
  </si>
  <si>
    <t>Toshihiro</t>
  </si>
  <si>
    <t>Ishii</t>
  </si>
  <si>
    <t>Executive Vice President CTO Daiwa US</t>
  </si>
  <si>
    <t>Ned</t>
  </si>
  <si>
    <t>Co-CIO EVP</t>
  </si>
  <si>
    <t>Tada</t>
  </si>
  <si>
    <t>Satoshi</t>
  </si>
  <si>
    <t>Herman</t>
  </si>
  <si>
    <t>Dalzell Trading</t>
  </si>
  <si>
    <t>Principal CEO</t>
  </si>
  <si>
    <t>Dalzell</t>
  </si>
  <si>
    <t>Senior Vice President Corporates and Institution</t>
  </si>
  <si>
    <t>Westergaard Jensen</t>
  </si>
  <si>
    <t>Lilmose</t>
  </si>
  <si>
    <t>Fredrik</t>
  </si>
  <si>
    <t>Ramos</t>
  </si>
  <si>
    <t>CIO Markets</t>
  </si>
  <si>
    <t>Sellers</t>
  </si>
  <si>
    <t>Troels</t>
  </si>
  <si>
    <t>Jylling</t>
  </si>
  <si>
    <t>Kim Westergaard</t>
  </si>
  <si>
    <t>Cedrus Park</t>
  </si>
  <si>
    <t>Moran</t>
  </si>
  <si>
    <t>DBS Bank</t>
  </si>
  <si>
    <t>Lui</t>
  </si>
  <si>
    <t>Foo</t>
  </si>
  <si>
    <t>Seng</t>
  </si>
  <si>
    <t>Qi Ming</t>
  </si>
  <si>
    <t>OW</t>
  </si>
  <si>
    <t>Siong</t>
  </si>
  <si>
    <t>Leibish</t>
  </si>
  <si>
    <t>Deimos Space UK</t>
  </si>
  <si>
    <t>Varki</t>
  </si>
  <si>
    <t>McKerr</t>
  </si>
  <si>
    <t>DekaBank</t>
  </si>
  <si>
    <t>Sanghvi</t>
  </si>
  <si>
    <t>Dmitriy</t>
  </si>
  <si>
    <t>Director COO Global Technology</t>
  </si>
  <si>
    <t>Eagleson</t>
  </si>
  <si>
    <t>Flatley</t>
  </si>
  <si>
    <t>Assistant Vice President - Global Markets</t>
  </si>
  <si>
    <t>Jury</t>
  </si>
  <si>
    <t>Helio</t>
  </si>
  <si>
    <t>Vice President London Regional Head Ges Operations</t>
  </si>
  <si>
    <t>Weaver</t>
  </si>
  <si>
    <t>Cora</t>
  </si>
  <si>
    <t>Norton</t>
  </si>
  <si>
    <t>Vera</t>
  </si>
  <si>
    <t>Stanislav</t>
  </si>
  <si>
    <t>Olga</t>
  </si>
  <si>
    <t>Shantanu</t>
  </si>
  <si>
    <t>Georgy</t>
  </si>
  <si>
    <t>Filip</t>
  </si>
  <si>
    <t>Assistant Vice President Global Technology Capital Markets</t>
  </si>
  <si>
    <t>Rahat</t>
  </si>
  <si>
    <t>Hadi</t>
  </si>
  <si>
    <t>Cohn</t>
  </si>
  <si>
    <t>Hudson</t>
  </si>
  <si>
    <t>Prior</t>
  </si>
  <si>
    <t>Ferron</t>
  </si>
  <si>
    <t>Pritesh</t>
  </si>
  <si>
    <t>Bulsara</t>
  </si>
  <si>
    <t>Coffey</t>
  </si>
  <si>
    <t>Ebert</t>
  </si>
  <si>
    <t>Hassan</t>
  </si>
  <si>
    <t>Attanasio</t>
  </si>
  <si>
    <t>Beer</t>
  </si>
  <si>
    <t>Luu</t>
  </si>
  <si>
    <t>Barba</t>
  </si>
  <si>
    <t>CIO Brazil</t>
  </si>
  <si>
    <t>Vacarini</t>
  </si>
  <si>
    <t>Newbold</t>
  </si>
  <si>
    <t>Svetlana</t>
  </si>
  <si>
    <t>Tissot</t>
  </si>
  <si>
    <t>Jit</t>
  </si>
  <si>
    <t>Brogan</t>
  </si>
  <si>
    <t>Gerry</t>
  </si>
  <si>
    <t>Ackermann</t>
  </si>
  <si>
    <t>Farley</t>
  </si>
  <si>
    <t>Standish</t>
  </si>
  <si>
    <t>Edmond</t>
  </si>
  <si>
    <t>Konstantin</t>
  </si>
  <si>
    <t>Noreen</t>
  </si>
  <si>
    <t>Vice President Prime Brokerage Connectivity</t>
  </si>
  <si>
    <t>Aleksey</t>
  </si>
  <si>
    <t>Brockington</t>
  </si>
  <si>
    <t>Vice President Deployment Management Specialist</t>
  </si>
  <si>
    <t>Nieves</t>
  </si>
  <si>
    <t>Hawes</t>
  </si>
  <si>
    <t>COO CIB</t>
  </si>
  <si>
    <t>Reeves</t>
  </si>
  <si>
    <t>Managing Director CIO Investment Banking Technology</t>
  </si>
  <si>
    <t>COO of trading and product dvpt</t>
  </si>
  <si>
    <t>Catrambone</t>
  </si>
  <si>
    <t>Myers</t>
  </si>
  <si>
    <t>Diamond</t>
  </si>
  <si>
    <t>Kaneko</t>
  </si>
  <si>
    <t>COO Delta One</t>
  </si>
  <si>
    <t>Brocklehurst</t>
  </si>
  <si>
    <t>Shari</t>
  </si>
  <si>
    <t>COO Global Equity Derivatives</t>
  </si>
  <si>
    <t>Hatt</t>
  </si>
  <si>
    <t>Goykhman</t>
  </si>
  <si>
    <t>YouMe</t>
  </si>
  <si>
    <t>Tomono</t>
  </si>
  <si>
    <t>Hirano</t>
  </si>
  <si>
    <t>Tadashi</t>
  </si>
  <si>
    <t>Fukuda</t>
  </si>
  <si>
    <t>Hogan</t>
  </si>
  <si>
    <t>COO Capital Markets FX Structured Products</t>
  </si>
  <si>
    <t>Mandal</t>
  </si>
  <si>
    <t>DG &amp; Associates Inc.</t>
  </si>
  <si>
    <t>Manu</t>
  </si>
  <si>
    <t>President &amp; Portfolio Mgr.</t>
  </si>
  <si>
    <t>Daftary</t>
  </si>
  <si>
    <t>Hurd</t>
  </si>
  <si>
    <t>McAuley</t>
  </si>
  <si>
    <t>Turnbull</t>
  </si>
  <si>
    <t>Dimensional Fund Advisors</t>
  </si>
  <si>
    <t>Hutchison</t>
  </si>
  <si>
    <t>Certent</t>
  </si>
  <si>
    <t>Co-Chief Executive Officer</t>
  </si>
  <si>
    <t>Romiza</t>
  </si>
  <si>
    <t>Wise</t>
  </si>
  <si>
    <t>Deane</t>
  </si>
  <si>
    <t>Vice President and Portfolio Manager</t>
  </si>
  <si>
    <t>Direct Access USA</t>
  </si>
  <si>
    <t>James "Jim"</t>
  </si>
  <si>
    <t>COO - Floor Broker</t>
  </si>
  <si>
    <t>Pfeffer</t>
  </si>
  <si>
    <t>Wallentin</t>
  </si>
  <si>
    <t>DNB Markets</t>
  </si>
  <si>
    <t>Dag</t>
  </si>
  <si>
    <t>Eirik</t>
  </si>
  <si>
    <t>Rune</t>
  </si>
  <si>
    <t>Bjerke</t>
  </si>
  <si>
    <t>Palmer</t>
  </si>
  <si>
    <t>Assistant Vice President Compliance</t>
  </si>
  <si>
    <t>Estes</t>
  </si>
  <si>
    <t>Erikson</t>
  </si>
  <si>
    <t>Dorman Trading</t>
  </si>
  <si>
    <t>Dorman</t>
  </si>
  <si>
    <t>Witter</t>
  </si>
  <si>
    <t>Drexel Hamilton</t>
  </si>
  <si>
    <t>Gorbora</t>
  </si>
  <si>
    <t>DriveWealth Institutional</t>
  </si>
  <si>
    <t>Mital</t>
  </si>
  <si>
    <t>DRW</t>
  </si>
  <si>
    <t>Jeffery</t>
  </si>
  <si>
    <t>Levoff</t>
  </si>
  <si>
    <t>Donald R. Wilson J. R.</t>
  </si>
  <si>
    <t>Doron</t>
  </si>
  <si>
    <t>Lyle</t>
  </si>
  <si>
    <t>Breslow</t>
  </si>
  <si>
    <t>Founder CEO</t>
  </si>
  <si>
    <t>Vice President &amp; Senior Derivatives</t>
  </si>
  <si>
    <t>Wales</t>
  </si>
  <si>
    <t>Anatoliy</t>
  </si>
  <si>
    <t>Yudovich</t>
  </si>
  <si>
    <t>Chou</t>
  </si>
  <si>
    <t>Alison</t>
  </si>
  <si>
    <t>Chadwick</t>
  </si>
  <si>
    <t>Dubai Gold &amp; Commodities Exchange</t>
  </si>
  <si>
    <t>Les</t>
  </si>
  <si>
    <t>Male</t>
  </si>
  <si>
    <t>Ignall</t>
  </si>
  <si>
    <t>CFM</t>
  </si>
  <si>
    <t>Curt</t>
  </si>
  <si>
    <t>Clive</t>
  </si>
  <si>
    <t>Mellett</t>
  </si>
  <si>
    <t>Larason</t>
  </si>
  <si>
    <t>Saro</t>
  </si>
  <si>
    <t>Jahani</t>
  </si>
  <si>
    <t>Jean-Pierre</t>
  </si>
  <si>
    <t>Aguilar</t>
  </si>
  <si>
    <t>Hach</t>
  </si>
  <si>
    <t>Eleanor</t>
  </si>
  <si>
    <t>Liam</t>
  </si>
  <si>
    <t>Ramasamy</t>
  </si>
  <si>
    <t>Jarrett</t>
  </si>
  <si>
    <t>Lilien</t>
  </si>
  <si>
    <t>McAllister</t>
  </si>
  <si>
    <t>Eagle Strategies LLC</t>
  </si>
  <si>
    <t>CFT Securities</t>
  </si>
  <si>
    <t>Citizens Bank</t>
  </si>
  <si>
    <t>Schonfeld Strategic Advisers</t>
  </si>
  <si>
    <t>COO/  CCO</t>
  </si>
  <si>
    <t>Dea</t>
  </si>
  <si>
    <t>Krzystek</t>
  </si>
  <si>
    <t>Mirzabegian</t>
  </si>
  <si>
    <t>Lebedev</t>
  </si>
  <si>
    <t>Eaton Vance</t>
  </si>
  <si>
    <t>Mulcahy</t>
  </si>
  <si>
    <t>Wenzel</t>
  </si>
  <si>
    <t>Mulvihill</t>
  </si>
  <si>
    <t>Lori</t>
  </si>
  <si>
    <t>Pettit</t>
  </si>
  <si>
    <t>Rosen</t>
  </si>
  <si>
    <t>Chuck</t>
  </si>
  <si>
    <t>Howell</t>
  </si>
  <si>
    <t>Ronnie</t>
  </si>
  <si>
    <t>Conner</t>
  </si>
  <si>
    <t>Ott</t>
  </si>
  <si>
    <t>Berg</t>
  </si>
  <si>
    <t>CIO &amp; Principal</t>
  </si>
  <si>
    <t>Ferrari</t>
  </si>
  <si>
    <t>Raimbault</t>
  </si>
  <si>
    <t>Vice President - Head Of Equities Sales &amp; Execution</t>
  </si>
  <si>
    <t>Mombelli</t>
  </si>
  <si>
    <t>Bagnall</t>
  </si>
  <si>
    <t>Selby Jennings</t>
  </si>
  <si>
    <t>Emad</t>
  </si>
  <si>
    <t>Element Capital Management</t>
  </si>
  <si>
    <t>Leigh</t>
  </si>
  <si>
    <t>Feuerstein</t>
  </si>
  <si>
    <t>Dov</t>
  </si>
  <si>
    <t>Managing Director CFO</t>
  </si>
  <si>
    <t>Eisner</t>
  </si>
  <si>
    <t>ELEVA Capital</t>
  </si>
  <si>
    <t>Morrall</t>
  </si>
  <si>
    <t>Enfusion</t>
  </si>
  <si>
    <t>Seah</t>
  </si>
  <si>
    <t>Chancellor Dougall</t>
  </si>
  <si>
    <t>4KST</t>
  </si>
  <si>
    <t>Riccardo</t>
  </si>
  <si>
    <t>CEO &amp; Co-Founder</t>
  </si>
  <si>
    <t>Lanzuolo</t>
  </si>
  <si>
    <t>ENGIE Global Energy Management &amp; Sales</t>
  </si>
  <si>
    <t>Lowry</t>
  </si>
  <si>
    <t>Rosado</t>
  </si>
  <si>
    <t>Erik Penser Bank</t>
  </si>
  <si>
    <t>Claes-Henrik</t>
  </si>
  <si>
    <t>Julander</t>
  </si>
  <si>
    <t>Holmgren</t>
  </si>
  <si>
    <t>Lukas</t>
  </si>
  <si>
    <t>Erste Group</t>
  </si>
  <si>
    <t>Taiyo Pacific</t>
  </si>
  <si>
    <t>Palladiem</t>
  </si>
  <si>
    <t>Wolfgang</t>
  </si>
  <si>
    <t>Boyan</t>
  </si>
  <si>
    <t>Doris</t>
  </si>
  <si>
    <t>Gilson</t>
  </si>
  <si>
    <t>Presidente e CEO</t>
  </si>
  <si>
    <t>Finkelsztain</t>
  </si>
  <si>
    <t>Chardan Capital</t>
  </si>
  <si>
    <t>Propper</t>
  </si>
  <si>
    <t>Managing Director - Member of the Board</t>
  </si>
  <si>
    <t>Marek</t>
  </si>
  <si>
    <t>Chairman of the Management Board</t>
  </si>
  <si>
    <t>Hresic</t>
  </si>
  <si>
    <t>Hrvoje</t>
  </si>
  <si>
    <t>Member of the Management Board</t>
  </si>
  <si>
    <t>Krstulovic</t>
  </si>
  <si>
    <t>Eurex</t>
  </si>
  <si>
    <t>Samuels</t>
  </si>
  <si>
    <t>Vida</t>
  </si>
  <si>
    <t>Senior Vice President Institutional Investors</t>
  </si>
  <si>
    <t>Martini</t>
  </si>
  <si>
    <t>Eurobank</t>
  </si>
  <si>
    <t>Evergreen Capital Management INC</t>
  </si>
  <si>
    <t>Wyatt</t>
  </si>
  <si>
    <t>Feinstein</t>
  </si>
  <si>
    <t>Charles Stanley</t>
  </si>
  <si>
    <t>VanEck</t>
  </si>
  <si>
    <t>Vice President of | Etf Strategist   West Coast</t>
  </si>
  <si>
    <t>Cortese</t>
  </si>
  <si>
    <t>EXANE</t>
  </si>
  <si>
    <t>Zeke</t>
  </si>
  <si>
    <t>Dervish</t>
  </si>
  <si>
    <t>Massey</t>
  </si>
  <si>
    <t>COHEN</t>
  </si>
  <si>
    <t>Chanut</t>
  </si>
  <si>
    <t>Roche</t>
  </si>
  <si>
    <t>Maher</t>
  </si>
  <si>
    <t>Optimus Advisory</t>
  </si>
  <si>
    <t>Rumsey</t>
  </si>
  <si>
    <t>Wallis</t>
  </si>
  <si>
    <t>Anne Sophie</t>
  </si>
  <si>
    <t>Castaigne</t>
  </si>
  <si>
    <t>Exeq SA</t>
  </si>
  <si>
    <t>Bedretdinov</t>
  </si>
  <si>
    <t>ExodusPoint Capital Management</t>
  </si>
  <si>
    <t>Eze Software</t>
  </si>
  <si>
    <t>Galvin</t>
  </si>
  <si>
    <t>CheckFree Financial</t>
  </si>
  <si>
    <t>Quinlan</t>
  </si>
  <si>
    <t>National Bank Financial</t>
  </si>
  <si>
    <t>Coulter</t>
  </si>
  <si>
    <t>Alexa</t>
  </si>
  <si>
    <t>Member Board Of Directors</t>
  </si>
  <si>
    <t>Baggio</t>
  </si>
  <si>
    <t>Morrissey</t>
  </si>
  <si>
    <t>Co-founder | CEO</t>
  </si>
  <si>
    <t>Giacom?n Colyer</t>
  </si>
  <si>
    <t>Brankin</t>
  </si>
  <si>
    <t>Tribanco</t>
  </si>
  <si>
    <t>Shepherd</t>
  </si>
  <si>
    <t>Bryce</t>
  </si>
  <si>
    <t>Corcoran</t>
  </si>
  <si>
    <t>Fritz</t>
  </si>
  <si>
    <t>Krause</t>
  </si>
  <si>
    <t>TradeStation</t>
  </si>
  <si>
    <t>Dobrowski</t>
  </si>
  <si>
    <t>Tavira Securities</t>
  </si>
  <si>
    <t>Boivin</t>
  </si>
  <si>
    <t>Chirag</t>
  </si>
  <si>
    <t>Baxter</t>
  </si>
  <si>
    <t>Reese</t>
  </si>
  <si>
    <t>Hicks</t>
  </si>
  <si>
    <t>Sundaram</t>
  </si>
  <si>
    <t>Osif</t>
  </si>
  <si>
    <t>Vice President Network Systems</t>
  </si>
  <si>
    <t>Wolfson</t>
  </si>
  <si>
    <t>Stacy</t>
  </si>
  <si>
    <t>Viverito</t>
  </si>
  <si>
    <t>Zilberg</t>
  </si>
  <si>
    <t>Hartmann</t>
  </si>
  <si>
    <t>Mancini</t>
  </si>
  <si>
    <t>Chicago Board</t>
  </si>
  <si>
    <t>Federal Reserve Bank</t>
  </si>
  <si>
    <t>Ganesh</t>
  </si>
  <si>
    <t>Sheehy</t>
  </si>
  <si>
    <t>Vice President Development</t>
  </si>
  <si>
    <t>Trogele</t>
  </si>
  <si>
    <t>Carson</t>
  </si>
  <si>
    <t>Richman</t>
  </si>
  <si>
    <t>Black</t>
  </si>
  <si>
    <t>Dwivedi</t>
  </si>
  <si>
    <t>McLain</t>
  </si>
  <si>
    <t>Cashel</t>
  </si>
  <si>
    <t>Guirro</t>
  </si>
  <si>
    <t>TD Waterhouse</t>
  </si>
  <si>
    <t>Hammond</t>
  </si>
  <si>
    <t>Vice President Equity Trading</t>
  </si>
  <si>
    <t>McGraw</t>
  </si>
  <si>
    <t>Pratap</t>
  </si>
  <si>
    <t>Senior Vice President Institutional Trading Operations</t>
  </si>
  <si>
    <t>Moody</t>
  </si>
  <si>
    <t>Hickey</t>
  </si>
  <si>
    <t>Fabiano</t>
  </si>
  <si>
    <t>Mullin</t>
  </si>
  <si>
    <t>Bhatt</t>
  </si>
  <si>
    <t>Conley</t>
  </si>
  <si>
    <t>Grover</t>
  </si>
  <si>
    <t>Senior Vice President - Department Head</t>
  </si>
  <si>
    <t>Bellerose</t>
  </si>
  <si>
    <t>Trujillo</t>
  </si>
  <si>
    <t>Twenty Four</t>
  </si>
  <si>
    <t>Norris</t>
  </si>
  <si>
    <t>Carver</t>
  </si>
  <si>
    <t>Tapas</t>
  </si>
  <si>
    <t>Hall</t>
  </si>
  <si>
    <t>Linehan</t>
  </si>
  <si>
    <t>Maguire</t>
  </si>
  <si>
    <t>Farrell</t>
  </si>
  <si>
    <t>Llewellyn-Jones</t>
  </si>
  <si>
    <t>Vice President Information Technology</t>
  </si>
  <si>
    <t>Shana</t>
  </si>
  <si>
    <t>CEO Canada</t>
  </si>
  <si>
    <t>Hakker</t>
  </si>
  <si>
    <t>Dineen</t>
  </si>
  <si>
    <t>CLAUDIO</t>
  </si>
  <si>
    <t>PRACOWNIK</t>
  </si>
  <si>
    <t>Hooke</t>
  </si>
  <si>
    <t>K.</t>
  </si>
  <si>
    <t>Fundador &amp; CEO</t>
  </si>
  <si>
    <t>Cat?o</t>
  </si>
  <si>
    <t>Chairman of the Board</t>
  </si>
  <si>
    <t>Eduardo Martins</t>
  </si>
  <si>
    <t>Collazo</t>
  </si>
  <si>
    <t>Metcalfe</t>
  </si>
  <si>
    <t>Tabin</t>
  </si>
  <si>
    <t>Vice President of   Head of Etf Implementation and Capital Markets</t>
  </si>
  <si>
    <t>Doran</t>
  </si>
  <si>
    <t>Ames</t>
  </si>
  <si>
    <t>Nokes</t>
  </si>
  <si>
    <t>Tekne</t>
  </si>
  <si>
    <t>Imran</t>
  </si>
  <si>
    <t>Stone</t>
  </si>
  <si>
    <t>Fiera Capital</t>
  </si>
  <si>
    <t>Sylvain</t>
  </si>
  <si>
    <t>Colleen</t>
  </si>
  <si>
    <t>Chicago Stock</t>
  </si>
  <si>
    <t>First Allied Securities Inc.</t>
  </si>
  <si>
    <t>First Derivatives</t>
  </si>
  <si>
    <t>Conlon</t>
  </si>
  <si>
    <t>Shanks</t>
  </si>
  <si>
    <t>Micheal</t>
  </si>
  <si>
    <t>Prendergast</t>
  </si>
  <si>
    <t>Vaz</t>
  </si>
  <si>
    <t>First Trust Global Portfolios</t>
  </si>
  <si>
    <t>Margolin</t>
  </si>
  <si>
    <t>Morasco</t>
  </si>
  <si>
    <t>McLaughlin</t>
  </si>
  <si>
    <t>Jeanine</t>
  </si>
  <si>
    <t>Assistant to John More (CIO)</t>
  </si>
  <si>
    <t>Mury</t>
  </si>
  <si>
    <t>Wilk</t>
  </si>
  <si>
    <t>Fixnetix</t>
  </si>
  <si>
    <t>Chilton Investment</t>
  </si>
  <si>
    <t>Steinthal</t>
  </si>
  <si>
    <t>Flow Traders</t>
  </si>
  <si>
    <t>Wouter</t>
  </si>
  <si>
    <t>Buitenhuis</t>
  </si>
  <si>
    <t>Joerg</t>
  </si>
  <si>
    <t>Nathaniel</t>
  </si>
  <si>
    <t>Fodor</t>
  </si>
  <si>
    <t>Fabian</t>
  </si>
  <si>
    <t>USCF Investments</t>
  </si>
  <si>
    <t>Baum</t>
  </si>
  <si>
    <t>Sjoerd</t>
  </si>
  <si>
    <t>Rietberg</t>
  </si>
  <si>
    <t>Gomez</t>
  </si>
  <si>
    <t>Moss</t>
  </si>
  <si>
    <t>Forrester</t>
  </si>
  <si>
    <t>Godwin</t>
  </si>
  <si>
    <t>Cote</t>
  </si>
  <si>
    <t>Fergus</t>
  </si>
  <si>
    <t>Fusion Bank</t>
  </si>
  <si>
    <t>Ksenia</t>
  </si>
  <si>
    <t>Bobkova</t>
  </si>
  <si>
    <t>WT Asset</t>
  </si>
  <si>
    <t>Heilner</t>
  </si>
  <si>
    <t>Futures First</t>
  </si>
  <si>
    <t>CEO in India</t>
  </si>
  <si>
    <t>Jingbo</t>
  </si>
  <si>
    <t>Nunes</t>
  </si>
  <si>
    <t>Gedik Yatirim</t>
  </si>
  <si>
    <t>Alyssa</t>
  </si>
  <si>
    <t>Genesis Global Trading</t>
  </si>
  <si>
    <t>COO &amp; Dir. Operations</t>
  </si>
  <si>
    <t>Moller-Butcher</t>
  </si>
  <si>
    <t>ShoreHaven Wealth Partners</t>
  </si>
  <si>
    <t>Durso</t>
  </si>
  <si>
    <t>GFI Group</t>
  </si>
  <si>
    <t>China Foreign</t>
  </si>
  <si>
    <t>Wexler</t>
  </si>
  <si>
    <t>LGBTQ Loyalty</t>
  </si>
  <si>
    <t>Levi</t>
  </si>
  <si>
    <t>Zucker</t>
  </si>
  <si>
    <t>O'Donnell</t>
  </si>
  <si>
    <t>Hirschorn</t>
  </si>
  <si>
    <t>LEVY</t>
  </si>
  <si>
    <t>ION Trading</t>
  </si>
  <si>
    <t>Fabrizzio</t>
  </si>
  <si>
    <t>Marchetti</t>
  </si>
  <si>
    <t>Heffron</t>
  </si>
  <si>
    <t>Prash</t>
  </si>
  <si>
    <t>Mitkov</t>
  </si>
  <si>
    <t>Doucette</t>
  </si>
  <si>
    <t>Vladislav</t>
  </si>
  <si>
    <t>Marchant</t>
  </si>
  <si>
    <t>Gooch</t>
  </si>
  <si>
    <t>GH Financials</t>
  </si>
  <si>
    <t>Terra Nova</t>
  </si>
  <si>
    <t>Gladius Capital Management LP</t>
  </si>
  <si>
    <t>Farrel</t>
  </si>
  <si>
    <t>Magac</t>
  </si>
  <si>
    <t>Glenview Capital</t>
  </si>
  <si>
    <t>Horowitz</t>
  </si>
  <si>
    <t>Rodin</t>
  </si>
  <si>
    <t>Global X ETFs</t>
  </si>
  <si>
    <t>CFO COO</t>
  </si>
  <si>
    <t>Berruga</t>
  </si>
  <si>
    <t>Glovista Investments</t>
  </si>
  <si>
    <t>Luo</t>
  </si>
  <si>
    <t>Espinal</t>
  </si>
  <si>
    <t>Equity Advisor Solutions</t>
  </si>
  <si>
    <t>Gerdes</t>
  </si>
  <si>
    <t>Pell</t>
  </si>
  <si>
    <t>Amrita</t>
  </si>
  <si>
    <t>Micek</t>
  </si>
  <si>
    <t>Mithun</t>
  </si>
  <si>
    <t>Azhagappan</t>
  </si>
  <si>
    <t>Tito</t>
  </si>
  <si>
    <t>Meg</t>
  </si>
  <si>
    <t>Pritsker</t>
  </si>
  <si>
    <t>China Industrial</t>
  </si>
  <si>
    <t>Jiaxi</t>
  </si>
  <si>
    <t>Nangalia</t>
  </si>
  <si>
    <t>Shrenik</t>
  </si>
  <si>
    <t>Kasturi</t>
  </si>
  <si>
    <t>Pritchard</t>
  </si>
  <si>
    <t>Riedel</t>
  </si>
  <si>
    <t>Dermot</t>
  </si>
  <si>
    <t>Harriss</t>
  </si>
  <si>
    <t>Yiwu</t>
  </si>
  <si>
    <t>Selina</t>
  </si>
  <si>
    <t>Baig</t>
  </si>
  <si>
    <t>Bryant</t>
  </si>
  <si>
    <t>Conti</t>
  </si>
  <si>
    <t>McCreesh</t>
  </si>
  <si>
    <t>Maithil</t>
  </si>
  <si>
    <t>Sidd</t>
  </si>
  <si>
    <t>Chhabria</t>
  </si>
  <si>
    <t>Zmajkovic</t>
  </si>
  <si>
    <t>OTC Markets</t>
  </si>
  <si>
    <t>Ajit</t>
  </si>
  <si>
    <t>Corrie</t>
  </si>
  <si>
    <t>Elston</t>
  </si>
  <si>
    <t>TFS Capital</t>
  </si>
  <si>
    <t>Cawley</t>
  </si>
  <si>
    <t>COO Trad-X</t>
  </si>
  <si>
    <t>Dudon</t>
  </si>
  <si>
    <t>Rosauro</t>
  </si>
  <si>
    <t>Tapia</t>
  </si>
  <si>
    <t>Scher</t>
  </si>
  <si>
    <t>Tunde</t>
  </si>
  <si>
    <t>Dariush</t>
  </si>
  <si>
    <t>Nazem</t>
  </si>
  <si>
    <t>Arianne</t>
  </si>
  <si>
    <t>Criqui</t>
  </si>
  <si>
    <t>Bateman</t>
  </si>
  <si>
    <t>Hung</t>
  </si>
  <si>
    <t>Hua</t>
  </si>
  <si>
    <t>Goodwin</t>
  </si>
  <si>
    <t>Tamas</t>
  </si>
  <si>
    <t>Prateek</t>
  </si>
  <si>
    <t>Founder / CEO</t>
  </si>
  <si>
    <t>Flannery</t>
  </si>
  <si>
    <t>Venugopal</t>
  </si>
  <si>
    <t>Akshay</t>
  </si>
  <si>
    <t>Sajid</t>
  </si>
  <si>
    <t>Wiggins</t>
  </si>
  <si>
    <t>Keigo</t>
  </si>
  <si>
    <t>Harada</t>
  </si>
  <si>
    <t>Kashihara</t>
  </si>
  <si>
    <t>Lakith</t>
  </si>
  <si>
    <t>Leelasena</t>
  </si>
  <si>
    <t>Masahito</t>
  </si>
  <si>
    <t>Toma</t>
  </si>
  <si>
    <t>Naomi</t>
  </si>
  <si>
    <t>(2011July) Vice President</t>
  </si>
  <si>
    <t>Howarth</t>
  </si>
  <si>
    <t>Li Makiguchi</t>
  </si>
  <si>
    <t>Goodbody</t>
  </si>
  <si>
    <t>China Life</t>
  </si>
  <si>
    <t>Goshen Investments</t>
  </si>
  <si>
    <t>steve</t>
  </si>
  <si>
    <t>Great Pacific Securities</t>
  </si>
  <si>
    <t>Kerrigan</t>
  </si>
  <si>
    <t>Vinck</t>
  </si>
  <si>
    <t>Hayden</t>
  </si>
  <si>
    <t>XP Inc.</t>
  </si>
  <si>
    <t>Greenwich Dealing</t>
  </si>
  <si>
    <t>Alec</t>
  </si>
  <si>
    <t>Blakey</t>
  </si>
  <si>
    <t>Newton</t>
  </si>
  <si>
    <t>Griffin Asset Management</t>
  </si>
  <si>
    <t>Group One Trading LP</t>
  </si>
  <si>
    <t>Axel</t>
  </si>
  <si>
    <t>Dempsey</t>
  </si>
  <si>
    <t>CEO &amp; Founder</t>
  </si>
  <si>
    <t>Mercado</t>
  </si>
  <si>
    <t>Saini</t>
  </si>
  <si>
    <t>Lieberman</t>
  </si>
  <si>
    <t>Haitong International Securities Group Limited</t>
  </si>
  <si>
    <t>Head of Equity Operations/ Assistant Vice President</t>
  </si>
  <si>
    <t>Steclik</t>
  </si>
  <si>
    <t>Salvador</t>
  </si>
  <si>
    <t>Conan</t>
  </si>
  <si>
    <t>CEO e Fundador</t>
  </si>
  <si>
    <t>Barboza</t>
  </si>
  <si>
    <t>frederick</t>
  </si>
  <si>
    <t>Thales Fund</t>
  </si>
  <si>
    <t>Vuk Bajovic</t>
  </si>
  <si>
    <t>Rui</t>
  </si>
  <si>
    <t>COO - London</t>
  </si>
  <si>
    <t>Lie</t>
  </si>
  <si>
    <t>Ni</t>
  </si>
  <si>
    <t>Bejile</t>
  </si>
  <si>
    <t>Mak</t>
  </si>
  <si>
    <t>Senior Vice President Head of Trading &amp; Settlement Division</t>
  </si>
  <si>
    <t>Dr.</t>
  </si>
  <si>
    <t>Kristoffer</t>
  </si>
  <si>
    <t>Mats</t>
  </si>
  <si>
    <t>Jayne</t>
  </si>
  <si>
    <t>Vice President of   Etf Specialist</t>
  </si>
  <si>
    <t>Geffon</t>
  </si>
  <si>
    <t>China Renaissance</t>
  </si>
  <si>
    <t>Hartree Partners</t>
  </si>
  <si>
    <t>Kutakoff</t>
  </si>
  <si>
    <t>HELABA</t>
  </si>
  <si>
    <t>Belke</t>
  </si>
  <si>
    <t>Bachmann</t>
  </si>
  <si>
    <t>Christian R.</t>
  </si>
  <si>
    <t>" Chief Executive Officer at IT Professionals AG  "</t>
  </si>
  <si>
    <t>Culver</t>
  </si>
  <si>
    <t>Hidden Road</t>
  </si>
  <si>
    <t>Asch</t>
  </si>
  <si>
    <t>Hong Kong Exchanges and Clearing</t>
  </si>
  <si>
    <t>Sadler</t>
  </si>
  <si>
    <t>Vice President- Group Strategy</t>
  </si>
  <si>
    <t>Simplify</t>
  </si>
  <si>
    <t>Berns</t>
  </si>
  <si>
    <t>Horizon Capital</t>
  </si>
  <si>
    <t>Doerr</t>
  </si>
  <si>
    <t>CEO Managing partner</t>
  </si>
  <si>
    <t>Paolella</t>
  </si>
  <si>
    <t>Rami</t>
  </si>
  <si>
    <t>Assistant Vice President Cross Asset FIX Connectivity</t>
  </si>
  <si>
    <t>Senior Vice President Trading Systems</t>
  </si>
  <si>
    <t>Weir</t>
  </si>
  <si>
    <t>CIO and Head of Brasil GBM IT</t>
  </si>
  <si>
    <t>Bogdan</t>
  </si>
  <si>
    <t>Shailesh</t>
  </si>
  <si>
    <t>Kurk</t>
  </si>
  <si>
    <t>Vice President / Trading Floor Support</t>
  </si>
  <si>
    <t>Kellenbence</t>
  </si>
  <si>
    <t>Siegel</t>
  </si>
  <si>
    <t>Pelis</t>
  </si>
  <si>
    <t>Gibbins</t>
  </si>
  <si>
    <t>Woo</t>
  </si>
  <si>
    <t>Patty</t>
  </si>
  <si>
    <t>Chambers</t>
  </si>
  <si>
    <t>Da Gioz</t>
  </si>
  <si>
    <t>Gillian</t>
  </si>
  <si>
    <t>The Financial</t>
  </si>
  <si>
    <t>CHI-X</t>
  </si>
  <si>
    <t>Humphrey</t>
  </si>
  <si>
    <t>Webber</t>
  </si>
  <si>
    <t>Miner</t>
  </si>
  <si>
    <t>Dinas</t>
  </si>
  <si>
    <t>Xiang</t>
  </si>
  <si>
    <t>IBA Vice Chairman Country Manager</t>
  </si>
  <si>
    <t>Milne</t>
  </si>
  <si>
    <t>Rybicki</t>
  </si>
  <si>
    <t>Huatai Securities</t>
  </si>
  <si>
    <t>Assistant Vice President of Information Technology Department</t>
  </si>
  <si>
    <t>Hon</t>
  </si>
  <si>
    <t>Konstantinos</t>
  </si>
  <si>
    <t>Trapalis</t>
  </si>
  <si>
    <t>Furness</t>
  </si>
  <si>
    <t>English</t>
  </si>
  <si>
    <t>Zacks Investment Management</t>
  </si>
  <si>
    <t>Vice President of   Midwest Region</t>
  </si>
  <si>
    <t>Hiromi</t>
  </si>
  <si>
    <t>Chaves</t>
  </si>
  <si>
    <t>Queiroga</t>
  </si>
  <si>
    <t>Janine</t>
  </si>
  <si>
    <t>Lancaster</t>
  </si>
  <si>
    <t>Kenichi</t>
  </si>
  <si>
    <t>Heinrich</t>
  </si>
  <si>
    <t>Churchill Capital</t>
  </si>
  <si>
    <t>Castellano</t>
  </si>
  <si>
    <t>Marcial</t>
  </si>
  <si>
    <t>Neff</t>
  </si>
  <si>
    <t>President-NY CC</t>
  </si>
  <si>
    <t>Haase</t>
  </si>
  <si>
    <t>President &amp; COO</t>
  </si>
  <si>
    <t>Gil</t>
  </si>
  <si>
    <t>Kapani</t>
  </si>
  <si>
    <t>IEX</t>
  </si>
  <si>
    <t>Schwall</t>
  </si>
  <si>
    <t>Trudeau</t>
  </si>
  <si>
    <t>IG</t>
  </si>
  <si>
    <t>Dickinson</t>
  </si>
  <si>
    <t>Pictet</t>
  </si>
  <si>
    <t>Mack</t>
  </si>
  <si>
    <t>Noble</t>
  </si>
  <si>
    <t>Ana</t>
  </si>
  <si>
    <t>First Trust</t>
  </si>
  <si>
    <t>Sri Gouri</t>
  </si>
  <si>
    <t>Dondeti</t>
  </si>
  <si>
    <t>Bhatnagar</t>
  </si>
  <si>
    <t>Tomasz</t>
  </si>
  <si>
    <t>Saddle River Capital Management</t>
  </si>
  <si>
    <t>Vice President - Sales</t>
  </si>
  <si>
    <t>Binh</t>
  </si>
  <si>
    <t>Vice President Head of Equity Indices</t>
  </si>
  <si>
    <t>Ha</t>
  </si>
  <si>
    <t>Jagan</t>
  </si>
  <si>
    <t>Vice President of (Mgr)</t>
  </si>
  <si>
    <t>Indugu</t>
  </si>
  <si>
    <t>Weitz</t>
  </si>
  <si>
    <t>Wojciechowski</t>
  </si>
  <si>
    <t>Accel</t>
  </si>
  <si>
    <t>Lemoine</t>
  </si>
  <si>
    <t>Schaefer</t>
  </si>
  <si>
    <t>Clancy</t>
  </si>
  <si>
    <t>Vice President of, Alternative Investments</t>
  </si>
  <si>
    <t>Infront</t>
  </si>
  <si>
    <t>Dick</t>
  </si>
  <si>
    <t>Mirae Asset Investment Managers</t>
  </si>
  <si>
    <t>Joao Lucio</t>
  </si>
  <si>
    <t>CEO and co-founder</t>
  </si>
  <si>
    <t>de Azevedo Filho</t>
  </si>
  <si>
    <t>Abrams</t>
  </si>
  <si>
    <t>Wil</t>
  </si>
  <si>
    <t>Dijkstra</t>
  </si>
  <si>
    <t>Vice President - Financial Markets Solutions Delivery</t>
  </si>
  <si>
    <t>Sonia</t>
  </si>
  <si>
    <t>Becker</t>
  </si>
  <si>
    <t>Hijligenberg</t>
  </si>
  <si>
    <t>William Blair</t>
  </si>
  <si>
    <t>Members Trust Company</t>
  </si>
  <si>
    <t>Ritzenthaler</t>
  </si>
  <si>
    <t>mark</t>
  </si>
  <si>
    <t>Themis Trading</t>
  </si>
  <si>
    <t>Boccard</t>
  </si>
  <si>
    <t>Marvin</t>
  </si>
  <si>
    <t>Maciej</t>
  </si>
  <si>
    <t>Jacek</t>
  </si>
  <si>
    <t>Biedrzycki</t>
  </si>
  <si>
    <t>Kayne Anderson Rudnick</t>
  </si>
  <si>
    <t>Vice President Asia</t>
  </si>
  <si>
    <t>Folkesson Ejendal</t>
  </si>
  <si>
    <t>Kimberley</t>
  </si>
  <si>
    <t>Sugihara</t>
  </si>
  <si>
    <t>Vithanage</t>
  </si>
  <si>
    <t>York</t>
  </si>
  <si>
    <t>Corker</t>
  </si>
  <si>
    <t>Senior Vice President of | Institutional Investments</t>
  </si>
  <si>
    <t>Helm</t>
  </si>
  <si>
    <t>Fortunato</t>
  </si>
  <si>
    <t>Kristina</t>
  </si>
  <si>
    <t>Kemal</t>
  </si>
  <si>
    <t>Farrar</t>
  </si>
  <si>
    <t>Erin</t>
  </si>
  <si>
    <t>Tourmaline Partners LLC</t>
  </si>
  <si>
    <t>Plunket</t>
  </si>
  <si>
    <t>Denton</t>
  </si>
  <si>
    <t>Kellner</t>
  </si>
  <si>
    <t>O'Gorman</t>
  </si>
  <si>
    <t>Esposito</t>
  </si>
  <si>
    <t>Vice President Latency Sensitive Electronic Trading</t>
  </si>
  <si>
    <t>Natasha</t>
  </si>
  <si>
    <t>Demo</t>
  </si>
  <si>
    <t>The Pacific</t>
  </si>
  <si>
    <t>Megan</t>
  </si>
  <si>
    <t>Vice President Corporate Communications</t>
  </si>
  <si>
    <t>Dickson</t>
  </si>
  <si>
    <t>Integral</t>
  </si>
  <si>
    <t>Accounts Payable/COO</t>
  </si>
  <si>
    <t>Fallon</t>
  </si>
  <si>
    <t>TruMid</t>
  </si>
  <si>
    <t>Interactive Brokers Group</t>
  </si>
  <si>
    <t>Arcidicomo</t>
  </si>
  <si>
    <t>Len</t>
  </si>
  <si>
    <t>Leary</t>
  </si>
  <si>
    <t>Diehl</t>
  </si>
  <si>
    <t>Levent</t>
  </si>
  <si>
    <t>Schmeddes</t>
  </si>
  <si>
    <t>McKenzie</t>
  </si>
  <si>
    <t>President and COO</t>
  </si>
  <si>
    <t>Light</t>
  </si>
  <si>
    <t>Swantek</t>
  </si>
  <si>
    <t>Andr??</t>
  </si>
  <si>
    <t>Salvatore</t>
  </si>
  <si>
    <t>Mercadante</t>
  </si>
  <si>
    <t>Christos</t>
  </si>
  <si>
    <t>Luca</t>
  </si>
  <si>
    <t>CEO/Inventor</t>
  </si>
  <si>
    <t>Giorgio</t>
  </si>
  <si>
    <t>INTL FCStone Inc.</t>
  </si>
  <si>
    <t>Sikora</t>
  </si>
  <si>
    <t>Goulding</t>
  </si>
  <si>
    <t>Masaki</t>
  </si>
  <si>
    <t>Vespestad</t>
  </si>
  <si>
    <t>Chand</t>
  </si>
  <si>
    <t>Sooran</t>
  </si>
  <si>
    <t>Shelly</t>
  </si>
  <si>
    <t>Jody</t>
  </si>
  <si>
    <t>Buchan</t>
  </si>
  <si>
    <t>Kielblock</t>
  </si>
  <si>
    <t>Korn Ferry</t>
  </si>
  <si>
    <t>Investment Technology Group Inc.</t>
  </si>
  <si>
    <t>Peel Hunt</t>
  </si>
  <si>
    <t>Leanne</t>
  </si>
  <si>
    <t>Forte</t>
  </si>
  <si>
    <t>Milena</t>
  </si>
  <si>
    <t>Brazil Country COO and Investment Bank Brazil COO</t>
  </si>
  <si>
    <t>Aloisi</t>
  </si>
  <si>
    <t>Amplify ETFs</t>
  </si>
  <si>
    <t>Magoon</t>
  </si>
  <si>
    <t>IS Invest</t>
  </si>
  <si>
    <t>Orkun</t>
  </si>
  <si>
    <t>ProShares</t>
  </si>
  <si>
    <t>Onur</t>
  </si>
  <si>
    <t>Baysal</t>
  </si>
  <si>
    <t>Ilhami</t>
  </si>
  <si>
    <t>Chairman &amp; Deputy CEO IS Bank</t>
  </si>
  <si>
    <t>Koc</t>
  </si>
  <si>
    <t>Vident</t>
  </si>
  <si>
    <t>Kimery</t>
  </si>
  <si>
    <t>Kaya</t>
  </si>
  <si>
    <t>Ay</t>
  </si>
  <si>
    <t>Pinar</t>
  </si>
  <si>
    <t>Kazuaki</t>
  </si>
  <si>
    <t>President?CEO</t>
  </si>
  <si>
    <t>Itau</t>
  </si>
  <si>
    <t>COO Brokerage</t>
  </si>
  <si>
    <t>Borro</t>
  </si>
  <si>
    <t>Villani</t>
  </si>
  <si>
    <t>Ando</t>
  </si>
  <si>
    <t>etf.com</t>
  </si>
  <si>
    <t>Morelli</t>
  </si>
  <si>
    <t>Vieira</t>
  </si>
  <si>
    <t>Deise</t>
  </si>
  <si>
    <t>Sherin</t>
  </si>
  <si>
    <t>Vice President Medical Affairs (NASDAQ: PNT)</t>
  </si>
  <si>
    <t>Al-Safadi, MSc, MBA, PhD</t>
  </si>
  <si>
    <t>Cider Mill</t>
  </si>
  <si>
    <t>Palumbo</t>
  </si>
  <si>
    <t>Palma</t>
  </si>
  <si>
    <t>Imad</t>
  </si>
  <si>
    <t>ITG Europe</t>
  </si>
  <si>
    <t>Minister</t>
  </si>
  <si>
    <t>Himanshu</t>
  </si>
  <si>
    <t>Yvonne</t>
  </si>
  <si>
    <t>Downes</t>
  </si>
  <si>
    <t>Kristy</t>
  </si>
  <si>
    <t>Avery</t>
  </si>
  <si>
    <t>Ilario</t>
  </si>
  <si>
    <t>Sinead</t>
  </si>
  <si>
    <t>GeaSphere</t>
  </si>
  <si>
    <t>Hamamjian</t>
  </si>
  <si>
    <t>Licata</t>
  </si>
  <si>
    <t>Bitwise Asset Management</t>
  </si>
  <si>
    <t>Barclay</t>
  </si>
  <si>
    <t>Etienne</t>
  </si>
  <si>
    <t>Thadaney</t>
  </si>
  <si>
    <t>Sharmila</t>
  </si>
  <si>
    <t>Head of Nasdaq Asset Owner Solutions; Vice President</t>
  </si>
  <si>
    <t>Kassam</t>
  </si>
  <si>
    <t>Farris</t>
  </si>
  <si>
    <t>McGrath</t>
  </si>
  <si>
    <t>Harpreet</t>
  </si>
  <si>
    <t>Amatuzzo</t>
  </si>
  <si>
    <t>Exactpro</t>
  </si>
  <si>
    <t>Sudarshan</t>
  </si>
  <si>
    <t>Software Club</t>
  </si>
  <si>
    <t>CEO - Software and Technology</t>
  </si>
  <si>
    <t>Forlani</t>
  </si>
  <si>
    <t>Gernan</t>
  </si>
  <si>
    <t>Manesh</t>
  </si>
  <si>
    <t>Quang</t>
  </si>
  <si>
    <t>J. Safra Sarasin</t>
  </si>
  <si>
    <t>CIT Group</t>
  </si>
  <si>
    <t>Trent</t>
  </si>
  <si>
    <t>Houston</t>
  </si>
  <si>
    <t>Sari</t>
  </si>
  <si>
    <t>House</t>
  </si>
  <si>
    <t>M&amp;G Investments</t>
  </si>
  <si>
    <t>Janus Investment</t>
  </si>
  <si>
    <t>Loren</t>
  </si>
  <si>
    <t>Finney</t>
  </si>
  <si>
    <t>Sidon</t>
  </si>
  <si>
    <t>Senior Vice President Trading Techn</t>
  </si>
  <si>
    <t>Bartels</t>
  </si>
  <si>
    <t>Gosuke</t>
  </si>
  <si>
    <t>Sankalp</t>
  </si>
  <si>
    <t>President Electonic Trading</t>
  </si>
  <si>
    <t>Senior Vice President Electronic Trading Solutions</t>
  </si>
  <si>
    <t>Senior Vice President Head of Information Technology Asia</t>
  </si>
  <si>
    <t>Cavanagh</t>
  </si>
  <si>
    <t>Whalen</t>
  </si>
  <si>
    <t>Nikolai</t>
  </si>
  <si>
    <t>Harold</t>
  </si>
  <si>
    <t>Keenan</t>
  </si>
  <si>
    <t>Jones Trading</t>
  </si>
  <si>
    <t>Fouladian</t>
  </si>
  <si>
    <t>Ahire</t>
  </si>
  <si>
    <t>Rafik</t>
  </si>
  <si>
    <t>Horgan</t>
  </si>
  <si>
    <t>EZOPS Inc</t>
  </si>
  <si>
    <t>Danish</t>
  </si>
  <si>
    <t>Barney</t>
  </si>
  <si>
    <t>V?tor Uch??a</t>
  </si>
  <si>
    <t>Latner</t>
  </si>
  <si>
    <t>Castelli</t>
  </si>
  <si>
    <t>Kay</t>
  </si>
  <si>
    <t>Lucking</t>
  </si>
  <si>
    <t>Augustin</t>
  </si>
  <si>
    <t>Furze</t>
  </si>
  <si>
    <t>Gopal</t>
  </si>
  <si>
    <t>PEYRONNEL</t>
  </si>
  <si>
    <t>Wurtz</t>
  </si>
  <si>
    <t>Tod</t>
  </si>
  <si>
    <t>Matchett</t>
  </si>
  <si>
    <t>Husek</t>
  </si>
  <si>
    <t>Zebrowski</t>
  </si>
  <si>
    <t>Norm</t>
  </si>
  <si>
    <t>Pam</t>
  </si>
  <si>
    <t>Hoe</t>
  </si>
  <si>
    <t>Theodore</t>
  </si>
  <si>
    <t>Reda</t>
  </si>
  <si>
    <t>Heathcote</t>
  </si>
  <si>
    <t>Cheriasia</t>
  </si>
  <si>
    <t>Suzanne</t>
  </si>
  <si>
    <t>Seery</t>
  </si>
  <si>
    <t>Sushil</t>
  </si>
  <si>
    <t>Caillot</t>
  </si>
  <si>
    <t>Purcell</t>
  </si>
  <si>
    <t>Patterson</t>
  </si>
  <si>
    <t>CIO Investment Bank Technology</t>
  </si>
  <si>
    <t>Ashworth</t>
  </si>
  <si>
    <t>Andrew N.</t>
  </si>
  <si>
    <t>Vice President &amp; Assistant General Counsel</t>
  </si>
  <si>
    <t>Cadel</t>
  </si>
  <si>
    <t>Wilkinson</t>
  </si>
  <si>
    <t>Freedman</t>
  </si>
  <si>
    <t>Kissell</t>
  </si>
  <si>
    <t>Peeko</t>
  </si>
  <si>
    <t>Duggan</t>
  </si>
  <si>
    <t>Cornish</t>
  </si>
  <si>
    <t>Purvis</t>
  </si>
  <si>
    <t>Bundy</t>
  </si>
  <si>
    <t>Harden</t>
  </si>
  <si>
    <t>Bunce</t>
  </si>
  <si>
    <t>Ashton</t>
  </si>
  <si>
    <t>Hamish</t>
  </si>
  <si>
    <t>Pickering</t>
  </si>
  <si>
    <t>Prieur Du Perray</t>
  </si>
  <si>
    <t>Yoneda</t>
  </si>
  <si>
    <t>Vice President Transition Management</t>
  </si>
  <si>
    <t>Karelas</t>
  </si>
  <si>
    <t>Susumu</t>
  </si>
  <si>
    <t>Tatsuya</t>
  </si>
  <si>
    <t>Suzuki</t>
  </si>
  <si>
    <t>Annamalai</t>
  </si>
  <si>
    <t>Fumiaki</t>
  </si>
  <si>
    <t>Vice President IB Technology</t>
  </si>
  <si>
    <t>Hattori</t>
  </si>
  <si>
    <t>Karia</t>
  </si>
  <si>
    <t>Yukov</t>
  </si>
  <si>
    <t>Vice President Global Technology</t>
  </si>
  <si>
    <t>Dias-Patel</t>
  </si>
  <si>
    <t>Vice President Exchange and Client Connectivity</t>
  </si>
  <si>
    <t>Quah</t>
  </si>
  <si>
    <t>Vice President Futures &amp; Options</t>
  </si>
  <si>
    <t>Lafon-Barret</t>
  </si>
  <si>
    <t>First Vice President Head of IT</t>
  </si>
  <si>
    <t>Guenther</t>
  </si>
  <si>
    <t>Jump Trading LLC</t>
  </si>
  <si>
    <t>Saplitski</t>
  </si>
  <si>
    <t>Kamenev</t>
  </si>
  <si>
    <t>DeLuca</t>
  </si>
  <si>
    <t>Scanlan</t>
  </si>
  <si>
    <t>K2 Corporate Mobility</t>
  </si>
  <si>
    <t>jeannine</t>
  </si>
  <si>
    <t>Vanian</t>
  </si>
  <si>
    <t>Abdul</t>
  </si>
  <si>
    <t>Emer</t>
  </si>
  <si>
    <t>Joris</t>
  </si>
  <si>
    <t>Isabel</t>
  </si>
  <si>
    <t>Keefe Bruyette &amp; Woods (KBW)</t>
  </si>
  <si>
    <t>Mark J.</t>
  </si>
  <si>
    <t>Dee</t>
  </si>
  <si>
    <t>Kepler Cheuvreux</t>
  </si>
  <si>
    <t>Kernow Asset Management</t>
  </si>
  <si>
    <t>Alyx</t>
  </si>
  <si>
    <t>Kershner Trading</t>
  </si>
  <si>
    <t>Shayne</t>
  </si>
  <si>
    <t>KeyBanc Capital Markets</t>
  </si>
  <si>
    <t>Knezevic</t>
  </si>
  <si>
    <t>Tanzi</t>
  </si>
  <si>
    <t>Shaughnessy</t>
  </si>
  <si>
    <t>Kleinwort</t>
  </si>
  <si>
    <t>Virginie</t>
  </si>
  <si>
    <t>Greville</t>
  </si>
  <si>
    <t>Deputy COO</t>
  </si>
  <si>
    <t>Villaceque</t>
  </si>
  <si>
    <t>Alves</t>
  </si>
  <si>
    <t>Lazard</t>
  </si>
  <si>
    <t>Payne</t>
  </si>
  <si>
    <t>Rees</t>
  </si>
  <si>
    <t>LCH</t>
  </si>
  <si>
    <t>Legal &amp; General Investment Management (LGIM)</t>
  </si>
  <si>
    <t>Vikash</t>
  </si>
  <si>
    <t>Ferri</t>
  </si>
  <si>
    <t>Zinkula</t>
  </si>
  <si>
    <t>Siohban</t>
  </si>
  <si>
    <t>Boylan</t>
  </si>
  <si>
    <t>Sims</t>
  </si>
  <si>
    <t>Nagahisa</t>
  </si>
  <si>
    <t>Representative Director &amp; President</t>
  </si>
  <si>
    <t>Miyabe</t>
  </si>
  <si>
    <t>Legg</t>
  </si>
  <si>
    <t>Leleux Associated Brokers</t>
  </si>
  <si>
    <t>Leleux</t>
  </si>
  <si>
    <t>Carlsson</t>
  </si>
  <si>
    <t>Raymond James</t>
  </si>
  <si>
    <t>COO/CIO</t>
  </si>
  <si>
    <t>Patnaik</t>
  </si>
  <si>
    <t>Clovis Capital</t>
  </si>
  <si>
    <t>Auerbach</t>
  </si>
  <si>
    <t>Lime Brokerage LLC</t>
  </si>
  <si>
    <t>Jeffrey S.</t>
  </si>
  <si>
    <t>CEO and President</t>
  </si>
  <si>
    <t>Wecker</t>
  </si>
  <si>
    <t>Limina</t>
  </si>
  <si>
    <t>Linear</t>
  </si>
  <si>
    <t>Bashala</t>
  </si>
  <si>
    <t>Baldini</t>
  </si>
  <si>
    <t>Proctor</t>
  </si>
  <si>
    <t>Tuttle</t>
  </si>
  <si>
    <t>Mangerich</t>
  </si>
  <si>
    <t>Vice President Strategic Alliances</t>
  </si>
  <si>
    <t>Pagano</t>
  </si>
  <si>
    <t>Sturat</t>
  </si>
  <si>
    <t>Farr</t>
  </si>
  <si>
    <t>OpenFin</t>
  </si>
  <si>
    <t>Rohal</t>
  </si>
  <si>
    <t>Merrin</t>
  </si>
  <si>
    <t>Cartwright</t>
  </si>
  <si>
    <t>CIO/CTO</t>
  </si>
  <si>
    <t>LeGoff</t>
  </si>
  <si>
    <t>Lupowitz</t>
  </si>
  <si>
    <t>Mani</t>
  </si>
  <si>
    <t>Sussman</t>
  </si>
  <si>
    <t>moon</t>
  </si>
  <si>
    <t>Maw</t>
  </si>
  <si>
    <t>Insley</t>
  </si>
  <si>
    <t>LMR Partners</t>
  </si>
  <si>
    <t>Lombard Odier (LODH)</t>
  </si>
  <si>
    <t>Lloyd Jones</t>
  </si>
  <si>
    <t>Furlong</t>
  </si>
  <si>
    <t>Alexia</t>
  </si>
  <si>
    <t>Cressy</t>
  </si>
  <si>
    <t>Berkeley</t>
  </si>
  <si>
    <t>LPL Financial</t>
  </si>
  <si>
    <t>Lucera</t>
  </si>
  <si>
    <t>Lynx Strategies</t>
  </si>
  <si>
    <t>Auche</t>
  </si>
  <si>
    <t>Seyer</t>
  </si>
  <si>
    <t>Dubois</t>
  </si>
  <si>
    <t>Siobhan</t>
  </si>
  <si>
    <t>COO Investment Operations</t>
  </si>
  <si>
    <t>MacKay Shields</t>
  </si>
  <si>
    <t>kevin</t>
  </si>
  <si>
    <t>Sinclair</t>
  </si>
  <si>
    <t>CEO/EGT/</t>
  </si>
  <si>
    <t>Giondi</t>
  </si>
  <si>
    <t>Sarmiento</t>
  </si>
  <si>
    <t>Kapoor</t>
  </si>
  <si>
    <t>John Paul</t>
  </si>
  <si>
    <t>Jocelyn</t>
  </si>
  <si>
    <t>Alikhan</t>
  </si>
  <si>
    <t>Kapur</t>
  </si>
  <si>
    <t>Catterall</t>
  </si>
  <si>
    <t>Manville School District</t>
  </si>
  <si>
    <t>Teck-Chung</t>
  </si>
  <si>
    <t>Marco Polo Network</t>
  </si>
  <si>
    <t>Ramachandran</t>
  </si>
  <si>
    <t>Burnham</t>
  </si>
  <si>
    <t>Orantes</t>
  </si>
  <si>
    <t>Pico</t>
  </si>
  <si>
    <t>Texier</t>
  </si>
  <si>
    <t>COO/ Head of Operation</t>
  </si>
  <si>
    <t>Melody</t>
  </si>
  <si>
    <t>Stacey</t>
  </si>
  <si>
    <t>Winters</t>
  </si>
  <si>
    <t>CM-CIC (Paris)</t>
  </si>
  <si>
    <t>Maren</t>
  </si>
  <si>
    <t>Chief Operating Officer of Marex Solutions</t>
  </si>
  <si>
    <t>Strohbuecker</t>
  </si>
  <si>
    <t>Dawson</t>
  </si>
  <si>
    <t>Benchimol</t>
  </si>
  <si>
    <t>Wilde</t>
  </si>
  <si>
    <t>Vice President Hedge Fund / CTA Global Macro Trading Services</t>
  </si>
  <si>
    <t>MarketAxess</t>
  </si>
  <si>
    <t>Aldwin</t>
  </si>
  <si>
    <t>Market Factory</t>
  </si>
  <si>
    <t>Market Securities</t>
  </si>
  <si>
    <t>Holton</t>
  </si>
  <si>
    <t>Waldman</t>
  </si>
  <si>
    <t>Marshall Wace</t>
  </si>
  <si>
    <t>Ishikawa</t>
  </si>
  <si>
    <t>FLYJETS</t>
  </si>
  <si>
    <t>Founder and Chief Executive Officer</t>
  </si>
  <si>
    <t>Matrix</t>
  </si>
  <si>
    <t>Saliba</t>
  </si>
  <si>
    <t>President and CTO</t>
  </si>
  <si>
    <t>Naylor</t>
  </si>
  <si>
    <t>Chief Information officer</t>
  </si>
  <si>
    <t>Maven Securities</t>
  </si>
  <si>
    <t>Bhargav</t>
  </si>
  <si>
    <t>Vice President, Securities Division (Low Latency Client Onboarding)</t>
  </si>
  <si>
    <t>Jos</t>
  </si>
  <si>
    <t>Maxim Group LLC</t>
  </si>
  <si>
    <t>Touradji Capital</t>
  </si>
  <si>
    <t>Maybank</t>
  </si>
  <si>
    <t>Karin</t>
  </si>
  <si>
    <t>Evangelista</t>
  </si>
  <si>
    <t>Sacchi</t>
  </si>
  <si>
    <t>Cencor</t>
  </si>
  <si>
    <t>Presidente</t>
  </si>
  <si>
    <t>Urquiza</t>
  </si>
  <si>
    <t>Santarelli</t>
  </si>
  <si>
    <t>Mellon</t>
  </si>
  <si>
    <t>Dittrich</t>
  </si>
  <si>
    <t>Marlene</t>
  </si>
  <si>
    <t>CIO Dir. Institutional Equity Trading Systems</t>
  </si>
  <si>
    <t>Duarte</t>
  </si>
  <si>
    <t>MEMX</t>
  </si>
  <si>
    <t>Paniscotti</t>
  </si>
  <si>
    <t>Sequitor</t>
  </si>
  <si>
    <t>CEO/Founder</t>
  </si>
  <si>
    <t>Two Sigma</t>
  </si>
  <si>
    <t>Metaurus Advisors</t>
  </si>
  <si>
    <t>Shamsi</t>
  </si>
  <si>
    <t>Weiss</t>
  </si>
  <si>
    <t>Assistant Vice President Financial Software</t>
  </si>
  <si>
    <t>Temple</t>
  </si>
  <si>
    <t>Mile End Capital</t>
  </si>
  <si>
    <t>marcus</t>
  </si>
  <si>
    <t>Feeney</t>
  </si>
  <si>
    <t>Frants</t>
  </si>
  <si>
    <t>Ada</t>
  </si>
  <si>
    <t>Mogavero</t>
  </si>
  <si>
    <t>Mirabaud</t>
  </si>
  <si>
    <t>Head of Treasury Foreign Exchange Fixed Income Trading - First Vice President</t>
  </si>
  <si>
    <t>Prado</t>
  </si>
  <si>
    <t>Spyer</t>
  </si>
  <si>
    <t>Akeson</t>
  </si>
  <si>
    <t>Aftab</t>
  </si>
  <si>
    <t>Mitsubishi UFJ Securities</t>
  </si>
  <si>
    <t>WooStudy</t>
  </si>
  <si>
    <t>Yamashita</t>
  </si>
  <si>
    <t>Verition Fund Management LLC</t>
  </si>
  <si>
    <t>Laverty</t>
  </si>
  <si>
    <t>BBCE</t>
  </si>
  <si>
    <t>F?bio</t>
  </si>
  <si>
    <t>cCIO - Corretora Institucional Itau BBA</t>
  </si>
  <si>
    <t>Mixit Inc.</t>
  </si>
  <si>
    <t>Connelly</t>
  </si>
  <si>
    <t>Kazunobu</t>
  </si>
  <si>
    <t>Sugita</t>
  </si>
  <si>
    <t>Tetsuya</t>
  </si>
  <si>
    <t>JLL</t>
  </si>
  <si>
    <t>Hains</t>
  </si>
  <si>
    <t>Jiro</t>
  </si>
  <si>
    <t>Shinji</t>
  </si>
  <si>
    <t>Senior Executive Chief Technology Officer</t>
  </si>
  <si>
    <t>Hamakake</t>
  </si>
  <si>
    <t>Hirai</t>
  </si>
  <si>
    <t>Go</t>
  </si>
  <si>
    <t>Flyer Financial Technologies</t>
  </si>
  <si>
    <t>Brian W.</t>
  </si>
  <si>
    <t>Landry</t>
  </si>
  <si>
    <t>Tae</t>
  </si>
  <si>
    <t>McSweeney</t>
  </si>
  <si>
    <t>Archana</t>
  </si>
  <si>
    <t>Vice President - Application Development (Fixed Income IT)</t>
  </si>
  <si>
    <t>Ofenbakh</t>
  </si>
  <si>
    <t>Assistant Vice President - Application Development (Fixed Income)</t>
  </si>
  <si>
    <t>Edo</t>
  </si>
  <si>
    <t>Kawasaki</t>
  </si>
  <si>
    <t>Mondelz International</t>
  </si>
  <si>
    <t>COO Trader</t>
  </si>
  <si>
    <t>Chander</t>
  </si>
  <si>
    <t>Miu</t>
  </si>
  <si>
    <t>Moore Capital</t>
  </si>
  <si>
    <t>Michaela</t>
  </si>
  <si>
    <t>Cooke</t>
  </si>
  <si>
    <t>The D. E. Shaw Group</t>
  </si>
  <si>
    <t>Moors &amp; Cabot Inc.</t>
  </si>
  <si>
    <t>Vice President Capital Markets</t>
  </si>
  <si>
    <t>Asst Vice President-Specialist</t>
  </si>
  <si>
    <t>Sharad</t>
  </si>
  <si>
    <t>Vice President - Operations</t>
  </si>
  <si>
    <t>Josephine</t>
  </si>
  <si>
    <t>Chaudhary</t>
  </si>
  <si>
    <t>Haddock</t>
  </si>
  <si>
    <t>Owain</t>
  </si>
  <si>
    <t>CMT</t>
  </si>
  <si>
    <t>Vice President Application Technology Sourcing</t>
  </si>
  <si>
    <t>Cody</t>
  </si>
  <si>
    <t>Chairman &amp; CEO</t>
  </si>
  <si>
    <t>InterNex Capital</t>
  </si>
  <si>
    <t>Jasraj (Jazzy)</t>
  </si>
  <si>
    <t>Vice President Of Technology</t>
  </si>
  <si>
    <t>Mhajan</t>
  </si>
  <si>
    <t>Ravit</t>
  </si>
  <si>
    <t>Dipankar</t>
  </si>
  <si>
    <t>Goswami</t>
  </si>
  <si>
    <t>Akash</t>
  </si>
  <si>
    <t>Peltz</t>
  </si>
  <si>
    <t>Lenowitz</t>
  </si>
  <si>
    <t>Vice President Prime Brokerage Sales</t>
  </si>
  <si>
    <t>Kenna</t>
  </si>
  <si>
    <t>Rosalind</t>
  </si>
  <si>
    <t>Finlay</t>
  </si>
  <si>
    <t>Vice President - Client Engineering &amp; Architecture</t>
  </si>
  <si>
    <t>Rothman</t>
  </si>
  <si>
    <t>Coatue Management</t>
  </si>
  <si>
    <t>Casuccio</t>
  </si>
  <si>
    <t>Buce</t>
  </si>
  <si>
    <t>Katrina</t>
  </si>
  <si>
    <t>McClintock</t>
  </si>
  <si>
    <t>Magaletta</t>
  </si>
  <si>
    <t>Chacko</t>
  </si>
  <si>
    <t>Sartiano</t>
  </si>
  <si>
    <t>MD CIO</t>
  </si>
  <si>
    <t>Bendre</t>
  </si>
  <si>
    <t>Tamura</t>
  </si>
  <si>
    <t>Kerr</t>
  </si>
  <si>
    <t>President and CEO</t>
  </si>
  <si>
    <t>Yumiko</t>
  </si>
  <si>
    <t>Bekku</t>
  </si>
  <si>
    <t>Aso</t>
  </si>
  <si>
    <t>President &amp; Chief Executive Officer</t>
  </si>
  <si>
    <t>Ho-Chen</t>
  </si>
  <si>
    <t>Shih</t>
  </si>
  <si>
    <t>IBA Vice Chairman CEO and Representative Director</t>
  </si>
  <si>
    <t>Kindred</t>
  </si>
  <si>
    <t>Mosaic Smart Data</t>
  </si>
  <si>
    <t>Morin</t>
  </si>
  <si>
    <t>Stavtar Solutions</t>
  </si>
  <si>
    <t>Pavlos</t>
  </si>
  <si>
    <t>Christoforou</t>
  </si>
  <si>
    <t>Hai</t>
  </si>
  <si>
    <t>Vice President - Strategic Sourcing - IT</t>
  </si>
  <si>
    <t>Vice President - Contract and Negotiations</t>
  </si>
  <si>
    <t>McVeagh</t>
  </si>
  <si>
    <t>CODA Markets</t>
  </si>
  <si>
    <t>Wallach</t>
  </si>
  <si>
    <t>Senior Vice President Technology Chief Information Officer</t>
  </si>
  <si>
    <t>Friel</t>
  </si>
  <si>
    <t>Vice President Strategic Initiatives</t>
  </si>
  <si>
    <t>Associate Vice President Head of Derivatives Products</t>
  </si>
  <si>
    <t>Romani</t>
  </si>
  <si>
    <t>Ottersgard</t>
  </si>
  <si>
    <t>CA</t>
  </si>
  <si>
    <t>Beaver</t>
  </si>
  <si>
    <t>Bragg</t>
  </si>
  <si>
    <t>McDermott</t>
  </si>
  <si>
    <t>James B.</t>
  </si>
  <si>
    <t>Crofwell</t>
  </si>
  <si>
    <t>Fitzsimmons</t>
  </si>
  <si>
    <t>Hyndman</t>
  </si>
  <si>
    <t>Abram</t>
  </si>
  <si>
    <t>Harts</t>
  </si>
  <si>
    <t>Chairman ITS Operating Committee</t>
  </si>
  <si>
    <t>Deputy CEO</t>
  </si>
  <si>
    <t>Zakaryan</t>
  </si>
  <si>
    <t>Rass</t>
  </si>
  <si>
    <t>Verizon</t>
  </si>
  <si>
    <t>Vitaly</t>
  </si>
  <si>
    <t>Mir</t>
  </si>
  <si>
    <t>Morrow</t>
  </si>
  <si>
    <t>Dos Santos</t>
  </si>
  <si>
    <t>Nadyne</t>
  </si>
  <si>
    <t>Vice President Financial Markets</t>
  </si>
  <si>
    <t>McConkey</t>
  </si>
  <si>
    <t>National Stock Exchange of India Limited</t>
  </si>
  <si>
    <t>Kulback</t>
  </si>
  <si>
    <t>Scriva</t>
  </si>
  <si>
    <t>Bontoux</t>
  </si>
  <si>
    <t>Anne-Sophie</t>
  </si>
  <si>
    <t>COO Trading Equity Derivatives</t>
  </si>
  <si>
    <t>Gueguen</t>
  </si>
  <si>
    <t>Julius</t>
  </si>
  <si>
    <t>Mickael</t>
  </si>
  <si>
    <t>Nathalie</t>
  </si>
  <si>
    <t>Thibaud</t>
  </si>
  <si>
    <t>Nada</t>
  </si>
  <si>
    <t>Needham &amp; Company</t>
  </si>
  <si>
    <t>Albanese</t>
  </si>
  <si>
    <t>Komal</t>
  </si>
  <si>
    <t>Rafferty</t>
  </si>
  <si>
    <t>Neonet Securities AB</t>
  </si>
  <si>
    <t>Gaffney</t>
  </si>
  <si>
    <t>Nathanson</t>
  </si>
  <si>
    <t>Kearns</t>
  </si>
  <si>
    <t>Gustaf</t>
  </si>
  <si>
    <t>Neovest</t>
  </si>
  <si>
    <t>Neuberger Berman</t>
  </si>
  <si>
    <t>Oakeley</t>
  </si>
  <si>
    <t>Oosthuizen</t>
  </si>
  <si>
    <t>Noble Bank International</t>
  </si>
  <si>
    <t>Elan</t>
  </si>
  <si>
    <t>COO/CFO/CCO</t>
  </si>
  <si>
    <t>Foxman</t>
  </si>
  <si>
    <t>Silverman</t>
  </si>
  <si>
    <t>Gage</t>
  </si>
  <si>
    <t>Kato</t>
  </si>
  <si>
    <t>Shinobu</t>
  </si>
  <si>
    <t>CIO EMEA</t>
  </si>
  <si>
    <t>Learmouth</t>
  </si>
  <si>
    <t>Danila</t>
  </si>
  <si>
    <t>Shinde</t>
  </si>
  <si>
    <t>Clair</t>
  </si>
  <si>
    <t>Renton</t>
  </si>
  <si>
    <t>Y</t>
  </si>
  <si>
    <t>Renaissance Technologies</t>
  </si>
  <si>
    <t>Hitoshi</t>
  </si>
  <si>
    <t>Hiroki</t>
  </si>
  <si>
    <t>Hideo</t>
  </si>
  <si>
    <t>Schlamp</t>
  </si>
  <si>
    <t>COO Electronic Markets</t>
  </si>
  <si>
    <t>Karan</t>
  </si>
  <si>
    <t>Vice President - Change Management</t>
  </si>
  <si>
    <t>Vuissoz</t>
  </si>
  <si>
    <t>Kazuya</t>
  </si>
  <si>
    <t>Vice President-Global IT Strategy Dept</t>
  </si>
  <si>
    <t>Yoshimoto</t>
  </si>
  <si>
    <t>Masahiko</t>
  </si>
  <si>
    <t>(2011Oct) Vice President IT Management &amp; Infrastracture Dept</t>
  </si>
  <si>
    <t>Matsuzaki</t>
  </si>
  <si>
    <t>Hironari</t>
  </si>
  <si>
    <t>Miyawaki</t>
  </si>
  <si>
    <t>Hundley</t>
  </si>
  <si>
    <t>Eric Ichiro</t>
  </si>
  <si>
    <t>Naritomi</t>
  </si>
  <si>
    <t>COO Global Macro Products</t>
  </si>
  <si>
    <t>Vice President. Electronic Trading Services</t>
  </si>
  <si>
    <t>Salman</t>
  </si>
  <si>
    <t>Ajith</t>
  </si>
  <si>
    <t>Nannapaneni</t>
  </si>
  <si>
    <t>Larsson</t>
  </si>
  <si>
    <t>Deputy CIO Capital Markets</t>
  </si>
  <si>
    <t>Lunding</t>
  </si>
  <si>
    <t>ULTRADE</t>
  </si>
  <si>
    <t>Zhukov</t>
  </si>
  <si>
    <t>Anubhav</t>
  </si>
  <si>
    <t>Lukasz</t>
  </si>
  <si>
    <t>Jesper</t>
  </si>
  <si>
    <t>Claus</t>
  </si>
  <si>
    <t>Nilsson</t>
  </si>
  <si>
    <t>Cale</t>
  </si>
  <si>
    <t>St. Clair</t>
  </si>
  <si>
    <t>Grieb</t>
  </si>
  <si>
    <t>Sell</t>
  </si>
  <si>
    <t>Tweed</t>
  </si>
  <si>
    <t>Executive Vice President Global Head of The Institutional Group</t>
  </si>
  <si>
    <t>Provanzana</t>
  </si>
  <si>
    <t>Senior Vice President - Equity Sales and Trading</t>
  </si>
  <si>
    <t>Storrs</t>
  </si>
  <si>
    <t>Kralovec</t>
  </si>
  <si>
    <t>Sheila</t>
  </si>
  <si>
    <t>SVP &amp; COO</t>
  </si>
  <si>
    <t>Herrera</t>
  </si>
  <si>
    <t>Numis Securities Ltd</t>
  </si>
  <si>
    <t>Bottari</t>
  </si>
  <si>
    <t>Schaffer</t>
  </si>
  <si>
    <t>McPike</t>
  </si>
  <si>
    <t>Vice President IT Security Business Continuity and Disaster Recovery at Nuveen</t>
  </si>
  <si>
    <t>Van de Zande</t>
  </si>
  <si>
    <t>Amirtha</t>
  </si>
  <si>
    <t>Commerce Bancshares</t>
  </si>
  <si>
    <t>Oak Hill Advisors L.P.</t>
  </si>
  <si>
    <t>Varga</t>
  </si>
  <si>
    <t>Octagon</t>
  </si>
  <si>
    <t>Martel</t>
  </si>
  <si>
    <t>CIO - Oddo &amp; Cie</t>
  </si>
  <si>
    <t>Rolland</t>
  </si>
  <si>
    <t>Ouahnia</t>
  </si>
  <si>
    <t>Emir</t>
  </si>
  <si>
    <t>DENOSMAISON</t>
  </si>
  <si>
    <t>Deputy CFO/COO</t>
  </si>
  <si>
    <t>Servant</t>
  </si>
  <si>
    <t>Vitalis</t>
  </si>
  <si>
    <t>Rehm</t>
  </si>
  <si>
    <t>Old Mutual</t>
  </si>
  <si>
    <t>COO?</t>
  </si>
  <si>
    <t>Turpin</t>
  </si>
  <si>
    <t>Dow</t>
  </si>
  <si>
    <t>Olivetree Financial Group</t>
  </si>
  <si>
    <t>Naples</t>
  </si>
  <si>
    <t>Asma</t>
  </si>
  <si>
    <t>Group COO</t>
  </si>
  <si>
    <t>van Breugel</t>
  </si>
  <si>
    <t>Dougan</t>
  </si>
  <si>
    <t>OMEX Technologies PK</t>
  </si>
  <si>
    <t>Omni Funding Corporation of America</t>
  </si>
  <si>
    <t>Cowhig</t>
  </si>
  <si>
    <t>Braden</t>
  </si>
  <si>
    <t>Oppenheimer</t>
  </si>
  <si>
    <t>Asim</t>
  </si>
  <si>
    <t>International Trading</t>
  </si>
  <si>
    <t>Bonomo</t>
  </si>
  <si>
    <t>Options Technology</t>
  </si>
  <si>
    <t>Optiver</t>
  </si>
  <si>
    <t>Kjell</t>
  </si>
  <si>
    <t>Orc Software</t>
  </si>
  <si>
    <t>Fernanda</t>
  </si>
  <si>
    <t>President - Orc North America</t>
  </si>
  <si>
    <t>Leamy</t>
  </si>
  <si>
    <t>Orient Futures</t>
  </si>
  <si>
    <t>Ning</t>
  </si>
  <si>
    <t>Guan</t>
  </si>
  <si>
    <t>CIO QDII</t>
  </si>
  <si>
    <t>OSL</t>
  </si>
  <si>
    <t>Usman</t>
  </si>
  <si>
    <t>OSSIAM</t>
  </si>
  <si>
    <t>COO / Risk</t>
  </si>
  <si>
    <t>Chanzy</t>
  </si>
  <si>
    <t>Tessier</t>
  </si>
  <si>
    <t>Ostrum Asset Management</t>
  </si>
  <si>
    <t>Pierre Alexandre</t>
  </si>
  <si>
    <t>Pautrat</t>
  </si>
  <si>
    <t>Dongre</t>
  </si>
  <si>
    <t>Emilia</t>
  </si>
  <si>
    <t>Sherifova</t>
  </si>
  <si>
    <t>R. Cromwell</t>
  </si>
  <si>
    <t>Coulson</t>
  </si>
  <si>
    <t>WAMID</t>
  </si>
  <si>
    <t>Panmure Gordon</t>
  </si>
  <si>
    <t>Pareto Securities</t>
  </si>
  <si>
    <t>Olsen Stenbakk</t>
  </si>
  <si>
    <t>Stenbakk</t>
  </si>
  <si>
    <t>Geir</t>
  </si>
  <si>
    <t>O. Stenbakk</t>
  </si>
  <si>
    <t>Hoppe</t>
  </si>
  <si>
    <t>Andr?? Faria</t>
  </si>
  <si>
    <t>Gomes ?</t>
  </si>
  <si>
    <t>Thorpe</t>
  </si>
  <si>
    <t>PEAK6</t>
  </si>
  <si>
    <t>Lish</t>
  </si>
  <si>
    <t>Ruhana</t>
  </si>
  <si>
    <t>Rubio</t>
  </si>
  <si>
    <t>Hass</t>
  </si>
  <si>
    <t>Dhall</t>
  </si>
  <si>
    <t>Penserra</t>
  </si>
  <si>
    <t>Saski</t>
  </si>
  <si>
    <t>Cramb</t>
  </si>
  <si>
    <t>PERPETUA</t>
  </si>
  <si>
    <t>Sheahan</t>
  </si>
  <si>
    <t>Vice President - Process &amp; Quality Management</t>
  </si>
  <si>
    <t>Donnis</t>
  </si>
  <si>
    <t>Assistant Vice President Trade Integration Office</t>
  </si>
  <si>
    <t>Cockburn</t>
  </si>
  <si>
    <t>Weishaar</t>
  </si>
  <si>
    <t>Vice President Customer Trade Processing &amp; Services</t>
  </si>
  <si>
    <t>Modeski</t>
  </si>
  <si>
    <t>Executive Vice President &amp; Chief Compliance Officer</t>
  </si>
  <si>
    <t>Zachary</t>
  </si>
  <si>
    <t>PGGM</t>
  </si>
  <si>
    <t>Phillippi</t>
  </si>
  <si>
    <t>PGIM</t>
  </si>
  <si>
    <t>Vice President Systems Development</t>
  </si>
  <si>
    <t>Chuthari</t>
  </si>
  <si>
    <t>PhillipCapital</t>
  </si>
  <si>
    <t>Jeffrey Lee</t>
  </si>
  <si>
    <t>Managing Director &amp; Chief Investment Officer</t>
  </si>
  <si>
    <t>Chay Khiong</t>
  </si>
  <si>
    <t>Phoenix Group</t>
  </si>
  <si>
    <t>COO &amp; CRO</t>
  </si>
  <si>
    <t>Defibaugh</t>
  </si>
  <si>
    <t>Scheideler</t>
  </si>
  <si>
    <t>Project Manager Vice President</t>
  </si>
  <si>
    <t>Seetharam</t>
  </si>
  <si>
    <t>Gorre</t>
  </si>
  <si>
    <t>Boytim</t>
  </si>
  <si>
    <t>Ansermoz</t>
  </si>
  <si>
    <t>Husain</t>
  </si>
  <si>
    <t>Pi Securities Public Company</t>
  </si>
  <si>
    <t>Raquel</t>
  </si>
  <si>
    <t>#N/A</t>
  </si>
  <si>
    <t>Congress Asset</t>
  </si>
  <si>
    <t>Lagan</t>
  </si>
  <si>
    <t>SVP &amp; CIO</t>
  </si>
  <si>
    <t>Noll</t>
  </si>
  <si>
    <t>Vice President U S Equity sales trading at Piper Jaffray</t>
  </si>
  <si>
    <t>Platinum Equity</t>
  </si>
  <si>
    <t>Bina</t>
  </si>
  <si>
    <t>Rampradeep</t>
  </si>
  <si>
    <t>Vice President Execution Systems</t>
  </si>
  <si>
    <t>Frances</t>
  </si>
  <si>
    <t>Conheeney</t>
  </si>
  <si>
    <t>Veronica</t>
  </si>
  <si>
    <t>Pragma Securities LLC</t>
  </si>
  <si>
    <t>Giardina</t>
  </si>
  <si>
    <t>Principal Asset Management</t>
  </si>
  <si>
    <t>Scholten</t>
  </si>
  <si>
    <t>Chief Information Security Officer</t>
  </si>
  <si>
    <t>Liem</t>
  </si>
  <si>
    <t>Puma Capital</t>
  </si>
  <si>
    <t>Putnam Investments</t>
  </si>
  <si>
    <t>Rodric</t>
  </si>
  <si>
    <t>Browchuck</t>
  </si>
  <si>
    <t>Vice President of Technology</t>
  </si>
  <si>
    <t>Bibi</t>
  </si>
  <si>
    <t>Qantex Capital Markets</t>
  </si>
  <si>
    <t>Quantica Capital</t>
  </si>
  <si>
    <t>Director &amp; COO</t>
  </si>
  <si>
    <t>Patrawala</t>
  </si>
  <si>
    <t>Quantitative hedge fund manager</t>
  </si>
  <si>
    <t>Geismar</t>
  </si>
  <si>
    <t>Herder</t>
  </si>
  <si>
    <t>Gyorgy</t>
  </si>
  <si>
    <t>Bartell</t>
  </si>
  <si>
    <t>Quilter</t>
  </si>
  <si>
    <t>Quilvest Capital Partners</t>
  </si>
  <si>
    <t>Arent</t>
  </si>
  <si>
    <t>F. Michel</t>
  </si>
  <si>
    <t>Group CEO</t>
  </si>
  <si>
    <t>Abouchalache</t>
  </si>
  <si>
    <t>R.J. O'Brien</t>
  </si>
  <si>
    <t>Gillmore</t>
  </si>
  <si>
    <t>O'Hare</t>
  </si>
  <si>
    <t>Klomps</t>
  </si>
  <si>
    <t>Pasdar</t>
  </si>
  <si>
    <t>Moosavi</t>
  </si>
  <si>
    <t>CFO Wholesale</t>
  </si>
  <si>
    <t>Crebolder</t>
  </si>
  <si>
    <t>Raiffeisen Bank Kosova</t>
  </si>
  <si>
    <t>Srecko</t>
  </si>
  <si>
    <t>Member of the Board</t>
  </si>
  <si>
    <t>Zganec</t>
  </si>
  <si>
    <t>Department Head/ Board Member</t>
  </si>
  <si>
    <t>Celeda</t>
  </si>
  <si>
    <t>Sanda</t>
  </si>
  <si>
    <t>Arber</t>
  </si>
  <si>
    <t>Bernd</t>
  </si>
  <si>
    <t>Till</t>
  </si>
  <si>
    <t>Institutional Prime Services Technology Lead Vice President</t>
  </si>
  <si>
    <t>Khabliev</t>
  </si>
  <si>
    <t>Manfred</t>
  </si>
  <si>
    <t>RAM Active Investments</t>
  </si>
  <si>
    <t>Boulanger</t>
  </si>
  <si>
    <t>Zito</t>
  </si>
  <si>
    <t>Rand Merchant Bank</t>
  </si>
  <si>
    <t>R3</t>
  </si>
  <si>
    <t>Yusuf</t>
  </si>
  <si>
    <t>Group CIO</t>
  </si>
  <si>
    <t>Barrowman</t>
  </si>
  <si>
    <t>Linnell</t>
  </si>
  <si>
    <t>CIO of APAC</t>
  </si>
  <si>
    <t>Petheram</t>
  </si>
  <si>
    <t>Raptor Trading</t>
  </si>
  <si>
    <t>Centrica Trading</t>
  </si>
  <si>
    <t>Eaves</t>
  </si>
  <si>
    <t>Moyer</t>
  </si>
  <si>
    <t>Sash</t>
  </si>
  <si>
    <t>Jory</t>
  </si>
  <si>
    <t>Cochran</t>
  </si>
  <si>
    <t>Daren</t>
  </si>
  <si>
    <t>Eitel</t>
  </si>
  <si>
    <t>bp</t>
  </si>
  <si>
    <t>Abidi</t>
  </si>
  <si>
    <t>Oras</t>
  </si>
  <si>
    <t>Exec. Vice President</t>
  </si>
  <si>
    <t>Trocin</t>
  </si>
  <si>
    <t>Staley</t>
  </si>
  <si>
    <t>Isabelle</t>
  </si>
  <si>
    <t>Deputy CEO Head of Fund Management</t>
  </si>
  <si>
    <t>Delattre</t>
  </si>
  <si>
    <t>Jayesh</t>
  </si>
  <si>
    <t>Vidya</t>
  </si>
  <si>
    <t>Salesforce</t>
  </si>
  <si>
    <t>Saraswat</t>
  </si>
  <si>
    <t>Rustam</t>
  </si>
  <si>
    <t>Saniakhmetov</t>
  </si>
  <si>
    <t>Vice President Operations</t>
  </si>
  <si>
    <t>Rozanne</t>
  </si>
  <si>
    <t>Fread</t>
  </si>
  <si>
    <t>Tait</t>
  </si>
  <si>
    <t>Serra</t>
  </si>
  <si>
    <t>Zupan</t>
  </si>
  <si>
    <t>Caplin Systems</t>
  </si>
  <si>
    <t>Fields</t>
  </si>
  <si>
    <t>Motschwiller</t>
  </si>
  <si>
    <t>Sutherland</t>
  </si>
  <si>
    <t>Segessenmann</t>
  </si>
  <si>
    <t>Kuha</t>
  </si>
  <si>
    <t>COO Equity Derivatives Trading Management</t>
  </si>
  <si>
    <t>Sebert</t>
  </si>
  <si>
    <t>Clerkin</t>
  </si>
  <si>
    <t>Rebar Systems LLC</t>
  </si>
  <si>
    <t>Redburn</t>
  </si>
  <si>
    <t>On-Boarding</t>
  </si>
  <si>
    <t>ULLINK Setup  Contact - Redburn Partners LLP</t>
  </si>
  <si>
    <t>Redwood Investments Corp.</t>
  </si>
  <si>
    <t>CIO &amp; Managing Partner</t>
  </si>
  <si>
    <t>Mufson</t>
  </si>
  <si>
    <t>Vice President - Global Futures and Options Execution</t>
  </si>
  <si>
    <t>Zitlow</t>
  </si>
  <si>
    <t>Vahan</t>
  </si>
  <si>
    <t>Executive Director Group Chief Information Officer</t>
  </si>
  <si>
    <t>Vardanian</t>
  </si>
  <si>
    <t>Managing Partner CIO Bowling Portfoio</t>
  </si>
  <si>
    <t>Kavesh</t>
  </si>
  <si>
    <t>Radomski</t>
  </si>
  <si>
    <t>Michael E.</t>
  </si>
  <si>
    <t>Managing Partner CIO</t>
  </si>
  <si>
    <t>Schroer</t>
  </si>
  <si>
    <t>Yeh</t>
  </si>
  <si>
    <t>James (Jim)</t>
  </si>
  <si>
    <t>Rowen</t>
  </si>
  <si>
    <t>River and Mercantile</t>
  </si>
  <si>
    <t>Bollon</t>
  </si>
  <si>
    <t>RJ O'Brien</t>
  </si>
  <si>
    <t>Northup</t>
  </si>
  <si>
    <t>Babar</t>
  </si>
  <si>
    <t>Robeco</t>
  </si>
  <si>
    <t>Naima</t>
  </si>
  <si>
    <t>R.</t>
  </si>
  <si>
    <t>Chief Operating Officer and Member of the Management Board</t>
  </si>
  <si>
    <t>van Baardwijk</t>
  </si>
  <si>
    <t>SoftCapital</t>
  </si>
  <si>
    <t>Pehrsson</t>
  </si>
  <si>
    <t>Lotesta</t>
  </si>
  <si>
    <t>Spears</t>
  </si>
  <si>
    <t>Krueger</t>
  </si>
  <si>
    <t>Wooster</t>
  </si>
  <si>
    <t>Rockefeller Capital Management</t>
  </si>
  <si>
    <t>Rothschild</t>
  </si>
  <si>
    <t>Rawlings</t>
  </si>
  <si>
    <t>Vice President Technology</t>
  </si>
  <si>
    <t>Wadsworth</t>
  </si>
  <si>
    <t>Lewin</t>
  </si>
  <si>
    <t>Wray</t>
  </si>
  <si>
    <t>CIO Americas</t>
  </si>
  <si>
    <t>Zanga</t>
  </si>
  <si>
    <t>CIO Asia Pacific</t>
  </si>
  <si>
    <t>Ruffer LLP</t>
  </si>
  <si>
    <t>Russell Investments</t>
  </si>
  <si>
    <t>Susie</t>
  </si>
  <si>
    <t>Kirschner</t>
  </si>
  <si>
    <t>Rasmussen</t>
  </si>
  <si>
    <t>Bianco</t>
  </si>
  <si>
    <t>S3</t>
  </si>
  <si>
    <t>Sage Advisory</t>
  </si>
  <si>
    <t>Sandler O'Neill + Partners</t>
  </si>
  <si>
    <t>Managing Principal COO &amp; Chief Financial Officer</t>
  </si>
  <si>
    <t>Pietra</t>
  </si>
  <si>
    <t>Fitzgibbon</t>
  </si>
  <si>
    <t>Thurston</t>
  </si>
  <si>
    <t>Williams Colon</t>
  </si>
  <si>
    <t>SVP &amp; COO Admin &amp; Operations</t>
  </si>
  <si>
    <t>Izzo</t>
  </si>
  <si>
    <t>Heitor</t>
  </si>
  <si>
    <t>SAP</t>
  </si>
  <si>
    <t>Saratoga Research &amp; Investment Management</t>
  </si>
  <si>
    <t>McCusker</t>
  </si>
  <si>
    <t>Tingley</t>
  </si>
  <si>
    <t>Sberbank CIB</t>
  </si>
  <si>
    <t>Nikolay</t>
  </si>
  <si>
    <t>Yulia</t>
  </si>
  <si>
    <t>SBI</t>
  </si>
  <si>
    <t>Managing Director of the Board IT Management Dev</t>
  </si>
  <si>
    <t>Yoshinobu</t>
  </si>
  <si>
    <t>Minoru</t>
  </si>
  <si>
    <t>Pisani</t>
  </si>
  <si>
    <t>Albeck</t>
  </si>
  <si>
    <t>Clifton</t>
  </si>
  <si>
    <t>SEB</t>
  </si>
  <si>
    <t>Torbjorn</t>
  </si>
  <si>
    <t>Bengt</t>
  </si>
  <si>
    <t>Ericsson</t>
  </si>
  <si>
    <t>Cormorant Asset</t>
  </si>
  <si>
    <t>Scollins</t>
  </si>
  <si>
    <t>Mchugh</t>
  </si>
  <si>
    <t>Wendell</t>
  </si>
  <si>
    <t>Alia</t>
  </si>
  <si>
    <t>Skoog</t>
  </si>
  <si>
    <t>Sandberg</t>
  </si>
  <si>
    <t>Bosse</t>
  </si>
  <si>
    <t>Corsair Capital</t>
  </si>
  <si>
    <t>Optimize Advisors</t>
  </si>
  <si>
    <t>Agar</t>
  </si>
  <si>
    <t>JetTek, LLC</t>
  </si>
  <si>
    <t>Orsini</t>
  </si>
  <si>
    <t>A. Derar</t>
  </si>
  <si>
    <t>Interim Chief Executive Officer</t>
  </si>
  <si>
    <t>Islim, PhD</t>
  </si>
  <si>
    <t>Segantii Capital Management</t>
  </si>
  <si>
    <t>Cortina Asset</t>
  </si>
  <si>
    <t>Sequoia Consulting Group</t>
  </si>
  <si>
    <t>Binomial Coefficient Corporation</t>
  </si>
  <si>
    <t>Tofts</t>
  </si>
  <si>
    <t>Hakan</t>
  </si>
  <si>
    <t>Malmros</t>
  </si>
  <si>
    <t>SG Kleinwort Hambros</t>
  </si>
  <si>
    <t>Donghua</t>
  </si>
  <si>
    <t>Vice President Head of Market Access Information Technology Asia Pacific</t>
  </si>
  <si>
    <t>SGX</t>
  </si>
  <si>
    <t>Koon Yong</t>
  </si>
  <si>
    <t>Shanghai Jinde Asset Management Ltd</t>
  </si>
  <si>
    <t>Sierra Global Management</t>
  </si>
  <si>
    <t>COO/CFO</t>
  </si>
  <si>
    <t>Peretz</t>
  </si>
  <si>
    <t>Kromann</t>
  </si>
  <si>
    <t>Corrigan</t>
  </si>
  <si>
    <t>Simplex Trading LLC</t>
  </si>
  <si>
    <t>Taiyo</t>
  </si>
  <si>
    <t>Vice President - Financial IT Division</t>
  </si>
  <si>
    <t>Ohtomi</t>
  </si>
  <si>
    <t>Lesley</t>
  </si>
  <si>
    <t>Velazquez</t>
  </si>
  <si>
    <t>Takagi</t>
  </si>
  <si>
    <t>WILMOT</t>
  </si>
  <si>
    <t>CIO FI IT</t>
  </si>
  <si>
    <t>Diligent</t>
  </si>
  <si>
    <t>Theo</t>
  </si>
  <si>
    <t>Viv</t>
  </si>
  <si>
    <t>Asghar</t>
  </si>
  <si>
    <t>Presifdent &amp; CEO</t>
  </si>
  <si>
    <t>Zeltwanger</t>
  </si>
  <si>
    <t>Courbebaisse</t>
  </si>
  <si>
    <t>Lawal</t>
  </si>
  <si>
    <t>Gryga</t>
  </si>
  <si>
    <t>Chantal</t>
  </si>
  <si>
    <t>Maouchi</t>
  </si>
  <si>
    <t>Crabel Capital Management</t>
  </si>
  <si>
    <t>Bellens</t>
  </si>
  <si>
    <t>CIO Global Banking</t>
  </si>
  <si>
    <t>Shipton</t>
  </si>
  <si>
    <t>Shuya</t>
  </si>
  <si>
    <t>Managing Director/Chief Information Officer</t>
  </si>
  <si>
    <t>Sova Capital</t>
  </si>
  <si>
    <t>Senior Vice President IT &amp; Chief Information Offi</t>
  </si>
  <si>
    <t>SpiderRock Trading</t>
  </si>
  <si>
    <t>Spinnaker Trust</t>
  </si>
  <si>
    <t>Square Global Markets</t>
  </si>
  <si>
    <t>Silvan</t>
  </si>
  <si>
    <t>Herriger</t>
  </si>
  <si>
    <t>SS&amp;C Technologies</t>
  </si>
  <si>
    <t>Giessen</t>
  </si>
  <si>
    <t>Cadmus</t>
  </si>
  <si>
    <t>Fawcett</t>
  </si>
  <si>
    <t>Stadion Money Management</t>
  </si>
  <si>
    <t>Chief Technology Officer Chief Operating Officer</t>
  </si>
  <si>
    <t>Chlan</t>
  </si>
  <si>
    <t>Vice President of Data Center and Technology Services</t>
  </si>
  <si>
    <t>Ag. Chief Executive.</t>
  </si>
  <si>
    <t>Gwen</t>
  </si>
  <si>
    <t>Bryden</t>
  </si>
  <si>
    <t>Starlight Capital</t>
  </si>
  <si>
    <t>State of Wisconsin Investment Board</t>
  </si>
  <si>
    <t>CIO - Equities</t>
  </si>
  <si>
    <t>Ledford</t>
  </si>
  <si>
    <t>Raitt</t>
  </si>
  <si>
    <t>Rashmi</t>
  </si>
  <si>
    <t>Vice President Head of Trading Platform Solutions</t>
  </si>
  <si>
    <t>Vice President Principal</t>
  </si>
  <si>
    <t>Prabhakar</t>
  </si>
  <si>
    <t>Conover</t>
  </si>
  <si>
    <t>Gregorio</t>
  </si>
  <si>
    <t>Schulman</t>
  </si>
  <si>
    <t>Champ</t>
  </si>
  <si>
    <t>Gillott</t>
  </si>
  <si>
    <t>Shelton</t>
  </si>
  <si>
    <t>Vice President IT ATS</t>
  </si>
  <si>
    <t>Velayudhan</t>
  </si>
  <si>
    <t>Doolittle</t>
  </si>
  <si>
    <t>Sah</t>
  </si>
  <si>
    <t>Vice President Global Product Managment</t>
  </si>
  <si>
    <t>Schoenfeld</t>
  </si>
  <si>
    <t>Katherine Kippy</t>
  </si>
  <si>
    <t>DiMatteo</t>
  </si>
  <si>
    <t>Vice President Senior Trader Portfolio Solutions</t>
  </si>
  <si>
    <t>ZHANG</t>
  </si>
  <si>
    <t>Carlin</t>
  </si>
  <si>
    <t>D'Entremont</t>
  </si>
  <si>
    <t>Iype</t>
  </si>
  <si>
    <t>Spitzer</t>
  </si>
  <si>
    <t>European COO</t>
  </si>
  <si>
    <t>Hoff</t>
  </si>
  <si>
    <t>Stone Harbor Investment Partners</t>
  </si>
  <si>
    <t>recupero</t>
  </si>
  <si>
    <t>CEO EMEA &amp; Asia</t>
  </si>
  <si>
    <t>Vice President Global Agency Equities</t>
  </si>
  <si>
    <t>Quijano</t>
  </si>
  <si>
    <t>Yamada</t>
  </si>
  <si>
    <t>Summit Fund Services LLC</t>
  </si>
  <si>
    <t>President  CIO</t>
  </si>
  <si>
    <t>Krieger</t>
  </si>
  <si>
    <t>Gulkowitz</t>
  </si>
  <si>
    <t>SumRidge Partners</t>
  </si>
  <si>
    <t>Morano</t>
  </si>
  <si>
    <t>Berlin</t>
  </si>
  <si>
    <t>Vice Chairman</t>
  </si>
  <si>
    <t>Guldimann</t>
  </si>
  <si>
    <t>President Trading</t>
  </si>
  <si>
    <t>Managing Director - Trading &amp; Client On Boarding</t>
  </si>
  <si>
    <t>Senior Vice President Sales &amp; Trading</t>
  </si>
  <si>
    <t>Sr. Vice President Global Strategy Services</t>
  </si>
  <si>
    <t>Volker</t>
  </si>
  <si>
    <t>SunTrust</t>
  </si>
  <si>
    <t>Mangan</t>
  </si>
  <si>
    <t>Tarazi</t>
  </si>
  <si>
    <t>DeArmey</t>
  </si>
  <si>
    <t>Malo</t>
  </si>
  <si>
    <t>Mccall</t>
  </si>
  <si>
    <t>Kilday</t>
  </si>
  <si>
    <t>SIG</t>
  </si>
  <si>
    <t>Dara</t>
  </si>
  <si>
    <t>Cathal</t>
  </si>
  <si>
    <t>Swan Global Investments</t>
  </si>
  <si>
    <t>Swedbank</t>
  </si>
  <si>
    <t>Organon</t>
  </si>
  <si>
    <t>Ek</t>
  </si>
  <si>
    <t>Danielsson</t>
  </si>
  <si>
    <t>Ove</t>
  </si>
  <si>
    <t>CRUX Asset</t>
  </si>
  <si>
    <t>Habib</t>
  </si>
  <si>
    <t>Niklas</t>
  </si>
  <si>
    <t>Ida</t>
  </si>
  <si>
    <t>Gustavsson</t>
  </si>
  <si>
    <t>Systematica Investments</t>
  </si>
  <si>
    <t>Systematic Selection Ltd</t>
  </si>
  <si>
    <t>Kohler</t>
  </si>
  <si>
    <t>CIO - Head of Technology</t>
  </si>
  <si>
    <t>Waesche</t>
  </si>
  <si>
    <t>TABB Group</t>
  </si>
  <si>
    <t>Taconic Capital Advisors</t>
  </si>
  <si>
    <t>Talos</t>
  </si>
  <si>
    <t>Tassat</t>
  </si>
  <si>
    <t>Zohar</t>
  </si>
  <si>
    <t>CEO of truePTS</t>
  </si>
  <si>
    <t>Hod</t>
  </si>
  <si>
    <t>CIO Fiserv</t>
  </si>
  <si>
    <t>Loisell</t>
  </si>
  <si>
    <t>Dudek</t>
  </si>
  <si>
    <t>President Institutional Client Division</t>
  </si>
  <si>
    <t>Passione</t>
  </si>
  <si>
    <t>Steinberg</t>
  </si>
  <si>
    <t>Dino</t>
  </si>
  <si>
    <t>Neustreet</t>
  </si>
  <si>
    <t>Co-Founder and CEO</t>
  </si>
  <si>
    <t>Witschen</t>
  </si>
  <si>
    <t>Blackburn</t>
  </si>
  <si>
    <t>Haley</t>
  </si>
  <si>
    <t>CTC Chicago</t>
  </si>
  <si>
    <t>Hecht</t>
  </si>
  <si>
    <t>TD Securities</t>
  </si>
  <si>
    <t>Vernon</t>
  </si>
  <si>
    <t>Vice President - FI E Trading Technology</t>
  </si>
  <si>
    <t>Hoang</t>
  </si>
  <si>
    <t>The Egyptian Exchange</t>
  </si>
  <si>
    <t>Shahira Abdel</t>
  </si>
  <si>
    <t>Advisor to the Chairman</t>
  </si>
  <si>
    <t>Bradford</t>
  </si>
  <si>
    <t>Axiomatics</t>
  </si>
  <si>
    <t>President, Axiomatics, Inc.</t>
  </si>
  <si>
    <t>Noriyuki</t>
  </si>
  <si>
    <t>Yuji</t>
  </si>
  <si>
    <t>Executive Vice President RJKK</t>
  </si>
  <si>
    <t>Takei</t>
  </si>
  <si>
    <t>Koichi</t>
  </si>
  <si>
    <t>Mel</t>
  </si>
  <si>
    <t>Qi</t>
  </si>
  <si>
    <t>Garin</t>
  </si>
  <si>
    <t>TJM Investments</t>
  </si>
  <si>
    <t>INVESTMENT_MANAGEMENT</t>
  </si>
  <si>
    <t>TORA</t>
  </si>
  <si>
    <t>Ducker</t>
  </si>
  <si>
    <t>Dykes</t>
  </si>
  <si>
    <t>Toronto Stock Exchange (TMX)</t>
  </si>
  <si>
    <t>Velox Financial Technology, LLC</t>
  </si>
  <si>
    <t>President and co-founder</t>
  </si>
  <si>
    <t>Nesbitt</t>
  </si>
  <si>
    <t>Rosario</t>
  </si>
  <si>
    <t>Torstone Technology</t>
  </si>
  <si>
    <t>Hantmann</t>
  </si>
  <si>
    <t>Partner - COO</t>
  </si>
  <si>
    <t>DiSpigna</t>
  </si>
  <si>
    <t>Tower/Spire</t>
  </si>
  <si>
    <t>Philippa</t>
  </si>
  <si>
    <t>Director and COO</t>
  </si>
  <si>
    <t>Rohan</t>
  </si>
  <si>
    <t>COO ICAP Electronic Broking</t>
  </si>
  <si>
    <t>Roper</t>
  </si>
  <si>
    <t>EMEA CIO</t>
  </si>
  <si>
    <t>Seb</t>
  </si>
  <si>
    <t>CEO Electronic Broking &amp; Info</t>
  </si>
  <si>
    <t>Hood</t>
  </si>
  <si>
    <t>Barbera</t>
  </si>
  <si>
    <t>CEO LinkBrokers Derivatives</t>
  </si>
  <si>
    <t>Lago</t>
  </si>
  <si>
    <t>TradeLogiq Markets Inc.</t>
  </si>
  <si>
    <t>Rinosh</t>
  </si>
  <si>
    <t>Rasiel</t>
  </si>
  <si>
    <t>Vice President of Engineering</t>
  </si>
  <si>
    <t>President and Chief Operating Officer</t>
  </si>
  <si>
    <t>Sredni</t>
  </si>
  <si>
    <t>Vice President of Server Technology Development</t>
  </si>
  <si>
    <t>Vice President - Trading Operations</t>
  </si>
  <si>
    <t>TradeWeb</t>
  </si>
  <si>
    <t>Osborne</t>
  </si>
  <si>
    <t>Vice President Business Technology</t>
  </si>
  <si>
    <t>Bernius</t>
  </si>
  <si>
    <t>Vice President Global Infrastructure &amp; Enterprise Technology</t>
  </si>
  <si>
    <t>Abramskiy</t>
  </si>
  <si>
    <t>Toffey</t>
  </si>
  <si>
    <t>Curvature Securities</t>
  </si>
  <si>
    <t>TradingScreen</t>
  </si>
  <si>
    <t>Chief Operating Officer and Chief Strategy Officer</t>
  </si>
  <si>
    <t>Bailleux</t>
  </si>
  <si>
    <t>Boulat</t>
  </si>
  <si>
    <t>Vice President Asia Pacific Sales</t>
  </si>
  <si>
    <t>Ahearn</t>
  </si>
  <si>
    <t>Buhannic</t>
  </si>
  <si>
    <t>Trading Technologies</t>
  </si>
  <si>
    <t>L'Huiller</t>
  </si>
  <si>
    <t>Krovina</t>
  </si>
  <si>
    <t>Advisor to the CIO</t>
  </si>
  <si>
    <t>Lemiere</t>
  </si>
  <si>
    <t>Aragona</t>
  </si>
  <si>
    <t>COO Americas &amp; EMEA</t>
  </si>
  <si>
    <t>Group Chief Technology Officer</t>
  </si>
  <si>
    <t>Traiana</t>
  </si>
  <si>
    <t>Laven</t>
  </si>
  <si>
    <t>TransMarket Group L.L.C.</t>
  </si>
  <si>
    <t>Trident America Inc</t>
  </si>
  <si>
    <t>Lardos</t>
  </si>
  <si>
    <t>Trilateral IT</t>
  </si>
  <si>
    <t>Bresnahan</t>
  </si>
  <si>
    <t>Trium Capital</t>
  </si>
  <si>
    <t>True Trade Holdings Inc</t>
  </si>
  <si>
    <t>Ankush</t>
  </si>
  <si>
    <t>Tudor Investment</t>
  </si>
  <si>
    <t>Diskin</t>
  </si>
  <si>
    <t>Broderick</t>
  </si>
  <si>
    <t>Deputy Chief Operating Officer</t>
  </si>
  <si>
    <t>Howes</t>
  </si>
  <si>
    <t>McClain</t>
  </si>
  <si>
    <t>Cuttone &amp; Co. Inc.</t>
  </si>
  <si>
    <t>Finkelshteyn</t>
  </si>
  <si>
    <t>Senior Vice President - Treasury and Trade Solutions</t>
  </si>
  <si>
    <t>Tullett Preebon</t>
  </si>
  <si>
    <t>De Sena</t>
  </si>
  <si>
    <t>Chairman and CEO</t>
  </si>
  <si>
    <t>Molinari</t>
  </si>
  <si>
    <t>Grove</t>
  </si>
  <si>
    <t>Janian</t>
  </si>
  <si>
    <t>Fry</t>
  </si>
  <si>
    <t>Micah</t>
  </si>
  <si>
    <t>Weisberger</t>
  </si>
  <si>
    <t>Co-Chairman</t>
  </si>
  <si>
    <t>Sutcliffe</t>
  </si>
  <si>
    <t>susan</t>
  </si>
  <si>
    <t>payne</t>
  </si>
  <si>
    <t>Business Manager (COO) GED Trading</t>
  </si>
  <si>
    <t>Bayett</t>
  </si>
  <si>
    <t>New COO</t>
  </si>
  <si>
    <t>COO Prime Services APAC</t>
  </si>
  <si>
    <t>Wun</t>
  </si>
  <si>
    <t>Yong-Beng</t>
  </si>
  <si>
    <t>COO Singapore</t>
  </si>
  <si>
    <t>Harsha</t>
  </si>
  <si>
    <t>Raghani</t>
  </si>
  <si>
    <t>Tchestnov</t>
  </si>
  <si>
    <t>Premkumar</t>
  </si>
  <si>
    <t>COO Hong Kong</t>
  </si>
  <si>
    <t>Garment</t>
  </si>
  <si>
    <t>DE Shaw</t>
  </si>
  <si>
    <t>Mabel</t>
  </si>
  <si>
    <t>Regional COO and HOO</t>
  </si>
  <si>
    <t>Richar</t>
  </si>
  <si>
    <t>Semark</t>
  </si>
  <si>
    <t>Global CIO Group Technology Commercial Services</t>
  </si>
  <si>
    <t>Butterworth</t>
  </si>
  <si>
    <t>AST</t>
  </si>
  <si>
    <t>COO Management Support</t>
  </si>
  <si>
    <t>Gagliotta</t>
  </si>
  <si>
    <t>Enriquez</t>
  </si>
  <si>
    <t>CIO/CEO</t>
  </si>
  <si>
    <t>FI On Boarding</t>
  </si>
  <si>
    <t>Kao</t>
  </si>
  <si>
    <t>Omori</t>
  </si>
  <si>
    <t>Denham</t>
  </si>
  <si>
    <t>Kalelkar</t>
  </si>
  <si>
    <t>Mallik</t>
  </si>
  <si>
    <t>Trogni</t>
  </si>
  <si>
    <t>Kugler</t>
  </si>
  <si>
    <t>Divisional Vice President</t>
  </si>
  <si>
    <t>Fishkin</t>
  </si>
  <si>
    <t>Schaeffler</t>
  </si>
  <si>
    <t>Singer</t>
  </si>
  <si>
    <t>Sathe</t>
  </si>
  <si>
    <t>Merchant</t>
  </si>
  <si>
    <t>Hamid</t>
  </si>
  <si>
    <t>Imtiaz "Taz"</t>
  </si>
  <si>
    <t>Hirose</t>
  </si>
  <si>
    <t>Graig</t>
  </si>
  <si>
    <t>Miyata</t>
  </si>
  <si>
    <t>Masayoshi</t>
  </si>
  <si>
    <t>InvestCloud, Inc.</t>
  </si>
  <si>
    <t>Johannes</t>
  </si>
  <si>
    <t>MD &amp; VP of the Mgmt Board</t>
  </si>
  <si>
    <t>Bardzilowski</t>
  </si>
  <si>
    <t>CFO/COO</t>
  </si>
  <si>
    <t>Kulesza</t>
  </si>
  <si>
    <t>Forster</t>
  </si>
  <si>
    <t>Napoli</t>
  </si>
  <si>
    <t>Deep</t>
  </si>
  <si>
    <t>Union Bank</t>
  </si>
  <si>
    <t>Vice President Systems Manager</t>
  </si>
  <si>
    <t>Spector</t>
  </si>
  <si>
    <t>Valkyrie</t>
  </si>
  <si>
    <t>Kaza</t>
  </si>
  <si>
    <t>Vantage Capital Markets</t>
  </si>
  <si>
    <t>Walter H.</t>
  </si>
  <si>
    <t>Executive Asst to the Chairman</t>
  </si>
  <si>
    <t>Lenhard CFA</t>
  </si>
  <si>
    <t>Velocity Trade</t>
  </si>
  <si>
    <t>Chairman and Chief Executive</t>
  </si>
  <si>
    <t>Principal + COO</t>
  </si>
  <si>
    <t>Pasternak</t>
  </si>
  <si>
    <t>President &amp; Executive Vice President</t>
  </si>
  <si>
    <t>Sanfilippo</t>
  </si>
  <si>
    <t>Chuen</t>
  </si>
  <si>
    <t>Nadav</t>
  </si>
  <si>
    <t>Assistant Vice President Electronic Trading Group</t>
  </si>
  <si>
    <t>Night</t>
  </si>
  <si>
    <t>Sultan</t>
  </si>
  <si>
    <t>Virtus Investment Partners</t>
  </si>
  <si>
    <t>Schlegel</t>
  </si>
  <si>
    <t>Waddell &amp; Reed</t>
  </si>
  <si>
    <t>Wall Street Bank</t>
  </si>
  <si>
    <t>Kelleher</t>
  </si>
  <si>
    <t>Yen</t>
  </si>
  <si>
    <t>Mostafa</t>
  </si>
  <si>
    <t>Meagher</t>
  </si>
  <si>
    <t>Christopher K.</t>
  </si>
  <si>
    <t>Hehmeyer</t>
  </si>
  <si>
    <t>MICHAEL C.</t>
  </si>
  <si>
    <t>DOYLE</t>
  </si>
  <si>
    <t>Wedbush</t>
  </si>
  <si>
    <t>Tanveer</t>
  </si>
  <si>
    <t>Anas</t>
  </si>
  <si>
    <t>Huffman</t>
  </si>
  <si>
    <t>Vice President Business Development</t>
  </si>
  <si>
    <t>Senior Vice President Investment Banking</t>
  </si>
  <si>
    <t>Paulino</t>
  </si>
  <si>
    <t>Vice President Futures Sales</t>
  </si>
  <si>
    <t>Weeden &amp; Co.</t>
  </si>
  <si>
    <t>Fang</t>
  </si>
  <si>
    <t>Mechner</t>
  </si>
  <si>
    <t>Vollero Beach</t>
  </si>
  <si>
    <t>COO/CCO</t>
  </si>
  <si>
    <t>Weiss Multi-Strategy Advisers LLC</t>
  </si>
  <si>
    <t>Nardone</t>
  </si>
  <si>
    <t>Jordi</t>
  </si>
  <si>
    <t>President CIO</t>
  </si>
  <si>
    <t>Tangney</t>
  </si>
  <si>
    <t>Vice President - Trading Bus. Mgmt Group</t>
  </si>
  <si>
    <t>Landsiedel</t>
  </si>
  <si>
    <t>Augustyn</t>
  </si>
  <si>
    <t>Gilmore</t>
  </si>
  <si>
    <t>Busch</t>
  </si>
  <si>
    <t>Taffet</t>
  </si>
  <si>
    <t>Bankable</t>
  </si>
  <si>
    <t>Richo</t>
  </si>
  <si>
    <t>Strydom</t>
  </si>
  <si>
    <t>Lucero</t>
  </si>
  <si>
    <t>Argawal</t>
  </si>
  <si>
    <t>Hooper</t>
  </si>
  <si>
    <t>Courtenay</t>
  </si>
  <si>
    <t>Westpac</t>
  </si>
  <si>
    <t>Vanderoef</t>
  </si>
  <si>
    <t>Carpenter</t>
  </si>
  <si>
    <t>Williams Trading LLC</t>
  </si>
  <si>
    <t>Bandeen</t>
  </si>
  <si>
    <t>COO__Trader</t>
  </si>
  <si>
    <t>Marciano</t>
  </si>
  <si>
    <t>Winterflood Securities</t>
  </si>
  <si>
    <t>Winton Capital</t>
  </si>
  <si>
    <t>Wolverine Trading</t>
  </si>
  <si>
    <t>Nadel</t>
  </si>
  <si>
    <t>COO &amp; Partner</t>
  </si>
  <si>
    <t>Harkness</t>
  </si>
  <si>
    <t>Sheng</t>
  </si>
  <si>
    <t>CIO-CEO</t>
  </si>
  <si>
    <t>Gust</t>
  </si>
  <si>
    <t>WorldQuant</t>
  </si>
  <si>
    <t>Tulchinsky</t>
  </si>
  <si>
    <t>Xios Technologies</t>
  </si>
  <si>
    <t>Hoog</t>
  </si>
  <si>
    <t>CIO / IT Director</t>
  </si>
  <si>
    <t>Salinas</t>
  </si>
  <si>
    <t>Adelia</t>
  </si>
  <si>
    <t>XR Trading</t>
  </si>
  <si>
    <t>Haraburda</t>
  </si>
  <si>
    <t>Bulent</t>
  </si>
  <si>
    <t>Erdemir</t>
  </si>
  <si>
    <t>Yuanta Funds</t>
  </si>
  <si>
    <t>Tseng</t>
  </si>
  <si>
    <t>Clarus Securities</t>
  </si>
  <si>
    <t>Wachovia Bank</t>
  </si>
  <si>
    <t>Shanghai Stock Exchange</t>
  </si>
  <si>
    <t>Delta Capital</t>
  </si>
  <si>
    <t>Grady</t>
  </si>
  <si>
    <t>McNulty</t>
  </si>
  <si>
    <t>CEO/President of First Banc Capital</t>
  </si>
  <si>
    <t>Meister</t>
  </si>
  <si>
    <t>Balboa</t>
  </si>
  <si>
    <t>Poirier</t>
  </si>
  <si>
    <t>ADENZA</t>
  </si>
  <si>
    <t>Margin Reform</t>
  </si>
  <si>
    <t>Sarva</t>
  </si>
  <si>
    <t>Founder &amp; President</t>
  </si>
  <si>
    <t>Clement Aghayere British Executive Chairman</t>
  </si>
  <si>
    <t>UK Chairman of the Executive Board of directors city of London</t>
  </si>
  <si>
    <t>Africa bridge capital management London UK Limited</t>
  </si>
  <si>
    <t>Allvue Systems</t>
  </si>
  <si>
    <t>Amalgamated Metal Trading</t>
  </si>
  <si>
    <t>AlphaSights</t>
  </si>
  <si>
    <t>WallaceBeth Capital</t>
  </si>
  <si>
    <t>Walleye Capital</t>
  </si>
  <si>
    <t>CEO &amp; Managing Director</t>
  </si>
  <si>
    <t>Haui</t>
  </si>
  <si>
    <t>Walter Capital</t>
  </si>
  <si>
    <t>CEO - Compliance</t>
  </si>
  <si>
    <t>Ginsburg</t>
  </si>
  <si>
    <t>Shridhar</t>
  </si>
  <si>
    <t>Aramco Trading</t>
  </si>
  <si>
    <t>Fahad I</t>
  </si>
  <si>
    <t>Fallaj</t>
  </si>
  <si>
    <t>Walthausen</t>
  </si>
  <si>
    <t>Strategy Lead, Vice President - Commercial Ops</t>
  </si>
  <si>
    <t>Lightbody</t>
  </si>
  <si>
    <t>Warsaw Stock</t>
  </si>
  <si>
    <t>Warshaw Asset</t>
  </si>
  <si>
    <t>Bikram</t>
  </si>
  <si>
    <t>Kharly</t>
  </si>
  <si>
    <t>Vice President, Marketing Product Manager</t>
  </si>
  <si>
    <t>Stauber</t>
  </si>
  <si>
    <t>Wiles</t>
  </si>
  <si>
    <t>Waterfront Capital</t>
  </si>
  <si>
    <t>Vice President - Trading Solutions</t>
  </si>
  <si>
    <t>Fiore</t>
  </si>
  <si>
    <t>Nicholas (Nick)</t>
  </si>
  <si>
    <t>Director, Commodities COO - Trading and Sales</t>
  </si>
  <si>
    <t>Chetty</t>
  </si>
  <si>
    <t>Vice President, APAC Regulatory Reporting</t>
  </si>
  <si>
    <t>Scifleet</t>
  </si>
  <si>
    <t>Family Management Corporation</t>
  </si>
  <si>
    <t>Schawel, CFA</t>
  </si>
  <si>
    <t>FIA</t>
  </si>
  <si>
    <t>Vice President Asset Management Risk</t>
  </si>
  <si>
    <t>Hartshorn, CFA</t>
  </si>
  <si>
    <t>Greenstein</t>
  </si>
  <si>
    <t>Deutsche Boerse</t>
  </si>
  <si>
    <t>Vice President, New Business Sales &amp; Strategic Business Development</t>
  </si>
  <si>
    <t>Financial Markets Consulting LLC</t>
  </si>
  <si>
    <t>Leslie R.</t>
  </si>
  <si>
    <t>Sutphen</t>
  </si>
  <si>
    <t>Financial Technologies Forum LLC</t>
  </si>
  <si>
    <t>Founder, President and Editor-in-Chief</t>
  </si>
  <si>
    <t>Finsemble</t>
  </si>
  <si>
    <t>Schleifer</t>
  </si>
  <si>
    <t>Senior Vice President Product Management</t>
  </si>
  <si>
    <t>Vice President, Account Management</t>
  </si>
  <si>
    <t>Freddie Mac</t>
  </si>
  <si>
    <t>Investments &amp; Capital Markets - Head of Counterparty Credit Risk Management, Vice President</t>
  </si>
  <si>
    <t>Futures International LLC</t>
  </si>
  <si>
    <t>Vice President - Global Commodities</t>
  </si>
  <si>
    <t>Janney</t>
  </si>
  <si>
    <t>G.P.I. GLOBAL PARTNERS INVESTMENTS LIMITED</t>
  </si>
  <si>
    <t>Founder, CEO and Global CIO</t>
  </si>
  <si>
    <t>Refaie</t>
  </si>
  <si>
    <t>Gala Technology</t>
  </si>
  <si>
    <t>Mace</t>
  </si>
  <si>
    <t>Founder, CIO</t>
  </si>
  <si>
    <t>Mescher</t>
  </si>
  <si>
    <t>GeeNee Fintech Pvt Ltd</t>
  </si>
  <si>
    <t>Sathish</t>
  </si>
  <si>
    <t>Founder Director &amp; CEO</t>
  </si>
  <si>
    <t>Kavinchal</t>
  </si>
  <si>
    <t>Generali</t>
  </si>
  <si>
    <t>Chart</t>
  </si>
  <si>
    <t>Glencore</t>
  </si>
  <si>
    <t>Aldevinas</t>
  </si>
  <si>
    <t>Burokas</t>
  </si>
  <si>
    <t>Vice President | Information Technology Auditor | Salt Lake City, UT</t>
  </si>
  <si>
    <t>Vice President, Futures</t>
  </si>
  <si>
    <t>Wilkin</t>
  </si>
  <si>
    <t>Golem Algorithmic Trading</t>
  </si>
  <si>
    <t>Ziacik</t>
  </si>
  <si>
    <t>Hexaview Technologies Inc.</t>
  </si>
  <si>
    <t>Venables</t>
  </si>
  <si>
    <t>IndusInd Bank</t>
  </si>
  <si>
    <t>Chief Operating Officer Trade Vault</t>
  </si>
  <si>
    <t>Lawlor</t>
  </si>
  <si>
    <t>Chief Operating Officer, ICE Futures U.S.</t>
  </si>
  <si>
    <t>Yaz</t>
  </si>
  <si>
    <t>Chief Investment Officer - Quantitative Solutions, Multi-Asset Solutions</t>
  </si>
  <si>
    <t>Romahi</t>
  </si>
  <si>
    <t>Devkatte</t>
  </si>
  <si>
    <t>Caldarera</t>
  </si>
  <si>
    <t>Jrme</t>
  </si>
  <si>
    <t>Oz</t>
  </si>
  <si>
    <t>Rubenstein</t>
  </si>
  <si>
    <t>Program Project Manager/Regulatory Vice President</t>
  </si>
  <si>
    <t>Pedditzi</t>
  </si>
  <si>
    <t>JS Capital</t>
  </si>
  <si>
    <t>Vice President, Head of Commodities Trading</t>
  </si>
  <si>
    <t>Korea Exchange</t>
  </si>
  <si>
    <t>Chang-geun</t>
  </si>
  <si>
    <t>Yun</t>
  </si>
  <si>
    <t>Managing Partner &amp; CEO</t>
  </si>
  <si>
    <t>Vice President of Implementations</t>
  </si>
  <si>
    <t>Fazal</t>
  </si>
  <si>
    <t>Vice President - Relationship Management</t>
  </si>
  <si>
    <t>Netherton</t>
  </si>
  <si>
    <t>Vice President | Senior Technical Account Manager</t>
  </si>
  <si>
    <t>Head of China, Senior Vice President</t>
  </si>
  <si>
    <t>Senior Vice President - Market Structure</t>
  </si>
  <si>
    <t>Mears</t>
  </si>
  <si>
    <t>Wellington Shields</t>
  </si>
  <si>
    <t>Vice President - Institution Services</t>
  </si>
  <si>
    <t>Marley</t>
  </si>
  <si>
    <t>Lauwrens CMILT</t>
  </si>
  <si>
    <t>Manulife Investment Management</t>
  </si>
  <si>
    <t>Chief Operating Officer - Liquid Products NA</t>
  </si>
  <si>
    <t>Kaiser</t>
  </si>
  <si>
    <t>Senior Vice President - Prime Clearing Services</t>
  </si>
  <si>
    <t>Vice President Of Business Development of Clearing Services</t>
  </si>
  <si>
    <t>CEO - Marex Spectron Europe Limited</t>
  </si>
  <si>
    <t>Wells Capital</t>
  </si>
  <si>
    <t>Medway Investments</t>
  </si>
  <si>
    <t>Eric SayWei</t>
  </si>
  <si>
    <t>Kilbourne</t>
  </si>
  <si>
    <t>Merk Investments</t>
  </si>
  <si>
    <t>President &amp; CIO</t>
  </si>
  <si>
    <t>Merk</t>
  </si>
  <si>
    <t>Somjee</t>
  </si>
  <si>
    <t>Khlo U.</t>
  </si>
  <si>
    <t>Founder and President, Financial Advisor and CERTIFIED FINANCIAL PLANNER</t>
  </si>
  <si>
    <t>Karova, CERTIFIED FINANCIAL PLANNER</t>
  </si>
  <si>
    <t>Mondeum Financial Holdings, Inc.</t>
  </si>
  <si>
    <t>Michael J</t>
  </si>
  <si>
    <t>Milani</t>
  </si>
  <si>
    <t>Cassandra</t>
  </si>
  <si>
    <t>Wezner</t>
  </si>
  <si>
    <t>Vice President - Trading Operations Risk Management</t>
  </si>
  <si>
    <t>Wilsdon</t>
  </si>
  <si>
    <t>Vice President (Fixed Income Division) | Business Unit Risk Management</t>
  </si>
  <si>
    <t>Leung, CPA</t>
  </si>
  <si>
    <t>Lazar</t>
  </si>
  <si>
    <t>MSCI Inc.</t>
  </si>
  <si>
    <t>Vice President, Vendor Management</t>
  </si>
  <si>
    <t>Murphie</t>
  </si>
  <si>
    <t>Csar G.</t>
  </si>
  <si>
    <t>Risk Manager Analytics Team Lead, Vice President</t>
  </si>
  <si>
    <t>Cullar</t>
  </si>
  <si>
    <t>Vice President, Operational Risk</t>
  </si>
  <si>
    <t>Galloway</t>
  </si>
  <si>
    <t>Associate Vice President</t>
  </si>
  <si>
    <t>Paulson</t>
  </si>
  <si>
    <t>Chief Technology Officer - Nasdaq Clearing</t>
  </si>
  <si>
    <t>President Nasdaq Stockholm</t>
  </si>
  <si>
    <t>Ekstrm</t>
  </si>
  <si>
    <t>Chai</t>
  </si>
  <si>
    <t>Assistant Vice President, Sales</t>
  </si>
  <si>
    <t>Amer</t>
  </si>
  <si>
    <t>Wiener</t>
  </si>
  <si>
    <t>nextmarkets AG</t>
  </si>
  <si>
    <t>COO, Director</t>
  </si>
  <si>
    <t>North America Head of Exchange Traded Derivatives, Operations - Vice President</t>
  </si>
  <si>
    <t>Senior Compliance Consultant, Vice President</t>
  </si>
  <si>
    <t>Hatten</t>
  </si>
  <si>
    <t>Osttra</t>
  </si>
  <si>
    <t>CEO &amp; Head of Trading</t>
  </si>
  <si>
    <t>Barriga</t>
  </si>
  <si>
    <t>Palm Oil Milling and Trading</t>
  </si>
  <si>
    <t>Pensions &amp; Investments</t>
  </si>
  <si>
    <t>Ablan</t>
  </si>
  <si>
    <t>Eli</t>
  </si>
  <si>
    <t>Vice President, Execution Services</t>
  </si>
  <si>
    <t>Jude</t>
  </si>
  <si>
    <t>Praxis Digital Trading Group</t>
  </si>
  <si>
    <t>CEO and CoFounder</t>
  </si>
  <si>
    <t>Brescia</t>
  </si>
  <si>
    <t>Prime Trading</t>
  </si>
  <si>
    <t>Vice President of Systems Development</t>
  </si>
  <si>
    <t>D'Erasmo</t>
  </si>
  <si>
    <t>Prashar</t>
  </si>
  <si>
    <t>Qontigo</t>
  </si>
  <si>
    <t>Carrier</t>
  </si>
  <si>
    <t>Quants, Inc.</t>
  </si>
  <si>
    <t>Gokhan J</t>
  </si>
  <si>
    <t>CEO &amp; CIO</t>
  </si>
  <si>
    <t>Kisacikoglu</t>
  </si>
  <si>
    <t>Sunderland</t>
  </si>
  <si>
    <t>Revillion-Castro</t>
  </si>
  <si>
    <t>Jourquin</t>
  </si>
  <si>
    <t>Senior Vice President Business Development</t>
  </si>
  <si>
    <t>Riddoch</t>
  </si>
  <si>
    <t>Vice President - Electronic Trading Services</t>
  </si>
  <si>
    <t>Deputy General Counsel/Board Secretary</t>
  </si>
  <si>
    <t>Turner Investment</t>
  </si>
  <si>
    <t>Daly</t>
  </si>
  <si>
    <t>Richard G</t>
  </si>
  <si>
    <t>Ab</t>
  </si>
  <si>
    <t>CFO Treasury</t>
  </si>
  <si>
    <t>ter Horst</t>
  </si>
  <si>
    <t>COO Capital Markets</t>
  </si>
  <si>
    <t>BULLEY</t>
  </si>
  <si>
    <t>Regiment Securities</t>
  </si>
  <si>
    <t>Regnology</t>
  </si>
  <si>
    <t>Naoya</t>
  </si>
  <si>
    <t>Capoti</t>
  </si>
  <si>
    <t>Sadrian</t>
  </si>
  <si>
    <t>Vice President, Chief Analytics Officer</t>
  </si>
  <si>
    <t>Dolen</t>
  </si>
  <si>
    <t>Saudi Exchange</t>
  </si>
  <si>
    <t>Wael</t>
  </si>
  <si>
    <t>Board Member at Saudi Exhange</t>
  </si>
  <si>
    <t>AlHazzani</t>
  </si>
  <si>
    <t>Self-employed</t>
  </si>
  <si>
    <t>Shafman</t>
  </si>
  <si>
    <t>Bigelow</t>
  </si>
  <si>
    <t>CEO SIX SIS AG, Head Commercials SIX Securities Services</t>
  </si>
  <si>
    <t>Harreus</t>
  </si>
  <si>
    <t>Vice President of Business Development</t>
  </si>
  <si>
    <t>COO, Global Markets Russia</t>
  </si>
  <si>
    <t>Tsarenko</t>
  </si>
  <si>
    <t>Vice President Cross Asset Execution</t>
  </si>
  <si>
    <t>Spannaus</t>
  </si>
  <si>
    <t>Vice President of Electronic Execution Services</t>
  </si>
  <si>
    <t>Chief Operating Officer - Coverage for European Corporates</t>
  </si>
  <si>
    <t>Fremont</t>
  </si>
  <si>
    <t>Farida</t>
  </si>
  <si>
    <t>Vice President Structured Finance</t>
  </si>
  <si>
    <t>Essobmadje, CFA</t>
  </si>
  <si>
    <t>person</t>
  </si>
  <si>
    <t>Sonali Bank (UK)</t>
  </si>
  <si>
    <t>Bate</t>
  </si>
  <si>
    <t>Business Manager COO Commodities</t>
  </si>
  <si>
    <t>Group Chief Information Officer, Transaction Banking</t>
  </si>
  <si>
    <t>Lyon</t>
  </si>
  <si>
    <t>Vice President of Marketing - EMEA-A</t>
  </si>
  <si>
    <t>Vice President-Senior OTC FX Trader</t>
  </si>
  <si>
    <t>Holguin</t>
  </si>
  <si>
    <t>FCM Division President Latin America</t>
  </si>
  <si>
    <t>Schaps</t>
  </si>
  <si>
    <t>CEO - Asia Pacific</t>
  </si>
  <si>
    <t>Peltier</t>
  </si>
  <si>
    <t>Executive Assistant To Chief Executive Officer</t>
  </si>
  <si>
    <t>Thals Trading Solutions LLC</t>
  </si>
  <si>
    <t>Partner, President &amp; COO</t>
  </si>
  <si>
    <t>Theorem Technologies</t>
  </si>
  <si>
    <t>President &amp; Co-Founder</t>
  </si>
  <si>
    <t>CEO and co-CIO</t>
  </si>
  <si>
    <t>Friedberger</t>
  </si>
  <si>
    <t>Broadway Technology</t>
  </si>
  <si>
    <t>Chief Operating Officer, Global Broking</t>
  </si>
  <si>
    <t>CIO, Energy and Commodities</t>
  </si>
  <si>
    <t>Schumacher</t>
  </si>
  <si>
    <t>TradeDay</t>
  </si>
  <si>
    <t>Vice President, Marketing, Asia</t>
  </si>
  <si>
    <t>Pritesh C</t>
  </si>
  <si>
    <t>MiFID 2 Regulatory Transaction Reporting  Vice President of Technology</t>
  </si>
  <si>
    <t>Badiani</t>
  </si>
  <si>
    <t>CEO Trading Technologies</t>
  </si>
  <si>
    <t>Todd CBE</t>
  </si>
  <si>
    <t>TRAFiX LLC</t>
  </si>
  <si>
    <t>Founder/CIO</t>
  </si>
  <si>
    <t>Cagle</t>
  </si>
  <si>
    <t>WH Trading</t>
  </si>
  <si>
    <t>Solita</t>
  </si>
  <si>
    <t>Chief Investment Officer Americas</t>
  </si>
  <si>
    <t>Marcelli</t>
  </si>
  <si>
    <t>Unbanked</t>
  </si>
  <si>
    <t>Cawdron</t>
  </si>
  <si>
    <t>USAM Group</t>
  </si>
  <si>
    <t>Vertical Aerospace</t>
  </si>
  <si>
    <t>Co-Founder &amp; EVP/ Group COO</t>
  </si>
  <si>
    <t>Clear</t>
  </si>
  <si>
    <t>Suppiah</t>
  </si>
  <si>
    <t>Clearfield Capital</t>
  </si>
  <si>
    <t>Tehako</t>
  </si>
  <si>
    <t>heidi</t>
  </si>
  <si>
    <t>Vice President, Portfolio Accounting Operations Technology</t>
  </si>
  <si>
    <t>lindert</t>
  </si>
  <si>
    <t>COO Foreign Exchange Sales &amp; Trading</t>
  </si>
  <si>
    <t>Thorburn</t>
  </si>
  <si>
    <t>Vice President, Electronic Trading FIX Support</t>
  </si>
  <si>
    <t>Hullinger</t>
  </si>
  <si>
    <t>Xceptor</t>
  </si>
  <si>
    <t>Brooke-Webb</t>
  </si>
  <si>
    <t>White Pine</t>
  </si>
  <si>
    <t>Hardy</t>
  </si>
  <si>
    <t>Zeno Technologies</t>
  </si>
  <si>
    <t>Carnahan</t>
  </si>
  <si>
    <t>Zero Hash</t>
  </si>
  <si>
    <t>Co-Founder &amp; CEO</t>
  </si>
  <si>
    <t>Woodford</t>
  </si>
  <si>
    <t>Zions Bank</t>
  </si>
  <si>
    <t>Cafarelli</t>
  </si>
  <si>
    <t>capital.com</t>
  </si>
  <si>
    <t>CEO &amp; Executive Director</t>
  </si>
  <si>
    <t>White Square</t>
  </si>
  <si>
    <t>Mahil</t>
  </si>
  <si>
    <t>Citco Fund Services</t>
  </si>
  <si>
    <t>Vice President of Sales, Broadridge Trading and Connectivity Solutions</t>
  </si>
  <si>
    <t>Bonner</t>
  </si>
  <si>
    <t>Williams Financial</t>
  </si>
  <si>
    <t>Vice President Risk Governance</t>
  </si>
  <si>
    <t>Ruiz Chvez</t>
  </si>
  <si>
    <t>Wilmington Trust</t>
  </si>
  <si>
    <t>ClearBlue Markets</t>
  </si>
  <si>
    <t>Girod</t>
  </si>
  <si>
    <t>Chief Executive Officer - Clearstream Holding AG</t>
  </si>
  <si>
    <t>Wilson Financial</t>
  </si>
  <si>
    <t>Mody</t>
  </si>
  <si>
    <t>Michael F</t>
  </si>
  <si>
    <t>Iosif</t>
  </si>
  <si>
    <t>CEO, co-founder</t>
  </si>
  <si>
    <t>Itkin</t>
  </si>
  <si>
    <t>Nazare Point</t>
  </si>
  <si>
    <t>Teifeld</t>
  </si>
  <si>
    <t>Wingspan Investment</t>
  </si>
  <si>
    <t>Stephen (Steve)</t>
  </si>
  <si>
    <t>McCauley</t>
  </si>
  <si>
    <t>Grupo Vitra</t>
  </si>
  <si>
    <t>Jo?o Paulo</t>
  </si>
  <si>
    <t>CEO Ativista</t>
  </si>
  <si>
    <t>Pacifico</t>
  </si>
  <si>
    <t>Wise Funds</t>
  </si>
  <si>
    <t>Petrescu</t>
  </si>
  <si>
    <t>W J</t>
  </si>
  <si>
    <t>Crdit Agricole CIB</t>
  </si>
  <si>
    <t>Schiavo</t>
  </si>
  <si>
    <t>Berk</t>
  </si>
  <si>
    <t>Stuhler</t>
  </si>
  <si>
    <t>Sis</t>
  </si>
  <si>
    <t>Wolfe Trahan</t>
  </si>
  <si>
    <t>CFO, VP Finance &amp; Risk Management</t>
  </si>
  <si>
    <t>Srensen</t>
  </si>
  <si>
    <t>Capitolis</t>
  </si>
  <si>
    <t>Milos</t>
  </si>
  <si>
    <t>Marinkovic</t>
  </si>
  <si>
    <t>Colossus Technologies Group</t>
  </si>
  <si>
    <t>Global Strategic Advisor to the Board of Ascent Business</t>
  </si>
  <si>
    <t>Anthem, Inc.</t>
  </si>
  <si>
    <t>Executive Director, CFO North America Institutional &amp; Global Insurance Solutions</t>
  </si>
  <si>
    <t>Voloshin, MBA</t>
  </si>
  <si>
    <t>UST Global</t>
  </si>
  <si>
    <t>Vice President, Business Development</t>
  </si>
  <si>
    <t>President Creditex</t>
  </si>
  <si>
    <t>Chojar</t>
  </si>
  <si>
    <t>Hoch</t>
  </si>
  <si>
    <t>Virtusa</t>
  </si>
  <si>
    <t>Sr. Vice President, Segment Head - Banking &amp; Financial Services</t>
  </si>
  <si>
    <t>Kathir</t>
  </si>
  <si>
    <t>Cubist</t>
  </si>
  <si>
    <t>Kuwar</t>
  </si>
  <si>
    <t>Vice President Project Engineering</t>
  </si>
  <si>
    <t>Podesta</t>
  </si>
  <si>
    <t>WhiteCrow Research</t>
  </si>
  <si>
    <t>Vice President, Market Intelligence and Analytics</t>
  </si>
  <si>
    <t>Moskowitz</t>
  </si>
  <si>
    <t>Bank of the West</t>
  </si>
  <si>
    <t>FINRA</t>
  </si>
  <si>
    <t>Senior Vice President   Mortgages</t>
  </si>
  <si>
    <t>Spallanzani</t>
  </si>
  <si>
    <t>Aleena</t>
  </si>
  <si>
    <t>Senior Vice President, Health Digital</t>
  </si>
  <si>
    <t>Hasnain, MPS</t>
  </si>
  <si>
    <t>Sareen</t>
  </si>
  <si>
    <t>Yogi</t>
  </si>
  <si>
    <t>Vice President QT Fund</t>
  </si>
  <si>
    <t>Global Vice President, Business Development</t>
  </si>
  <si>
    <t>Zarb</t>
  </si>
  <si>
    <t>Vice President, Director of Business Development</t>
  </si>
  <si>
    <t>Gaffud</t>
  </si>
  <si>
    <t>Woodline Partners</t>
  </si>
  <si>
    <t>CEO and Co Founder</t>
  </si>
  <si>
    <t>Bedford</t>
  </si>
  <si>
    <t>Visible Alpha</t>
  </si>
  <si>
    <t>Nordic Capital</t>
  </si>
  <si>
    <t>Bonetti</t>
  </si>
  <si>
    <t>Junkins</t>
  </si>
  <si>
    <t>European Commodity Clearing AG</t>
  </si>
  <si>
    <t>Eventus</t>
  </si>
  <si>
    <t>Linqto</t>
  </si>
  <si>
    <t>Joseph A.</t>
  </si>
  <si>
    <t>Endoso</t>
  </si>
  <si>
    <t>Camp</t>
  </si>
  <si>
    <t>Clearline Capital</t>
  </si>
  <si>
    <t>Cambridge</t>
  </si>
  <si>
    <t>X Chequer</t>
  </si>
  <si>
    <t>Vice President - Network Associate</t>
  </si>
  <si>
    <t>More PMP (He/Him/His)</t>
  </si>
  <si>
    <t>Demand Inc</t>
  </si>
  <si>
    <t>Xingtai Capital</t>
  </si>
  <si>
    <t>OCallaghan</t>
  </si>
  <si>
    <t>Bhasin</t>
  </si>
  <si>
    <t>xITee</t>
  </si>
  <si>
    <t>Bjarni</t>
  </si>
  <si>
    <t>Rupert</t>
  </si>
  <si>
    <t>Adgorithmics LLC</t>
  </si>
  <si>
    <t>AFA Finance</t>
  </si>
  <si>
    <t>CEO / Partner</t>
  </si>
  <si>
    <t>Chief Information Security Officer, AIG Japan Holdings KK</t>
  </si>
  <si>
    <t>Marsillo</t>
  </si>
  <si>
    <t>Alfa Bank</t>
  </si>
  <si>
    <t>Poliakoff</t>
  </si>
  <si>
    <t>Vice President, Consulting Accounts</t>
  </si>
  <si>
    <t>EVP Global Infrastructure &amp; Digital Workplace; Unit CIO - Global Merchant &amp; Network Services</t>
  </si>
  <si>
    <t>Saluzzo</t>
  </si>
  <si>
    <t>Sherri</t>
  </si>
  <si>
    <t>Executive Assistant to Nancy Smith, President &amp; CEO</t>
  </si>
  <si>
    <t>EPAM Systems</t>
  </si>
  <si>
    <t>Bhawani Nandan</t>
  </si>
  <si>
    <t>Metapolis</t>
  </si>
  <si>
    <t>Kantelia</t>
  </si>
  <si>
    <t>Vice President, Global Trading Strategies</t>
  </si>
  <si>
    <t>Kawabata</t>
  </si>
  <si>
    <t>Alveo Technology</t>
  </si>
  <si>
    <t>Hermeling</t>
  </si>
  <si>
    <t>Aurelius Capital Management, LP</t>
  </si>
  <si>
    <t>Modica</t>
  </si>
  <si>
    <t>Pecheny</t>
  </si>
  <si>
    <t>Saleh</t>
  </si>
  <si>
    <t>Painkras</t>
  </si>
  <si>
    <t>Vice President - Quartz Core</t>
  </si>
  <si>
    <t>BOX Options Market LLC</t>
  </si>
  <si>
    <t>Anaglate</t>
  </si>
  <si>
    <t>Senior Vice President, Global Executive Search</t>
  </si>
  <si>
    <t>Livshiz</t>
  </si>
  <si>
    <t>Clear Peak</t>
  </si>
  <si>
    <t>Laver</t>
  </si>
  <si>
    <t>Yakov</t>
  </si>
  <si>
    <t>Tokar</t>
  </si>
  <si>
    <t>Asia Global Market Operations - Business Support Manager / COO</t>
  </si>
  <si>
    <t>Chief Operating Officer Group</t>
  </si>
  <si>
    <t>Kuck</t>
  </si>
  <si>
    <t>Senior Vice President, Sales</t>
  </si>
  <si>
    <t>Salamanca</t>
  </si>
  <si>
    <t>Aimen</t>
  </si>
  <si>
    <t>Vice President  Equity Investable Indices Technology</t>
  </si>
  <si>
    <t>Beardsworth</t>
  </si>
  <si>
    <t>Sloan</t>
  </si>
  <si>
    <t>US Bancorp</t>
  </si>
  <si>
    <t>Trustee and Chairman, ETF Series Solution ETF Trust</t>
  </si>
  <si>
    <t>Castino</t>
  </si>
  <si>
    <t>Group COO Executive Search</t>
  </si>
  <si>
    <t>Nakul</t>
  </si>
  <si>
    <t>Vice President  Electronic Trading</t>
  </si>
  <si>
    <t>7RIDGE</t>
  </si>
  <si>
    <t>Novak</t>
  </si>
  <si>
    <t>Shishir</t>
  </si>
  <si>
    <t>Vikesh</t>
  </si>
  <si>
    <t>Chauhan</t>
  </si>
  <si>
    <t>Sunil kumar</t>
  </si>
  <si>
    <t>CDO, Vice President</t>
  </si>
  <si>
    <t>Sayant</t>
  </si>
  <si>
    <t>Moody's Analytics</t>
  </si>
  <si>
    <t>Beacon Platform</t>
  </si>
  <si>
    <t>Kirat</t>
  </si>
  <si>
    <t>Co-Founder and COO</t>
  </si>
  <si>
    <t>BlueCrest Capital Management</t>
  </si>
  <si>
    <t>Chief Operating Officer, Global Investor Coverage</t>
  </si>
  <si>
    <t>COO Automated Market Making</t>
  </si>
  <si>
    <t>Vice President / Capital Markets Group</t>
  </si>
  <si>
    <t>Takaj</t>
  </si>
  <si>
    <t>Managing Director CFO of Technology</t>
  </si>
  <si>
    <t>Managing Director, CIO of Wealth Management Technology at BNY Mellon</t>
  </si>
  <si>
    <t>Shua</t>
  </si>
  <si>
    <t>CIO / Managing Director, Alternative Investment Services</t>
  </si>
  <si>
    <t>Chairman, BNY Mellon Pennsylvania &amp; Global Head, Treasury Services Business Development</t>
  </si>
  <si>
    <t>Boughner</t>
  </si>
  <si>
    <t>Mangla</t>
  </si>
  <si>
    <t>Vice President, Data Intelligence &amp; Analytics</t>
  </si>
  <si>
    <t>Repaka</t>
  </si>
  <si>
    <t>Sr Vice President</t>
  </si>
  <si>
    <t>Biro</t>
  </si>
  <si>
    <t>Vice President / IT Project Manager</t>
  </si>
  <si>
    <t>Wallis, PMP</t>
  </si>
  <si>
    <t>The Bank Of New York Mellon</t>
  </si>
  <si>
    <t>Vemuri</t>
  </si>
  <si>
    <t>Vice President Quality Assurance</t>
  </si>
  <si>
    <t>Vice President TechOps Engineering</t>
  </si>
  <si>
    <t>DeRosa</t>
  </si>
  <si>
    <t>Diaper</t>
  </si>
  <si>
    <t>Nethercott</t>
  </si>
  <si>
    <t>CB Inc.</t>
  </si>
  <si>
    <t>dupe_Pl</t>
  </si>
  <si>
    <t>dupe_Hye</t>
  </si>
  <si>
    <t>GRCS</t>
  </si>
  <si>
    <t>Lawrey</t>
  </si>
  <si>
    <t>Kale</t>
  </si>
  <si>
    <t>Vice President - Technology Talent Partner</t>
  </si>
  <si>
    <t>Chairman of the UK Disability Network at Citi</t>
  </si>
  <si>
    <t>Wells FCA</t>
  </si>
  <si>
    <t>Vice President (Application Support Technical Specialist)</t>
  </si>
  <si>
    <t>Senior Vice President - ICG Global Compliance Program Management</t>
  </si>
  <si>
    <t>Mete</t>
  </si>
  <si>
    <t>Ihab</t>
  </si>
  <si>
    <t>Vice President Equity Derivatives</t>
  </si>
  <si>
    <t>SELMI, MFE, CFA, FRM</t>
  </si>
  <si>
    <t>Banda</t>
  </si>
  <si>
    <t>Pandey, FRM, PMP, CBAP</t>
  </si>
  <si>
    <t>Vice President, Executive Recruiter IT Markets</t>
  </si>
  <si>
    <t>Batarin (katherine.batarin@citi.com)</t>
  </si>
  <si>
    <t>Mamadou</t>
  </si>
  <si>
    <t>Diene</t>
  </si>
  <si>
    <t>Senior Vice President * Head of Global Business Systems (E-Trading)</t>
  </si>
  <si>
    <t>Anklesaria</t>
  </si>
  <si>
    <t>Conn</t>
  </si>
  <si>
    <t>Herbst</t>
  </si>
  <si>
    <t>Lucas, PMP</t>
  </si>
  <si>
    <t>Tasker</t>
  </si>
  <si>
    <t>Director CIO Enabling Technologies - Head of Messaging Services</t>
  </si>
  <si>
    <t>Hooton</t>
  </si>
  <si>
    <t>Nouvel</t>
  </si>
  <si>
    <t>IT Dev lead - Vice President</t>
  </si>
  <si>
    <t>Vice President / Global Head of Business Analysis &amp; Proj. Mgmt group in Collateral and Liquidity</t>
  </si>
  <si>
    <t>Kolavennu</t>
  </si>
  <si>
    <t>Xinyu</t>
  </si>
  <si>
    <t>Vice President - Midcap Trading</t>
  </si>
  <si>
    <t>Ashby</t>
  </si>
  <si>
    <t>Zenoz</t>
  </si>
  <si>
    <t>Chief Executive Officer, Co-Founder</t>
  </si>
  <si>
    <t>Americas Communications Surveillance Lead , Vice President</t>
  </si>
  <si>
    <t>Karoleski</t>
  </si>
  <si>
    <t>Joneja</t>
  </si>
  <si>
    <t>Chief Information Security Officer - Chief Security Officer - US Legal Entities</t>
  </si>
  <si>
    <t>Piket</t>
  </si>
  <si>
    <t>Nundy</t>
  </si>
  <si>
    <t>Pathy</t>
  </si>
  <si>
    <t>Vice President, FX Technology</t>
  </si>
  <si>
    <t>Dahiya</t>
  </si>
  <si>
    <t>Emre</t>
  </si>
  <si>
    <t>PROTIUM</t>
  </si>
  <si>
    <t>Dhrumil</t>
  </si>
  <si>
    <t>Global CIO Corporate Technology</t>
  </si>
  <si>
    <t>Managing Director, CIO - Global Treasury Technology</t>
  </si>
  <si>
    <t>Laura Ann</t>
  </si>
  <si>
    <t>Michelcic</t>
  </si>
  <si>
    <t>CIO Regulatory and Compliance</t>
  </si>
  <si>
    <t>Vasudevan</t>
  </si>
  <si>
    <t>Vice President FX Rates HFT</t>
  </si>
  <si>
    <t>Macharaj</t>
  </si>
  <si>
    <t>Tyagi,</t>
  </si>
  <si>
    <t>Chief Information Officer, Corporate and Investment Banking</t>
  </si>
  <si>
    <t>Marcar</t>
  </si>
  <si>
    <t>Karmarkar</t>
  </si>
  <si>
    <t>Gandre</t>
  </si>
  <si>
    <t>Natarajan(Nat)</t>
  </si>
  <si>
    <t>Vice President - Product Manager</t>
  </si>
  <si>
    <t>Volodymyr</t>
  </si>
  <si>
    <t>Andreiev</t>
  </si>
  <si>
    <t>Global Markets Vice President</t>
  </si>
  <si>
    <t>Blankenship</t>
  </si>
  <si>
    <t>COO, Hong Kong Wealth Management (Executive Director)</t>
  </si>
  <si>
    <t>Sharkey</t>
  </si>
  <si>
    <t>Nephila Capital</t>
  </si>
  <si>
    <t>Calabro</t>
  </si>
  <si>
    <t>Ami</t>
  </si>
  <si>
    <t>Vice Chairman, US Leader Integrated Services and Offerings</t>
  </si>
  <si>
    <t>Silvers</t>
  </si>
  <si>
    <t>Human Capital CFO Services Leader and Workforce Transformation Principal</t>
  </si>
  <si>
    <t>Dicks</t>
  </si>
  <si>
    <t>CLS Bank</t>
  </si>
  <si>
    <t>Vice President, Human Capital Business Partner</t>
  </si>
  <si>
    <t>Moscovitz</t>
  </si>
  <si>
    <t>Edelweiss Financial Services</t>
  </si>
  <si>
    <t>Vice President, Global Segment Marketing</t>
  </si>
  <si>
    <t>Madden (he/him)</t>
  </si>
  <si>
    <t>ETFLogic</t>
  </si>
  <si>
    <t>COO &amp; Co-Founder</t>
  </si>
  <si>
    <t>Relocated from Jersey to the UK and looking for the next challenge</t>
  </si>
  <si>
    <t>Group CFO | Director</t>
  </si>
  <si>
    <t>Roxburgh</t>
  </si>
  <si>
    <t>Infosys</t>
  </si>
  <si>
    <t>Witold</t>
  </si>
  <si>
    <t>Griggs</t>
  </si>
  <si>
    <t>Senior Vice President, Head of Cognitive Computing, Fidelity IT Fellow</t>
  </si>
  <si>
    <t>Chun</t>
  </si>
  <si>
    <t>Full Health Medical</t>
  </si>
  <si>
    <t>Chairman &amp; Co-Founder</t>
  </si>
  <si>
    <t>Shortt</t>
  </si>
  <si>
    <t>Scott Logic</t>
  </si>
  <si>
    <t>Board Of Directors</t>
  </si>
  <si>
    <t>Eberhardt</t>
  </si>
  <si>
    <t>First American Trust, FSB</t>
  </si>
  <si>
    <t>Robinson-Duff III CFA</t>
  </si>
  <si>
    <t>Group President, Post Trade Services at FIS</t>
  </si>
  <si>
    <t>CIO, SVP Fiserv Credit Union Solutions</t>
  </si>
  <si>
    <t>Caldwell</t>
  </si>
  <si>
    <t>Senior Vice President - Chief Architect</t>
  </si>
  <si>
    <t>Momentum Global Investment</t>
  </si>
  <si>
    <t>Chief Executive</t>
  </si>
  <si>
    <t>Royal</t>
  </si>
  <si>
    <t>GQR Global Markets</t>
  </si>
  <si>
    <t>Vice President - Legal Executive Search</t>
  </si>
  <si>
    <t>Rosario-Gregory</t>
  </si>
  <si>
    <t>Hutton Consulting</t>
  </si>
  <si>
    <t>Olly</t>
  </si>
  <si>
    <t>Vice President - Head of Electronic Trading Technology</t>
  </si>
  <si>
    <t>Nimit</t>
  </si>
  <si>
    <t>Vice President-Regulatory and Finance Controller</t>
  </si>
  <si>
    <t>Khamesra</t>
  </si>
  <si>
    <t>Equity Data Strategist, Vice President (Securities Division)</t>
  </si>
  <si>
    <t>Stead</t>
  </si>
  <si>
    <t>Mahableshwarkar</t>
  </si>
  <si>
    <t>Yasumoto</t>
  </si>
  <si>
    <t>Vice President, Senior Engineer</t>
  </si>
  <si>
    <t>Seetharaman</t>
  </si>
  <si>
    <t>Emero</t>
  </si>
  <si>
    <t>Madhusudhan</t>
  </si>
  <si>
    <t>Anmol</t>
  </si>
  <si>
    <t>Technology Fellow / Vice President</t>
  </si>
  <si>
    <t>Chidambaram (Chidhu)</t>
  </si>
  <si>
    <t>Vice President Macro Sales Global Portfolio Trading</t>
  </si>
  <si>
    <t>Carly</t>
  </si>
  <si>
    <t>Executive Director Vice President</t>
  </si>
  <si>
    <t>Golygowski</t>
  </si>
  <si>
    <t>Unqork</t>
  </si>
  <si>
    <t>Vinit</t>
  </si>
  <si>
    <t>Pinchback III</t>
  </si>
  <si>
    <t>Nishith</t>
  </si>
  <si>
    <t>Vice President, Investment Banking Technology</t>
  </si>
  <si>
    <t>biga</t>
  </si>
  <si>
    <t>Vice President, Sr. Engineer, IMD Core PM/Trading</t>
  </si>
  <si>
    <t>Tupe</t>
  </si>
  <si>
    <t>S Bhandare</t>
  </si>
  <si>
    <t>Vice President, Securities Division [Tech]</t>
  </si>
  <si>
    <t>Dunbabin</t>
  </si>
  <si>
    <t>Amod S</t>
  </si>
  <si>
    <t>Vice President - Co Head Engineering Experienced Hire Recruiting</t>
  </si>
  <si>
    <t>Peyrovian</t>
  </si>
  <si>
    <t>Vice President - Senior Engineer</t>
  </si>
  <si>
    <t>Baxi</t>
  </si>
  <si>
    <t>Vice President &amp; Senior Engineer</t>
  </si>
  <si>
    <t>Wimpory</t>
  </si>
  <si>
    <t>Chintapenta</t>
  </si>
  <si>
    <t>Manager/Senior Engineer/Vice President - AM Portfolio Management and Trading Technology</t>
  </si>
  <si>
    <t>Vice President, Senior Project Manager / Business Analyst</t>
  </si>
  <si>
    <t>Darlow</t>
  </si>
  <si>
    <t>Mamta</t>
  </si>
  <si>
    <t>Shweta</t>
  </si>
  <si>
    <t>Vice President, Post Execution Derivatives</t>
  </si>
  <si>
    <t>Aly Liu</t>
  </si>
  <si>
    <t>Vice President (Compliance Division)</t>
  </si>
  <si>
    <t>(Yuan Schruben)</t>
  </si>
  <si>
    <t>Vice President, Operational Risk Governance, Client and Regulatory Engagement</t>
  </si>
  <si>
    <t>Medi</t>
  </si>
  <si>
    <t>Vice President &amp; Executive Director</t>
  </si>
  <si>
    <t>Ashraphijuo, PhD, CFA, FRM</t>
  </si>
  <si>
    <t>Vice President, Dev Ops at Marcus by Goldman Sachs</t>
  </si>
  <si>
    <t>Kosar</t>
  </si>
  <si>
    <t>Nagai</t>
  </si>
  <si>
    <t>Varun Kumar</t>
  </si>
  <si>
    <t>Mandava</t>
  </si>
  <si>
    <t>Tsuyoshi (Go)</t>
  </si>
  <si>
    <t>Vice President, Manager of Japan Operations Engineering</t>
  </si>
  <si>
    <t>Wyllie</t>
  </si>
  <si>
    <t>Vice President, Transaction Banking</t>
  </si>
  <si>
    <t>Wenxin</t>
  </si>
  <si>
    <t>Sandhya</t>
  </si>
  <si>
    <t>Vice President Site Reliability Engineering</t>
  </si>
  <si>
    <t>Shambhu</t>
  </si>
  <si>
    <t>Damodaran</t>
  </si>
  <si>
    <t>CFO Technology EMEA &amp; Asia</t>
  </si>
  <si>
    <t>Aashish</t>
  </si>
  <si>
    <t>Carol Chanha</t>
  </si>
  <si>
    <t>Vice President -  Program Manager</t>
  </si>
  <si>
    <t>Ohh</t>
  </si>
  <si>
    <t>Bhauvnesh</t>
  </si>
  <si>
    <t>Kapdee</t>
  </si>
  <si>
    <t>Novichenok</t>
  </si>
  <si>
    <t>Lord Abbett</t>
  </si>
  <si>
    <t>Gheihman</t>
  </si>
  <si>
    <t>Cossin</t>
  </si>
  <si>
    <t>Vice President, Regional Head of Quant Investment Strategies Technology</t>
  </si>
  <si>
    <t>Doreen</t>
  </si>
  <si>
    <t>Pratts</t>
  </si>
  <si>
    <t>Crocitto</t>
  </si>
  <si>
    <t>Technology Product Financials Manager / Vice President  Technology Division</t>
  </si>
  <si>
    <t>Phirke</t>
  </si>
  <si>
    <t>Vonasek</t>
  </si>
  <si>
    <t>Walmart Global Tech</t>
  </si>
  <si>
    <t>Som</t>
  </si>
  <si>
    <t>COO and Engineering Lead, Securities Division Data Office Engineering</t>
  </si>
  <si>
    <t>Vice President / Senior Engineer</t>
  </si>
  <si>
    <t>Ramaswami</t>
  </si>
  <si>
    <t>Vice President, Securities Lending Technology</t>
  </si>
  <si>
    <t>Senior Vice President &amp; Global Technology Manager - Total Spend Management</t>
  </si>
  <si>
    <t>dupe_Paul</t>
  </si>
  <si>
    <t>Vice President, Risk</t>
  </si>
  <si>
    <t>dupe_Frio</t>
  </si>
  <si>
    <t>Prasert</t>
  </si>
  <si>
    <t>Vice President of IT</t>
  </si>
  <si>
    <t>Chirachanakul</t>
  </si>
  <si>
    <t>Vice President - Clearance and Settlement</t>
  </si>
  <si>
    <t>Vice President, Core Engineering</t>
  </si>
  <si>
    <t>Alikadic</t>
  </si>
  <si>
    <t>Ashkenazi</t>
  </si>
  <si>
    <t>University of Cincinnati - College of Engineering and Applied Science</t>
  </si>
  <si>
    <t>EMEA CIO, Global Head of Regulatory Architecture, &amp; Global Head of Enterprise Data Governance</t>
  </si>
  <si>
    <t>GoNext Solutions Pvt. Ltd.</t>
  </si>
  <si>
    <t>Vice President Software Engineering</t>
  </si>
  <si>
    <t>Garde</t>
  </si>
  <si>
    <t>Vice President / Executive Director</t>
  </si>
  <si>
    <t>Raghvendra</t>
  </si>
  <si>
    <t>Senior Engineer - Vice President</t>
  </si>
  <si>
    <t>Balgi</t>
  </si>
  <si>
    <t>Candace</t>
  </si>
  <si>
    <t>Mcdade</t>
  </si>
  <si>
    <t>Shimpi</t>
  </si>
  <si>
    <t>Komella</t>
  </si>
  <si>
    <t>Jhingoor</t>
  </si>
  <si>
    <t>Almond</t>
  </si>
  <si>
    <t>Manju</t>
  </si>
  <si>
    <t>Ramasubbiah</t>
  </si>
  <si>
    <t>Vice President- HD of Talent Acquisition APAC</t>
  </si>
  <si>
    <t>Orest</t>
  </si>
  <si>
    <t>Vice President - Global Portfolio Sales &amp; Trading</t>
  </si>
  <si>
    <t>Szul</t>
  </si>
  <si>
    <t>Gelber</t>
  </si>
  <si>
    <t>Board Director - Goldman Sachs Bank</t>
  </si>
  <si>
    <t>Ghafoor</t>
  </si>
  <si>
    <t>Boullianne</t>
  </si>
  <si>
    <t>NELSON &amp; FORBES LIMITED</t>
  </si>
  <si>
    <t>Vice President / Infrastructure Manager</t>
  </si>
  <si>
    <t>Breadmore</t>
  </si>
  <si>
    <t>Vice President - REDI Technologies</t>
  </si>
  <si>
    <t>Ou</t>
  </si>
  <si>
    <t>Senior Vice President -Treasury Services</t>
  </si>
  <si>
    <t>Tierney</t>
  </si>
  <si>
    <t>Vice President &amp; Senior Engineer, Digital Advice Technology</t>
  </si>
  <si>
    <t>Corfield</t>
  </si>
  <si>
    <t>CIO Asia Pacific Ex Japan</t>
  </si>
  <si>
    <t>Kok Chih</t>
  </si>
  <si>
    <t>Choudhary</t>
  </si>
  <si>
    <t>Vice President - Senior Audit Manager</t>
  </si>
  <si>
    <t>Ishihara</t>
  </si>
  <si>
    <t>Vice President Technology Division</t>
  </si>
  <si>
    <t>Rhodes</t>
  </si>
  <si>
    <t>Lubowsky</t>
  </si>
  <si>
    <t>Andrea (Drea)</t>
  </si>
  <si>
    <t>Vice President - Consumer Agent Payments &amp; Settlements Operations, Product Engineering Lead</t>
  </si>
  <si>
    <t>Valdivia Shinn</t>
  </si>
  <si>
    <t>Vargyas</t>
  </si>
  <si>
    <t>Munje</t>
  </si>
  <si>
    <t>Vice President - Securities Engineering - FICC</t>
  </si>
  <si>
    <t>Vice President (Electronic Trading Infrastructure)</t>
  </si>
  <si>
    <t>Adya</t>
  </si>
  <si>
    <t>Darshan</t>
  </si>
  <si>
    <t>Ramavat</t>
  </si>
  <si>
    <t>Global Portfolio Trading - Vice President</t>
  </si>
  <si>
    <t>Peake</t>
  </si>
  <si>
    <t>Sharada</t>
  </si>
  <si>
    <t>CRO, Sr. Vice President</t>
  </si>
  <si>
    <t>Iyer, MBA, PMP, CBAP, ITIL, 6 Sigma</t>
  </si>
  <si>
    <t>Yair</t>
  </si>
  <si>
    <t>Haodong</t>
  </si>
  <si>
    <t>Technology Fellow &amp; Vice President</t>
  </si>
  <si>
    <t>Finkelstein</t>
  </si>
  <si>
    <t>Soumitra</t>
  </si>
  <si>
    <t>Leathwaite</t>
  </si>
  <si>
    <t>1020 Capital</t>
  </si>
  <si>
    <t>Dore</t>
  </si>
  <si>
    <t>Priyanka</t>
  </si>
  <si>
    <t>Garg Bhatia</t>
  </si>
  <si>
    <t>1060 Capital</t>
  </si>
  <si>
    <t>Strategic Solutions Consulting LLC</t>
  </si>
  <si>
    <t>CIO of Americas across US, LAM, &amp; Canada, Global Head of Fixed Income, Emerging mkts, BSM  IT</t>
  </si>
  <si>
    <t>Chinai</t>
  </si>
  <si>
    <t>Global COO, Operations</t>
  </si>
  <si>
    <t>1859 Capital</t>
  </si>
  <si>
    <t>Yuheng</t>
  </si>
  <si>
    <t>Vice President- Retail and institutional branch examinations</t>
  </si>
  <si>
    <t>Cavaliere</t>
  </si>
  <si>
    <t>iBlock Capital</t>
  </si>
  <si>
    <t>Dushan</t>
  </si>
  <si>
    <t>Spalevich</t>
  </si>
  <si>
    <t>36 South</t>
  </si>
  <si>
    <t>3Forge LLC</t>
  </si>
  <si>
    <t>40 North</t>
  </si>
  <si>
    <t>4th Story</t>
  </si>
  <si>
    <t>683 Capital</t>
  </si>
  <si>
    <t>7 Chord</t>
  </si>
  <si>
    <t>Nugent</t>
  </si>
  <si>
    <t>7X7 Asset</t>
  </si>
  <si>
    <t>Chandresh</t>
  </si>
  <si>
    <t>Data Scientist Vice President</t>
  </si>
  <si>
    <t>Dooley, CFA</t>
  </si>
  <si>
    <t>Kaushal</t>
  </si>
  <si>
    <t>Mundhra</t>
  </si>
  <si>
    <t>Vice President - Information Technology</t>
  </si>
  <si>
    <t>Mastrella</t>
  </si>
  <si>
    <t>Sonal</t>
  </si>
  <si>
    <t>Vice President, Global Investment Banking Technology</t>
  </si>
  <si>
    <t>McLernon</t>
  </si>
  <si>
    <t>Vice President - Digital Marketing AM Technology</t>
  </si>
  <si>
    <t>byszkin</t>
  </si>
  <si>
    <t>Abberton Capital</t>
  </si>
  <si>
    <t>Pravesh</t>
  </si>
  <si>
    <t>Vice President, JP Morgan Asset Management, Digital Technology</t>
  </si>
  <si>
    <t>Kavungal Konoor</t>
  </si>
  <si>
    <t>PRAVIN</t>
  </si>
  <si>
    <t>KUMAR</t>
  </si>
  <si>
    <t>Pauxtis</t>
  </si>
  <si>
    <t>Soumyajit</t>
  </si>
  <si>
    <t>Dash</t>
  </si>
  <si>
    <t>VP COO</t>
  </si>
  <si>
    <t>Fonash</t>
  </si>
  <si>
    <t>Gascoine</t>
  </si>
  <si>
    <t>Krawiec</t>
  </si>
  <si>
    <t>Vice President CIB Technology</t>
  </si>
  <si>
    <t>McLeish</t>
  </si>
  <si>
    <t>Mehalakes</t>
  </si>
  <si>
    <t>ABG Sundal</t>
  </si>
  <si>
    <t>Per-Ove</t>
  </si>
  <si>
    <t>Breivold</t>
  </si>
  <si>
    <t>Lieber</t>
  </si>
  <si>
    <t>Rallapalli</t>
  </si>
  <si>
    <t>Vice President, Global Technology</t>
  </si>
  <si>
    <t>Lockley</t>
  </si>
  <si>
    <t>Swetang</t>
  </si>
  <si>
    <t>Brahmbhatt</t>
  </si>
  <si>
    <t>Vice President Project Execution</t>
  </si>
  <si>
    <t>Roberts, PMP</t>
  </si>
  <si>
    <t>Abraham Trading</t>
  </si>
  <si>
    <t>Abraxas Capital</t>
  </si>
  <si>
    <t>Oliva</t>
  </si>
  <si>
    <t>Vice President, E-Trading Technology Controls</t>
  </si>
  <si>
    <t>Epshteyn</t>
  </si>
  <si>
    <t>Vice President, FICC eSales</t>
  </si>
  <si>
    <t>Gerret</t>
  </si>
  <si>
    <t>Vice President - Institutional Relationship Management/Organic Sales</t>
  </si>
  <si>
    <t>Crdenas</t>
  </si>
  <si>
    <t>Stoltz</t>
  </si>
  <si>
    <t>Kash</t>
  </si>
  <si>
    <t>Balachandran</t>
  </si>
  <si>
    <t>Absolute Return</t>
  </si>
  <si>
    <t>Leading Point</t>
  </si>
  <si>
    <t>Sykes</t>
  </si>
  <si>
    <t>Dickerson</t>
  </si>
  <si>
    <t>Senior Vice President - IT Systems Manager</t>
  </si>
  <si>
    <t>CIO/COO/CISO Practice Consultant</t>
  </si>
  <si>
    <t>Director, CIO / COO Retail Financial Services Practice</t>
  </si>
  <si>
    <t>Vowls (Nee Deakin)</t>
  </si>
  <si>
    <t>ACRO Securities</t>
  </si>
  <si>
    <t>Acrospire Investment</t>
  </si>
  <si>
    <t>Canepari</t>
  </si>
  <si>
    <t>Actimize UK</t>
  </si>
  <si>
    <t>Oren</t>
  </si>
  <si>
    <t>Acuta Capital</t>
  </si>
  <si>
    <t>COO &amp; CCO</t>
  </si>
  <si>
    <t>Adage Capital</t>
  </si>
  <si>
    <t>Adams Funds</t>
  </si>
  <si>
    <t>EMEA CFO</t>
  </si>
  <si>
    <t>Lazaroo</t>
  </si>
  <si>
    <t>Adelante Asset</t>
  </si>
  <si>
    <t>Adelphi Capital</t>
  </si>
  <si>
    <t>Fredric</t>
  </si>
  <si>
    <t>ADG Capital</t>
  </si>
  <si>
    <t>Northwestern University</t>
  </si>
  <si>
    <t>Agile Transformation | Tech &amp; COO</t>
  </si>
  <si>
    <t>Kausar</t>
  </si>
  <si>
    <t>Gagliotta, MBA</t>
  </si>
  <si>
    <t>Velagala</t>
  </si>
  <si>
    <t>CIO &amp; Managing Director Wealth Markets Technology</t>
  </si>
  <si>
    <t>AVPMR Technologies</t>
  </si>
  <si>
    <t>Vice President, Head of Risk Data Management</t>
  </si>
  <si>
    <t>Sathappa</t>
  </si>
  <si>
    <t>EVP &amp; CIO/CTO</t>
  </si>
  <si>
    <t>Riaan</t>
  </si>
  <si>
    <t>Stott</t>
  </si>
  <si>
    <t>Corporate Vice President  Talent Acquisition</t>
  </si>
  <si>
    <t>Kamensky</t>
  </si>
  <si>
    <t>Betts</t>
  </si>
  <si>
    <t>Adroit Trading</t>
  </si>
  <si>
    <t>Senior Vice President, Head of Market Advocacy &amp; Innovation Research, North America</t>
  </si>
  <si>
    <t>Czupek</t>
  </si>
  <si>
    <t>Advanced Financial</t>
  </si>
  <si>
    <t>OneMarketData</t>
  </si>
  <si>
    <t>CEO/President</t>
  </si>
  <si>
    <t>SAIC</t>
  </si>
  <si>
    <t>Partner and CIO</t>
  </si>
  <si>
    <t>ADVFN</t>
  </si>
  <si>
    <t>Mahavir</t>
  </si>
  <si>
    <t>Prashad</t>
  </si>
  <si>
    <t>Advisory Research</t>
  </si>
  <si>
    <t>Nawoski</t>
  </si>
  <si>
    <t>AE Capital</t>
  </si>
  <si>
    <t>Pakula</t>
  </si>
  <si>
    <t>JP Tactical Trading</t>
  </si>
  <si>
    <t>Founder - CEO</t>
  </si>
  <si>
    <t>Vieira P</t>
  </si>
  <si>
    <t>Rareview Capital LLC</t>
  </si>
  <si>
    <t>Founder | Managing Member | Chief Investment Officer | Portfolio Manager</t>
  </si>
  <si>
    <t>Azous</t>
  </si>
  <si>
    <t>Aegis Capital</t>
  </si>
  <si>
    <t>Kott</t>
  </si>
  <si>
    <t>NAB</t>
  </si>
  <si>
    <t>Vice President | RTE</t>
  </si>
  <si>
    <t>Vice President, Pricing and Electronic Liquidity</t>
  </si>
  <si>
    <t>Turnock</t>
  </si>
  <si>
    <t>Charity Aid Foundation Bank</t>
  </si>
  <si>
    <t>CIO Personal Business Banking</t>
  </si>
  <si>
    <t>Parke</t>
  </si>
  <si>
    <t>Pires</t>
  </si>
  <si>
    <t>Rimes</t>
  </si>
  <si>
    <t>John J.</t>
  </si>
  <si>
    <t>AGFE</t>
  </si>
  <si>
    <t>Sand Hill East</t>
  </si>
  <si>
    <t>Publicis Sapient</t>
  </si>
  <si>
    <t>Anshu</t>
  </si>
  <si>
    <t>Vice President / Executive Client Partner</t>
  </si>
  <si>
    <t>Agora Capital</t>
  </si>
  <si>
    <t>Senior Vice President - Head of Financial Markets India</t>
  </si>
  <si>
    <t>Deng</t>
  </si>
  <si>
    <t>Parkinson</t>
  </si>
  <si>
    <t>Davidson Kempner Capital Management</t>
  </si>
  <si>
    <t>Ailanthus Capital</t>
  </si>
  <si>
    <t>Greco</t>
  </si>
  <si>
    <t>Calum</t>
  </si>
  <si>
    <t>Carl F</t>
  </si>
  <si>
    <t>Vice President, Director Quantitative Analysis</t>
  </si>
  <si>
    <t>Planck</t>
  </si>
  <si>
    <t>PathWise</t>
  </si>
  <si>
    <t>James (J.R.)</t>
  </si>
  <si>
    <t>Chief Operating Officer, State Street Alpha</t>
  </si>
  <si>
    <t>Aizawa Asset</t>
  </si>
  <si>
    <t>Vice President, HR Business Partner</t>
  </si>
  <si>
    <t>Zajk</t>
  </si>
  <si>
    <t>Akaris Global</t>
  </si>
  <si>
    <t>AKAZ Investment</t>
  </si>
  <si>
    <t>CFO?CCO</t>
  </si>
  <si>
    <t>Shostack</t>
  </si>
  <si>
    <t>AK Jensen</t>
  </si>
  <si>
    <t>Chief Information Officer, AsiaPac</t>
  </si>
  <si>
    <t>Hedge Fund Management</t>
  </si>
  <si>
    <t>Managing Director and Vice President</t>
  </si>
  <si>
    <t>Dron</t>
  </si>
  <si>
    <t>Halvorsen</t>
  </si>
  <si>
    <t>AKO Capital</t>
  </si>
  <si>
    <t>Tick42</t>
  </si>
  <si>
    <t>Spiro</t>
  </si>
  <si>
    <t>Aktie Ansvar</t>
  </si>
  <si>
    <t>Mostafavi</t>
  </si>
  <si>
    <t>Ak Yatirim</t>
  </si>
  <si>
    <t>CIO (Head of Technology)</t>
  </si>
  <si>
    <t>Mendelow</t>
  </si>
  <si>
    <t>Suri</t>
  </si>
  <si>
    <t>Parris</t>
  </si>
  <si>
    <t>Partners Group AG</t>
  </si>
  <si>
    <t>Alantra Equities</t>
  </si>
  <si>
    <t>Alatus Capital</t>
  </si>
  <si>
    <t>Albar Capital</t>
  </si>
  <si>
    <t>COO, Global Markets, Execution &amp; Platform - EMEA</t>
  </si>
  <si>
    <t>Albert Fried</t>
  </si>
  <si>
    <t>CCO COO</t>
  </si>
  <si>
    <t>Katsingris</t>
  </si>
  <si>
    <t>Alburtus</t>
  </si>
  <si>
    <t>Feargal</t>
  </si>
  <si>
    <t>Adaptive Financial Consulting Ltd</t>
  </si>
  <si>
    <t>Alcentra</t>
  </si>
  <si>
    <t>Chief Technology Officer (CTO)</t>
  </si>
  <si>
    <t>Alcion Group</t>
  </si>
  <si>
    <t>Gervet</t>
  </si>
  <si>
    <t>Senior Vice President | Capital Markets Service Delivery | Wells Fargo Technology</t>
  </si>
  <si>
    <t>CIO, Wholesale, Wealth &amp; Investment Management and Innovation</t>
  </si>
  <si>
    <t>Vice-President, FCM Credit Risk IT Lead</t>
  </si>
  <si>
    <t>Klein, FRM</t>
  </si>
  <si>
    <t>Vice President Capital Market</t>
  </si>
  <si>
    <t>Ekkaladevi</t>
  </si>
  <si>
    <t>Maryala</t>
  </si>
  <si>
    <t>Wholesale Banking &amp; Markets Technology Vice President</t>
  </si>
  <si>
    <t>Dinos</t>
  </si>
  <si>
    <t>Hadjisavvas</t>
  </si>
  <si>
    <t>Alfreton Capital</t>
  </si>
  <si>
    <t>Algebris Investment</t>
  </si>
  <si>
    <t>Cosimo</t>
  </si>
  <si>
    <t>Pacciani</t>
  </si>
  <si>
    <t>Garratt</t>
  </si>
  <si>
    <t>Harpal</t>
  </si>
  <si>
    <t>Algert Global</t>
  </si>
  <si>
    <t>Comerford</t>
  </si>
  <si>
    <t>Jam</t>
  </si>
  <si>
    <t>COO Partner</t>
  </si>
  <si>
    <t>Zovein</t>
  </si>
  <si>
    <t>CFO CCO</t>
  </si>
  <si>
    <t>Shang</t>
  </si>
  <si>
    <t>Algorithm Trading</t>
  </si>
  <si>
    <t>McLaren</t>
  </si>
  <si>
    <t>Alkimis</t>
  </si>
  <si>
    <t>Incoronata</t>
  </si>
  <si>
    <t>Tommasone</t>
  </si>
  <si>
    <t>MD, CIO Office</t>
  </si>
  <si>
    <t>Chief Audit Executive</t>
  </si>
  <si>
    <t>Crapp</t>
  </si>
  <si>
    <t>Motive Partners</t>
  </si>
  <si>
    <t>ETFPORT</t>
  </si>
  <si>
    <t>"COO ""..On Garden leave.."""</t>
  </si>
  <si>
    <t>AllOptions</t>
  </si>
  <si>
    <t>Polak</t>
  </si>
  <si>
    <t>Reidel</t>
  </si>
  <si>
    <t>Alma Options</t>
  </si>
  <si>
    <t>Arcadius</t>
  </si>
  <si>
    <t>Kazimierski</t>
  </si>
  <si>
    <t>Alpaca Securities</t>
  </si>
  <si>
    <t>Alphadyne Asset</t>
  </si>
  <si>
    <t>AlphaGrep Hong Kong</t>
  </si>
  <si>
    <t>Herr</t>
  </si>
  <si>
    <t>Ignatius</t>
  </si>
  <si>
    <t>AlphaOne Capital</t>
  </si>
  <si>
    <t>Alpha Paradigm</t>
  </si>
  <si>
    <t>Alpha Trading</t>
  </si>
  <si>
    <t>AlphaWorks Capital</t>
  </si>
  <si>
    <t>Schwingel</t>
  </si>
  <si>
    <t>Alpha Z</t>
  </si>
  <si>
    <t>Savornoch</t>
  </si>
  <si>
    <t>Alpian SA</t>
  </si>
  <si>
    <t>Cianni</t>
  </si>
  <si>
    <t>Alpine Associates</t>
  </si>
  <si>
    <t>Alpine Select</t>
  </si>
  <si>
    <t>Alpine Woods</t>
  </si>
  <si>
    <t>Arleen</t>
  </si>
  <si>
    <t>Baez</t>
  </si>
  <si>
    <t>Alpstone Capital</t>
  </si>
  <si>
    <t>AltaCorp Capital</t>
  </si>
  <si>
    <t>Sarachman</t>
  </si>
  <si>
    <t>Alta Fox</t>
  </si>
  <si>
    <t>Lacues</t>
  </si>
  <si>
    <t>Altalis Capital</t>
  </si>
  <si>
    <t>Streinger</t>
  </si>
  <si>
    <t>Alta Park</t>
  </si>
  <si>
    <t>Nam-Hee</t>
  </si>
  <si>
    <t>Altavista Investment</t>
  </si>
  <si>
    <t>Altegris Investments</t>
  </si>
  <si>
    <t>Altrinsic Global</t>
  </si>
  <si>
    <t>Judd</t>
  </si>
  <si>
    <t>AlturaMarkets</t>
  </si>
  <si>
    <t>Bielsa Calzada</t>
  </si>
  <si>
    <t>Alvento Capital</t>
  </si>
  <si>
    <t>Peatling</t>
  </si>
  <si>
    <t>Alyeska Investment</t>
  </si>
  <si>
    <t>Amagis Capital</t>
  </si>
  <si>
    <t>Viteau</t>
  </si>
  <si>
    <t>Amakor Capital</t>
  </si>
  <si>
    <t>Bayley</t>
  </si>
  <si>
    <t>AM Bank</t>
  </si>
  <si>
    <t>Amber Capital</t>
  </si>
  <si>
    <t>Camilio</t>
  </si>
  <si>
    <t>Azzouz</t>
  </si>
  <si>
    <t>Fretigne</t>
  </si>
  <si>
    <t>American Stock</t>
  </si>
  <si>
    <t>Shagoury</t>
  </si>
  <si>
    <t>Rosemary</t>
  </si>
  <si>
    <t>BABA</t>
  </si>
  <si>
    <t>BEDI</t>
  </si>
  <si>
    <t>Amia Capital</t>
  </si>
  <si>
    <t>Amici Capital</t>
  </si>
  <si>
    <t>Verdi</t>
  </si>
  <si>
    <t>Amtelon capital</t>
  </si>
  <si>
    <t>Wojtal</t>
  </si>
  <si>
    <t>Amundsen Investment</t>
  </si>
  <si>
    <t>Vinoth</t>
  </si>
  <si>
    <t>Sivanayagan</t>
  </si>
  <si>
    <t>Per Einar</t>
  </si>
  <si>
    <t>Analog Century</t>
  </si>
  <si>
    <t>Mead</t>
  </si>
  <si>
    <t>Anand Rathi Wealth Management</t>
  </si>
  <si>
    <t>Anavio Capital</t>
  </si>
  <si>
    <t>Kanninen</t>
  </si>
  <si>
    <t>Anavon Capital</t>
  </si>
  <si>
    <t>Anchor Bolt</t>
  </si>
  <si>
    <t>Ancora Advisors</t>
  </si>
  <si>
    <t>Hyland</t>
  </si>
  <si>
    <t>Turkisher</t>
  </si>
  <si>
    <t>Meslemani</t>
  </si>
  <si>
    <t>CEO &amp; President Bradesco Investments &amp; Bradesco Global Advisors</t>
  </si>
  <si>
    <t>Lanfranchi</t>
  </si>
  <si>
    <t>Andar Capital</t>
  </si>
  <si>
    <t>Andes Capital</t>
  </si>
  <si>
    <t>President/CEO</t>
  </si>
  <si>
    <t>Andrie Trading</t>
  </si>
  <si>
    <t>Andrie</t>
  </si>
  <si>
    <t>Anomaly Capital</t>
  </si>
  <si>
    <t>Klarman</t>
  </si>
  <si>
    <t>Anschutz Investments</t>
  </si>
  <si>
    <t>Anschutz</t>
  </si>
  <si>
    <t>Anson Funds</t>
  </si>
  <si>
    <t>Antara Capital</t>
  </si>
  <si>
    <t>COO / CFO</t>
  </si>
  <si>
    <t>antarctica asset</t>
  </si>
  <si>
    <t>Jadid</t>
  </si>
  <si>
    <t>Tassone</t>
  </si>
  <si>
    <t>Antipodean Advisors</t>
  </si>
  <si>
    <t>AO Asset</t>
  </si>
  <si>
    <t>Neiberg</t>
  </si>
  <si>
    <t>Ran</t>
  </si>
  <si>
    <t>Vice President of Technology and Operations</t>
  </si>
  <si>
    <t>Kocan</t>
  </si>
  <si>
    <t>Sanjib</t>
  </si>
  <si>
    <t>Appian Way</t>
  </si>
  <si>
    <t>COO ad CFO</t>
  </si>
  <si>
    <t>Corb</t>
  </si>
  <si>
    <t>Applied Financial</t>
  </si>
  <si>
    <t>Boll</t>
  </si>
  <si>
    <t>Crass</t>
  </si>
  <si>
    <t>Aptic Capital</t>
  </si>
  <si>
    <t>Pether</t>
  </si>
  <si>
    <t>AQE Capital</t>
  </si>
  <si>
    <t>CEO at AQE Capital</t>
  </si>
  <si>
    <t>Ege</t>
  </si>
  <si>
    <t>Paik</t>
  </si>
  <si>
    <t>Aquila</t>
  </si>
  <si>
    <t>Lusti</t>
  </si>
  <si>
    <t>Aquila Capital</t>
  </si>
  <si>
    <t>Arabesque Asset</t>
  </si>
  <si>
    <t>CFO &amp; COO</t>
  </si>
  <si>
    <t>Selim</t>
  </si>
  <si>
    <t>Aranci Partners</t>
  </si>
  <si>
    <t>Morley</t>
  </si>
  <si>
    <t>Arbiter Partners</t>
  </si>
  <si>
    <t>Musher</t>
  </si>
  <si>
    <t>Konzelman</t>
  </si>
  <si>
    <t>Present and COO</t>
  </si>
  <si>
    <t>Handler</t>
  </si>
  <si>
    <t>Arbuthnot Latham</t>
  </si>
  <si>
    <t>Hans-Rudolf</t>
  </si>
  <si>
    <t>Strasser</t>
  </si>
  <si>
    <t>Tall</t>
  </si>
  <si>
    <t>Arctic Blue</t>
  </si>
  <si>
    <t>Jean Jacques</t>
  </si>
  <si>
    <t>Duhot</t>
  </si>
  <si>
    <t>Arcus Investment</t>
  </si>
  <si>
    <t>Ardevora Asset</t>
  </si>
  <si>
    <t>Arga Investment</t>
  </si>
  <si>
    <t>Founder CIO</t>
  </si>
  <si>
    <t>Tanna</t>
  </si>
  <si>
    <t>Argenta Asset Management</t>
  </si>
  <si>
    <t>Pring</t>
  </si>
  <si>
    <t>Argonaut Capital</t>
  </si>
  <si>
    <t>Ariel Communications</t>
  </si>
  <si>
    <t>Ariel Investments</t>
  </si>
  <si>
    <t>Cargie</t>
  </si>
  <si>
    <t>Arin Risk</t>
  </si>
  <si>
    <t>Desipio</t>
  </si>
  <si>
    <t>Snyder--GONE</t>
  </si>
  <si>
    <t>Managing Director &amp; Chief Operating Officer</t>
  </si>
  <si>
    <t>Leonidas</t>
  </si>
  <si>
    <t>Aritas Securities</t>
  </si>
  <si>
    <t>Vice President Director of Network Operations</t>
  </si>
  <si>
    <t>Ark Asset</t>
  </si>
  <si>
    <t>Scarpa</t>
  </si>
  <si>
    <t>Ciecuriello</t>
  </si>
  <si>
    <t>Arlington Asset</t>
  </si>
  <si>
    <t>CFO and Treasurer</t>
  </si>
  <si>
    <t>Konzmann</t>
  </si>
  <si>
    <t>Armistice Capital</t>
  </si>
  <si>
    <t>Armundia Group</t>
  </si>
  <si>
    <t>Member of the Board &amp; Chief of International Business Development</t>
  </si>
  <si>
    <t>Speranza</t>
  </si>
  <si>
    <t>ARP Global</t>
  </si>
  <si>
    <t>ARR investment</t>
  </si>
  <si>
    <t>Putz</t>
  </si>
  <si>
    <t>ArrowMark Partners</t>
  </si>
  <si>
    <t>Cairney</t>
  </si>
  <si>
    <t>Artex AG</t>
  </si>
  <si>
    <t>Svarnas</t>
  </si>
  <si>
    <t>Artis Capital</t>
  </si>
  <si>
    <t>COO / EMS 1st point of contact</t>
  </si>
  <si>
    <t>ARX Capital</t>
  </si>
  <si>
    <t>Placido</t>
  </si>
  <si>
    <t>Aryeh Capital</t>
  </si>
  <si>
    <t>Ashburton Investments</t>
  </si>
  <si>
    <t>Ashfield Capital</t>
  </si>
  <si>
    <t>Ashford Hospitality</t>
  </si>
  <si>
    <t>Senior Vice President - Corporate Finance &amp; Strategy</t>
  </si>
  <si>
    <t>Asia Research</t>
  </si>
  <si>
    <t>Asia Wealth</t>
  </si>
  <si>
    <t>Pichit</t>
  </si>
  <si>
    <t>Akrathit</t>
  </si>
  <si>
    <t>Aspect Capital</t>
  </si>
  <si>
    <t>Ichiro</t>
  </si>
  <si>
    <t>Take</t>
  </si>
  <si>
    <t>Shanna</t>
  </si>
  <si>
    <t>AssetMark</t>
  </si>
  <si>
    <t>Gurav</t>
  </si>
  <si>
    <t>Auditya</t>
  </si>
  <si>
    <t>Assetmax</t>
  </si>
  <si>
    <t>Garazi</t>
  </si>
  <si>
    <t>Cosyne Capital</t>
  </si>
  <si>
    <t>Astero Capital</t>
  </si>
  <si>
    <t>Falikowitsch</t>
  </si>
  <si>
    <t>Asturias Capital</t>
  </si>
  <si>
    <t>Atalan Capital</t>
  </si>
  <si>
    <t>Schrubbe</t>
  </si>
  <si>
    <t>ATG Americas</t>
  </si>
  <si>
    <t>Schiroky</t>
  </si>
  <si>
    <t>Athena Capital</t>
  </si>
  <si>
    <t>Partner CEO</t>
  </si>
  <si>
    <t>Brindle</t>
  </si>
  <si>
    <t>Atika Capital</t>
  </si>
  <si>
    <t>DiMartino</t>
  </si>
  <si>
    <t>Gentile</t>
  </si>
  <si>
    <t>Atlantic Equities</t>
  </si>
  <si>
    <t>Della-Porta</t>
  </si>
  <si>
    <t>Atlantic Trading</t>
  </si>
  <si>
    <t>Liebman</t>
  </si>
  <si>
    <t>Ferrante</t>
  </si>
  <si>
    <t>Atlantis Asset</t>
  </si>
  <si>
    <t>Atlas Communications</t>
  </si>
  <si>
    <t>Morrone</t>
  </si>
  <si>
    <t>Atlas Square</t>
  </si>
  <si>
    <t>Illsley</t>
  </si>
  <si>
    <t>Atlas Technica</t>
  </si>
  <si>
    <t>Bukhar</t>
  </si>
  <si>
    <t>AtomVest Limited</t>
  </si>
  <si>
    <t>CEO at Intellineers Co-Founder of Stainly and Scientific Advisor at AtonRa Partners</t>
  </si>
  <si>
    <t>Wittlinger</t>
  </si>
  <si>
    <t>Atorus Investment</t>
  </si>
  <si>
    <t>Gregorios</t>
  </si>
  <si>
    <t>Plakoudas</t>
  </si>
  <si>
    <t>Andersen</t>
  </si>
  <si>
    <t>Attain Capital</t>
  </si>
  <si>
    <t>Gallwas</t>
  </si>
  <si>
    <t>Attela</t>
  </si>
  <si>
    <t>Koudai</t>
  </si>
  <si>
    <t>Attis Capital</t>
  </si>
  <si>
    <t>Auguration Investment</t>
  </si>
  <si>
    <t>Auriga Global</t>
  </si>
  <si>
    <t>Mahdi</t>
  </si>
  <si>
    <t>Auris Gestion</t>
  </si>
  <si>
    <t>SYLVAIN</t>
  </si>
  <si>
    <t>AFRIAT</t>
  </si>
  <si>
    <t>Aurmedis Global</t>
  </si>
  <si>
    <t>Aurous Capital</t>
  </si>
  <si>
    <t>Sacks</t>
  </si>
  <si>
    <t>Zeng</t>
  </si>
  <si>
    <t>Autonomy Capital</t>
  </si>
  <si>
    <t>Avalon Capital</t>
  </si>
  <si>
    <t>Langford</t>
  </si>
  <si>
    <t>COO CCO</t>
  </si>
  <si>
    <t>Pendleton</t>
  </si>
  <si>
    <t>Avalor</t>
  </si>
  <si>
    <t>Gregor</t>
  </si>
  <si>
    <t>Aventicum Capital</t>
  </si>
  <si>
    <t>Interim COO</t>
  </si>
  <si>
    <t>Patankar</t>
  </si>
  <si>
    <t>Masoor</t>
  </si>
  <si>
    <t>Aviance Capital</t>
  </si>
  <si>
    <t>Bertelsen</t>
  </si>
  <si>
    <t>Avidity Capital</t>
  </si>
  <si>
    <t>Gandy</t>
  </si>
  <si>
    <t>Brownlee</t>
  </si>
  <si>
    <t>Avivatec</t>
  </si>
  <si>
    <t>Modesto</t>
  </si>
  <si>
    <t>Avoca Investment</t>
  </si>
  <si>
    <t>Avoro Capital</t>
  </si>
  <si>
    <t>CFO + CCo</t>
  </si>
  <si>
    <t>CloudAlpha Capital</t>
  </si>
  <si>
    <t>Axebrook Capital</t>
  </si>
  <si>
    <t>Axial Capital</t>
  </si>
  <si>
    <t>Axiom Capital</t>
  </si>
  <si>
    <t>CTO at Euronext Market Services. Board member at Euronext FX</t>
  </si>
  <si>
    <t>Planchon</t>
  </si>
  <si>
    <t>Azimi</t>
  </si>
  <si>
    <t>Axonic Capital</t>
  </si>
  <si>
    <t>Mercer</t>
  </si>
  <si>
    <t>Ayers Solutions</t>
  </si>
  <si>
    <t>Azentus Capital</t>
  </si>
  <si>
    <t>Azimut Capital</t>
  </si>
  <si>
    <t>Azora Capital</t>
  </si>
  <si>
    <t>Baader Bank</t>
  </si>
  <si>
    <t>Grabbe</t>
  </si>
  <si>
    <t>Baader</t>
  </si>
  <si>
    <t>Link</t>
  </si>
  <si>
    <t>Baden Hill</t>
  </si>
  <si>
    <t>Hao</t>
  </si>
  <si>
    <t>Quach</t>
  </si>
  <si>
    <t>Bailard</t>
  </si>
  <si>
    <t>Senior Vice President/EMS 1st Point of Contact</t>
  </si>
  <si>
    <t>Vigdorchik</t>
  </si>
  <si>
    <t>Hoppa</t>
  </si>
  <si>
    <t>Baker Avenue</t>
  </si>
  <si>
    <t>Luff</t>
  </si>
  <si>
    <t>Baker Steel</t>
  </si>
  <si>
    <t>MP and CIO</t>
  </si>
  <si>
    <t>Ballast Healthcare</t>
  </si>
  <si>
    <t>Banbury Partners</t>
  </si>
  <si>
    <t>Fiddes</t>
  </si>
  <si>
    <t>Banca Akros</t>
  </si>
  <si>
    <t>Turrina</t>
  </si>
  <si>
    <t>Magni</t>
  </si>
  <si>
    <t>Pier Luigi</t>
  </si>
  <si>
    <t>Banca Finnat</t>
  </si>
  <si>
    <t>Giampietro</t>
  </si>
  <si>
    <t>Nattino</t>
  </si>
  <si>
    <t>Pilato</t>
  </si>
  <si>
    <t>Carles</t>
  </si>
  <si>
    <t>Pere</t>
  </si>
  <si>
    <t>Banca Simetica</t>
  </si>
  <si>
    <t>Banu</t>
  </si>
  <si>
    <t>Banca Zarattini</t>
  </si>
  <si>
    <t>Banc Sabadell</t>
  </si>
  <si>
    <t>Chief Process and Information Officer</t>
  </si>
  <si>
    <t>Abarca</t>
  </si>
  <si>
    <t>Banesto Bolsa</t>
  </si>
  <si>
    <t>Gonsala Cenetera</t>
  </si>
  <si>
    <t>A MONEY MATTER MORTGAGE INC</t>
  </si>
  <si>
    <t>SIBTAIN</t>
  </si>
  <si>
    <t>KAZMI</t>
  </si>
  <si>
    <t>Bank of Nova</t>
  </si>
  <si>
    <t>Bank SinoPac</t>
  </si>
  <si>
    <t>Ahua</t>
  </si>
  <si>
    <t>Vice President &amp; Head of IT</t>
  </si>
  <si>
    <t>Andrieu</t>
  </si>
  <si>
    <t>Banque Degroof</t>
  </si>
  <si>
    <t>Kohr</t>
  </si>
  <si>
    <t>Banque Lombard</t>
  </si>
  <si>
    <t>Head of Global Markets - Executive Vice President at Lombard Odier Group</t>
  </si>
  <si>
    <t>Banque Pictet</t>
  </si>
  <si>
    <t>Banque Syz</t>
  </si>
  <si>
    <t>Bouchet</t>
  </si>
  <si>
    <t>Basso</t>
  </si>
  <si>
    <t>Barai Capital</t>
  </si>
  <si>
    <t>Bardin Hill</t>
  </si>
  <si>
    <t>Hirschfeld</t>
  </si>
  <si>
    <t>Baron Capital</t>
  </si>
  <si>
    <t>Barnard</t>
  </si>
  <si>
    <t>Battalion Capital</t>
  </si>
  <si>
    <t>Clough Capital</t>
  </si>
  <si>
    <t>Bayberry Capital</t>
  </si>
  <si>
    <t>Bayes Capital</t>
  </si>
  <si>
    <t>John Charles</t>
  </si>
  <si>
    <t>Bayforest Technologies</t>
  </si>
  <si>
    <t>Beddington</t>
  </si>
  <si>
    <t>Haliday</t>
  </si>
  <si>
    <t>BCI</t>
  </si>
  <si>
    <t>Andrew Q.</t>
  </si>
  <si>
    <t>BDDF OPS</t>
  </si>
  <si>
    <t>Pietruschi</t>
  </si>
  <si>
    <t>Beacon Financial</t>
  </si>
  <si>
    <t>Sherbert</t>
  </si>
  <si>
    <t>BeaconLight Capital</t>
  </si>
  <si>
    <t>CFO/CCO</t>
  </si>
  <si>
    <t>Bear Stearns</t>
  </si>
  <si>
    <t>Becker Capital</t>
  </si>
  <si>
    <t>COO / CCO</t>
  </si>
  <si>
    <t>Beech Hill</t>
  </si>
  <si>
    <t>Vice President Trading</t>
  </si>
  <si>
    <t>Lili</t>
  </si>
  <si>
    <t>Belle Capital</t>
  </si>
  <si>
    <t>Georg</t>
  </si>
  <si>
    <t>Benchmark Company</t>
  </si>
  <si>
    <t>DiPaolo</t>
  </si>
  <si>
    <t>Berliner Volksbank</t>
  </si>
  <si>
    <t>Member of the Executive Board &amp; Chief Operating Officer - COO</t>
  </si>
  <si>
    <t>Bermuda Stock</t>
  </si>
  <si>
    <t>Berry Street</t>
  </si>
  <si>
    <t>Bessemer Group</t>
  </si>
  <si>
    <t>Filipp</t>
  </si>
  <si>
    <t>Vice President Senior Programmer/Analyst</t>
  </si>
  <si>
    <t>Ruchman</t>
  </si>
  <si>
    <t>Mirco</t>
  </si>
  <si>
    <t>Sebastiaan</t>
  </si>
  <si>
    <t>BFT Investment</t>
  </si>
  <si>
    <t>Flachaire de Roustan</t>
  </si>
  <si>
    <t>BGB Weston</t>
  </si>
  <si>
    <t>Borri</t>
  </si>
  <si>
    <t>BHDG systematic</t>
  </si>
  <si>
    <t>BIDS Trading</t>
  </si>
  <si>
    <t>Vice President Senior Quality Assurance Analyst</t>
  </si>
  <si>
    <t>Bienville Capital</t>
  </si>
  <si>
    <t>COO/ Head of Trading</t>
  </si>
  <si>
    <t>BIMS formerly</t>
  </si>
  <si>
    <t>Shalaby</t>
  </si>
  <si>
    <t>BinckBank NV</t>
  </si>
  <si>
    <t>Board / Chief Operating Officer</t>
  </si>
  <si>
    <t>Clausing</t>
  </si>
  <si>
    <t>Biscayne Americas</t>
  </si>
  <si>
    <t>Carlina</t>
  </si>
  <si>
    <t>Director of Operations/ COO</t>
  </si>
  <si>
    <t>BIW Bank</t>
  </si>
  <si>
    <t>Menzel</t>
  </si>
  <si>
    <t>Blackbay Group</t>
  </si>
  <si>
    <t>Butterfield</t>
  </si>
  <si>
    <t>Black Coffee</t>
  </si>
  <si>
    <t>Abelowitz</t>
  </si>
  <si>
    <t>Blackfort Capital</t>
  </si>
  <si>
    <t>Blackfriars Asset</t>
  </si>
  <si>
    <t>Waring</t>
  </si>
  <si>
    <t>Black Maple</t>
  </si>
  <si>
    <t>McNally</t>
  </si>
  <si>
    <t>Blackthorn Investment</t>
  </si>
  <si>
    <t>Clough Jr.</t>
  </si>
  <si>
    <t>Blaze Portfolio</t>
  </si>
  <si>
    <t>Pouw</t>
  </si>
  <si>
    <t>Bley Investment</t>
  </si>
  <si>
    <t>Milton Bley</t>
  </si>
  <si>
    <t>Plowman</t>
  </si>
  <si>
    <t>Vice President-Back Office Support</t>
  </si>
  <si>
    <t>Bley</t>
  </si>
  <si>
    <t>BLK Sistemas</t>
  </si>
  <si>
    <t>Blockhouse Capital</t>
  </si>
  <si>
    <t>BlueCove</t>
  </si>
  <si>
    <t>Kareer</t>
  </si>
  <si>
    <t>Ayache</t>
  </si>
  <si>
    <t>Koures</t>
  </si>
  <si>
    <t>ashok</t>
  </si>
  <si>
    <t>Vice President, Fixed Income Technology</t>
  </si>
  <si>
    <t>Gohal</t>
  </si>
  <si>
    <t>Bittelman</t>
  </si>
  <si>
    <t>Vice President Head of Client Services</t>
  </si>
  <si>
    <t>Brazil Chief Technology Officer</t>
  </si>
  <si>
    <t>Ardeshir</t>
  </si>
  <si>
    <t>Eslami</t>
  </si>
  <si>
    <t>Ruthven</t>
  </si>
  <si>
    <t>L. Njiemoun</t>
  </si>
  <si>
    <t>Raha</t>
  </si>
  <si>
    <t>Sylvie</t>
  </si>
  <si>
    <t>BOCI</t>
  </si>
  <si>
    <t>BOCOM International</t>
  </si>
  <si>
    <t>Bolsa Bolivia</t>
  </si>
  <si>
    <t>Presidente del Directorio</t>
  </si>
  <si>
    <t>Valdivia</t>
  </si>
  <si>
    <t>BOLSA DE COMERCIO DE SANTIAGO</t>
  </si>
  <si>
    <t>Shigetake</t>
  </si>
  <si>
    <t>Executive Vice President and General Manager</t>
  </si>
  <si>
    <t>Brenes P.</t>
  </si>
  <si>
    <t>JF</t>
  </si>
  <si>
    <t>Luis Armando</t>
  </si>
  <si>
    <t>Acevedo</t>
  </si>
  <si>
    <t>CEO-Bursatec</t>
  </si>
  <si>
    <t>Ibarra</t>
  </si>
  <si>
    <t>Catalina</t>
  </si>
  <si>
    <t>Guerrero</t>
  </si>
  <si>
    <t>Bombay Stock</t>
  </si>
  <si>
    <t>Kumar Rout</t>
  </si>
  <si>
    <t>Dyson</t>
  </si>
  <si>
    <t>Devillard</t>
  </si>
  <si>
    <t>Borsa IstanbulTurkish</t>
  </si>
  <si>
    <t>Cetin</t>
  </si>
  <si>
    <t>Ali Donmez</t>
  </si>
  <si>
    <t>Advisor of the Management Board</t>
  </si>
  <si>
    <t>Talbot</t>
  </si>
  <si>
    <t>Joffe</t>
  </si>
  <si>
    <t>Bandman</t>
  </si>
  <si>
    <t>CEO/CIO</t>
  </si>
  <si>
    <t>Caruso</t>
  </si>
  <si>
    <t>Boston Partners</t>
  </si>
  <si>
    <t>Vice President, Business IT</t>
  </si>
  <si>
    <t>Vice President, Advanced Execution Services (Sales Trader)</t>
  </si>
  <si>
    <t>Bow Street</t>
  </si>
  <si>
    <t>Kahermanes</t>
  </si>
  <si>
    <t>DeGaetano</t>
  </si>
  <si>
    <t>Clemente</t>
  </si>
  <si>
    <t>Vice President, Market Data</t>
  </si>
  <si>
    <t>Devaney</t>
  </si>
  <si>
    <t>Brant Point</t>
  </si>
  <si>
    <t>SVP COO</t>
  </si>
  <si>
    <t>Buoncore</t>
  </si>
  <si>
    <t>Virtua Health</t>
  </si>
  <si>
    <t>Hafeza</t>
  </si>
  <si>
    <t>Member Board of Trustees</t>
  </si>
  <si>
    <t>Shaikh, DO, FACC, MBA</t>
  </si>
  <si>
    <t>Baco</t>
  </si>
  <si>
    <t>Kollamkulam</t>
  </si>
  <si>
    <t>Vice President, Data Strategy</t>
  </si>
  <si>
    <t>Windmill Point Technologies</t>
  </si>
  <si>
    <t>UniQreate</t>
  </si>
  <si>
    <t>Centene Corporation</t>
  </si>
  <si>
    <t>Masud</t>
  </si>
  <si>
    <t>Vice President, Market Strategy &amp; Operations</t>
  </si>
  <si>
    <t>Rolfes</t>
  </si>
  <si>
    <t>Senior Vice President, Market Technology</t>
  </si>
  <si>
    <t>Haglind</t>
  </si>
  <si>
    <t>Brendan E</t>
  </si>
  <si>
    <t>Stack</t>
  </si>
  <si>
    <t>Freytes</t>
  </si>
  <si>
    <t>Vice President - Technology and Operations</t>
  </si>
  <si>
    <t>Life Organization Project</t>
  </si>
  <si>
    <t>Vice President of User Experience</t>
  </si>
  <si>
    <t>Winig</t>
  </si>
  <si>
    <t>Assistant Vice President | Client Service Specialist</t>
  </si>
  <si>
    <t>Woyciechowski</t>
  </si>
  <si>
    <t>Value Driven Solutions (VDS)</t>
  </si>
  <si>
    <t>Yabuuchi</t>
  </si>
  <si>
    <t>Taliercio</t>
  </si>
  <si>
    <t>Coupa Software</t>
  </si>
  <si>
    <t>Senior Vice President - Strategic Accounts</t>
  </si>
  <si>
    <t>Sbrissa</t>
  </si>
  <si>
    <t>Bright Trading</t>
  </si>
  <si>
    <t>Friesen</t>
  </si>
  <si>
    <t>Kallidus</t>
  </si>
  <si>
    <t>Executive Vice President - North America Operations</t>
  </si>
  <si>
    <t>Piazza</t>
  </si>
  <si>
    <t>Fintech Meetup</t>
  </si>
  <si>
    <t>Lear</t>
  </si>
  <si>
    <t>Outbound Squad (formerly Blissful Prospecting)</t>
  </si>
  <si>
    <t>Bay</t>
  </si>
  <si>
    <t>BRK Capital</t>
  </si>
  <si>
    <t>Broadfin Capital</t>
  </si>
  <si>
    <t>Nir</t>
  </si>
  <si>
    <t>Messafi</t>
  </si>
  <si>
    <t>Kedia</t>
  </si>
  <si>
    <t>The New York Community Trust</t>
  </si>
  <si>
    <t>Deputy Vice President for Grants</t>
  </si>
  <si>
    <t>Lydia</t>
  </si>
  <si>
    <t>Broadwalk Asset</t>
  </si>
  <si>
    <t>Bastow</t>
  </si>
  <si>
    <t>Chintan</t>
  </si>
  <si>
    <t>Findlay</t>
  </si>
  <si>
    <t>OFG BANCORP</t>
  </si>
  <si>
    <t>Vice President Digital Banking</t>
  </si>
  <si>
    <t>Govil</t>
  </si>
  <si>
    <t>JBarrows Sales Training</t>
  </si>
  <si>
    <t>Barrows</t>
  </si>
  <si>
    <t>IMMOBILIARE</t>
  </si>
  <si>
    <t>Bulger</t>
  </si>
  <si>
    <t>Kripa</t>
  </si>
  <si>
    <t>Susarla</t>
  </si>
  <si>
    <t>A.</t>
  </si>
  <si>
    <t>Vice President, Product Owner</t>
  </si>
  <si>
    <t>Dycha</t>
  </si>
  <si>
    <t>Browning West</t>
  </si>
  <si>
    <t>Sr Vice President Solutions Delivery</t>
  </si>
  <si>
    <t>Stanton</t>
  </si>
  <si>
    <t>ATB Financial</t>
  </si>
  <si>
    <t>Sharif</t>
  </si>
  <si>
    <t>Vice President, ATB Client Care &amp; Sales Advice</t>
  </si>
  <si>
    <t>Executive Vice President, Director of Digital</t>
  </si>
  <si>
    <t>Loftus</t>
  </si>
  <si>
    <t>Therese</t>
  </si>
  <si>
    <t>Group CFO / COO</t>
  </si>
  <si>
    <t>Swierczynski</t>
  </si>
  <si>
    <t>Imtiaz</t>
  </si>
  <si>
    <t>Vice President Corporate, Head of Agile Practice (PMO)</t>
  </si>
  <si>
    <t>Hancock Whitney</t>
  </si>
  <si>
    <t>Marsha</t>
  </si>
  <si>
    <t>Vice President, Manager of Digital Product Management</t>
  </si>
  <si>
    <t>Associate Vice President, Head of Pharmacovigilance Operations</t>
  </si>
  <si>
    <t>Vice President International Program Trading</t>
  </si>
  <si>
    <t>CIO Corporate &amp; Investment Banking SA</t>
  </si>
  <si>
    <t>Skosana</t>
  </si>
  <si>
    <t>Tyme</t>
  </si>
  <si>
    <t>Coenraad (Coen)</t>
  </si>
  <si>
    <t>Co-Founder and Executive Chairman</t>
  </si>
  <si>
    <t>Jonker</t>
  </si>
  <si>
    <t>Growth Genie</t>
  </si>
  <si>
    <t>Vice President of Revenue</t>
  </si>
  <si>
    <t>Chief Operating Officer and Co-Founder</t>
  </si>
  <si>
    <t>Vice President of Product Management</t>
  </si>
  <si>
    <t>Westfall</t>
  </si>
  <si>
    <t>Bull Market</t>
  </si>
  <si>
    <t>Lautaro David</t>
  </si>
  <si>
    <t>Marra</t>
  </si>
  <si>
    <t>BullTick Capital</t>
  </si>
  <si>
    <t>Bull Tick</t>
  </si>
  <si>
    <t>Zor</t>
  </si>
  <si>
    <t>CEO and Co-Founder</t>
  </si>
  <si>
    <t>Gorelov</t>
  </si>
  <si>
    <t>Burgan Securities</t>
  </si>
  <si>
    <t>SGI Training, Inc.</t>
  </si>
  <si>
    <t>Co-Founder, Chairman</t>
  </si>
  <si>
    <t>Truleo</t>
  </si>
  <si>
    <t>Burke &amp; Quick Partners LLC</t>
  </si>
  <si>
    <t>L Catterton</t>
  </si>
  <si>
    <t>Faiyaz</t>
  </si>
  <si>
    <t>Burren Capital</t>
  </si>
  <si>
    <t>President &amp; Chief Technology Officer</t>
  </si>
  <si>
    <t>DeSanti</t>
  </si>
  <si>
    <t>Buttonwood Partners, Inc.</t>
  </si>
  <si>
    <t>Vice President - Financial Technology Sales and Product</t>
  </si>
  <si>
    <t>Vice President, East</t>
  </si>
  <si>
    <t>McKinney</t>
  </si>
  <si>
    <t>Bugg</t>
  </si>
  <si>
    <t>DataRails</t>
  </si>
  <si>
    <t>Senior Vice President Of Global Sales</t>
  </si>
  <si>
    <t>Areli</t>
  </si>
  <si>
    <t>BWCP LP</t>
  </si>
  <si>
    <t>Giacobbe</t>
  </si>
  <si>
    <t>Bybrook Capital</t>
  </si>
  <si>
    <t>Mifsud</t>
  </si>
  <si>
    <t>CL King</t>
  </si>
  <si>
    <t>Benton</t>
  </si>
  <si>
    <t>PATILLET</t>
  </si>
  <si>
    <t>Dulon</t>
  </si>
  <si>
    <t>Cadian Capital</t>
  </si>
  <si>
    <t>Lesaca</t>
  </si>
  <si>
    <t>Riggio</t>
  </si>
  <si>
    <t>COO/General Counsel</t>
  </si>
  <si>
    <t>Caherciveen Partners</t>
  </si>
  <si>
    <t>Houlihan</t>
  </si>
  <si>
    <t>Tuck</t>
  </si>
  <si>
    <t>Marongiu</t>
  </si>
  <si>
    <t>Cairn Capital</t>
  </si>
  <si>
    <t>Bentley</t>
  </si>
  <si>
    <t>Caixa Banco</t>
  </si>
  <si>
    <t>Nebot</t>
  </si>
  <si>
    <t>Caledonia Private</t>
  </si>
  <si>
    <t>Caledonia US, LP</t>
  </si>
  <si>
    <t>Easter</t>
  </si>
  <si>
    <t>Calibrate Partners</t>
  </si>
  <si>
    <t>Whelan</t>
  </si>
  <si>
    <t>Sumner</t>
  </si>
  <si>
    <t>California State</t>
  </si>
  <si>
    <t>Lichnock</t>
  </si>
  <si>
    <t>Calixto Global</t>
  </si>
  <si>
    <t>Callodine Capital</t>
  </si>
  <si>
    <t>Calvert Investment</t>
  </si>
  <si>
    <t>E. Kingdon</t>
  </si>
  <si>
    <t>Hurlock</t>
  </si>
  <si>
    <t>CALYON</t>
  </si>
  <si>
    <t>EQD COO</t>
  </si>
  <si>
    <t>Meron</t>
  </si>
  <si>
    <t>Camalia Capital</t>
  </si>
  <si>
    <t>Yohan</t>
  </si>
  <si>
    <t>Kadoche</t>
  </si>
  <si>
    <t>Lior</t>
  </si>
  <si>
    <t>Camber Capital</t>
  </si>
  <si>
    <t>SVP Chief Investment Officer</t>
  </si>
  <si>
    <t>Campana Consulting</t>
  </si>
  <si>
    <t>Cagna</t>
  </si>
  <si>
    <t>Wagstaff</t>
  </si>
  <si>
    <t>Canoe Financial</t>
  </si>
  <si>
    <t>Jativa</t>
  </si>
  <si>
    <t>Cape Ann</t>
  </si>
  <si>
    <t>French</t>
  </si>
  <si>
    <t>Capital Futures</t>
  </si>
  <si>
    <t>Capital Institutional</t>
  </si>
  <si>
    <t>Sales Vice President</t>
  </si>
  <si>
    <t>Lamendola</t>
  </si>
  <si>
    <t>Swamy</t>
  </si>
  <si>
    <t>Montejano</t>
  </si>
  <si>
    <t>Capital Star</t>
  </si>
  <si>
    <t>Resoso</t>
  </si>
  <si>
    <t>CapM Securities</t>
  </si>
  <si>
    <t>Capstone Global Management, Inc.</t>
  </si>
  <si>
    <t>Capozza</t>
  </si>
  <si>
    <t>Capula</t>
  </si>
  <si>
    <t>Carbonado Capital</t>
  </si>
  <si>
    <t>Eliya</t>
  </si>
  <si>
    <t>Cardwell Investment</t>
  </si>
  <si>
    <t>SNB Capital</t>
  </si>
  <si>
    <t>Vice President, Channels Development</t>
  </si>
  <si>
    <t>Hashem Karam</t>
  </si>
  <si>
    <t>Abha</t>
  </si>
  <si>
    <t>Mandy</t>
  </si>
  <si>
    <t>Van Anne</t>
  </si>
  <si>
    <t>Carrhae Capital</t>
  </si>
  <si>
    <t>Headon</t>
  </si>
  <si>
    <t>Casablanca Stock</t>
  </si>
  <si>
    <t>Cascade Investment</t>
  </si>
  <si>
    <t>CTO CIO</t>
  </si>
  <si>
    <t>CEO Algo Finance Group</t>
  </si>
  <si>
    <t>Castle Creek</t>
  </si>
  <si>
    <t>CFO PM</t>
  </si>
  <si>
    <t>Perz</t>
  </si>
  <si>
    <t>Castle Hook</t>
  </si>
  <si>
    <t>Rhatigan</t>
  </si>
  <si>
    <t>CastleKnight</t>
  </si>
  <si>
    <t>CFO-COO</t>
  </si>
  <si>
    <t>Castle Oak</t>
  </si>
  <si>
    <t>Ippolito</t>
  </si>
  <si>
    <t>Castle Ridge</t>
  </si>
  <si>
    <t>Swotes</t>
  </si>
  <si>
    <t>Catalur Capital</t>
  </si>
  <si>
    <t>McCaw</t>
  </si>
  <si>
    <t>Cavalry Asset</t>
  </si>
  <si>
    <t>Teplets</t>
  </si>
  <si>
    <t>Cavanal Hill</t>
  </si>
  <si>
    <t>Friedl</t>
  </si>
  <si>
    <t>Cavu Capital</t>
  </si>
  <si>
    <t>Kovner</t>
  </si>
  <si>
    <t>Lokeinsky</t>
  </si>
  <si>
    <t>Caymus Capital</t>
  </si>
  <si>
    <t>CBH Asia</t>
  </si>
  <si>
    <t>Kam-Hing</t>
  </si>
  <si>
    <t>Margot</t>
  </si>
  <si>
    <t>Nones</t>
  </si>
  <si>
    <t>Alvarez Cedron</t>
  </si>
  <si>
    <t>Sanz</t>
  </si>
  <si>
    <t>Cedar Hill</t>
  </si>
  <si>
    <t>Chairman / CIO</t>
  </si>
  <si>
    <t>Jastromb</t>
  </si>
  <si>
    <t>Cedar Street</t>
  </si>
  <si>
    <t>Pavlik</t>
  </si>
  <si>
    <t>Dianora</t>
  </si>
  <si>
    <t>Centerbook</t>
  </si>
  <si>
    <t>mennitt</t>
  </si>
  <si>
    <t>Vice President, Head of Platform Services</t>
  </si>
  <si>
    <t>Rippington</t>
  </si>
  <si>
    <t>Jitney Trade</t>
  </si>
  <si>
    <t>Condlln</t>
  </si>
  <si>
    <t>Sabourin</t>
  </si>
  <si>
    <t>Cerrano Capital</t>
  </si>
  <si>
    <t>Lyne</t>
  </si>
  <si>
    <t>President of Macquarie Futures</t>
  </si>
  <si>
    <t>Mazurek--GONE??</t>
  </si>
  <si>
    <t>Co-CEO</t>
  </si>
  <si>
    <t>SAULIERE</t>
  </si>
  <si>
    <t>C Wealth Solutions</t>
  </si>
  <si>
    <t>Chairman and Head of research</t>
  </si>
  <si>
    <t>Bouchaud</t>
  </si>
  <si>
    <t>Potters</t>
  </si>
  <si>
    <t>Global Head of Business Development - President</t>
  </si>
  <si>
    <t>Pierfrancesco</t>
  </si>
  <si>
    <t>Servidio</t>
  </si>
  <si>
    <t>Datadog</t>
  </si>
  <si>
    <t>BCP Global</t>
  </si>
  <si>
    <t>Naughton</t>
  </si>
  <si>
    <t>Amado</t>
  </si>
  <si>
    <t>Urbach</t>
  </si>
  <si>
    <t>Hamano</t>
  </si>
  <si>
    <t>Vice President - Trading &amp; CCP</t>
  </si>
  <si>
    <t>Palhares</t>
  </si>
  <si>
    <t>Britto</t>
  </si>
  <si>
    <t>Boschetti</t>
  </si>
  <si>
    <t>Chief Financial Officer, S&amp;P Global Commodity Insights Division</t>
  </si>
  <si>
    <t>Tisei</t>
  </si>
  <si>
    <t>Sahil</t>
  </si>
  <si>
    <t>Co-founder &amp; CEO</t>
  </si>
  <si>
    <t>Vice President of Finance</t>
  </si>
  <si>
    <t>Ryan J.</t>
  </si>
  <si>
    <t>Vice President- Trading System Support</t>
  </si>
  <si>
    <t>Vice President, Head of Corporate Communications</t>
  </si>
  <si>
    <t>Paidas</t>
  </si>
  <si>
    <t>Cheevers &amp; Company</t>
  </si>
  <si>
    <t>Cheevers</t>
  </si>
  <si>
    <t>Drinkwater</t>
  </si>
  <si>
    <t>Deputy COO, Securities</t>
  </si>
  <si>
    <t>DeJarnette</t>
  </si>
  <si>
    <t>Chesapeake Capital</t>
  </si>
  <si>
    <t>Vice President-Chief Technology Officer</t>
  </si>
  <si>
    <t>Schumacker</t>
  </si>
  <si>
    <t>EVP &amp; CIO</t>
  </si>
  <si>
    <t>Vice President of Sales/Business Development, Partnerships</t>
  </si>
  <si>
    <t>Wasilewski</t>
  </si>
  <si>
    <t>OutSystems</t>
  </si>
  <si>
    <t>Chicago Climate</t>
  </si>
  <si>
    <t>Sandor</t>
  </si>
  <si>
    <t>Chairman | CEO Founder</t>
  </si>
  <si>
    <t>Jacqueline (Jacqui)</t>
  </si>
  <si>
    <t>Vice President, Client Success</t>
  </si>
  <si>
    <t>Cloghessy</t>
  </si>
  <si>
    <t>G. Garret</t>
  </si>
  <si>
    <t>Senior Vice President and Chief Technology Officer</t>
  </si>
  <si>
    <t>Kerrin</t>
  </si>
  <si>
    <t>Vice President Information Techhnology Operations</t>
  </si>
  <si>
    <t>Dionisio</t>
  </si>
  <si>
    <t>Chiuratto Agourakis</t>
  </si>
  <si>
    <t>Marco Aur??lio</t>
  </si>
  <si>
    <t>Chief Investment Officer / Head of Sales and Investments</t>
  </si>
  <si>
    <t>Guerra de S?, CFA</t>
  </si>
  <si>
    <t>China Everbright</t>
  </si>
  <si>
    <t>President, Co-Founder</t>
  </si>
  <si>
    <t>Guicardi</t>
  </si>
  <si>
    <t>Moroney</t>
  </si>
  <si>
    <t>President &amp; CRO</t>
  </si>
  <si>
    <t>Zetterberg</t>
  </si>
  <si>
    <t>Zai Yue</t>
  </si>
  <si>
    <t>Omine</t>
  </si>
  <si>
    <t>Brandao</t>
  </si>
  <si>
    <t>Fusion Cell</t>
  </si>
  <si>
    <t>Vice President of Financial Services Sales</t>
  </si>
  <si>
    <t>Aburesi Salvadori</t>
  </si>
  <si>
    <t>Assistant CEO IT Director</t>
  </si>
  <si>
    <t>Davi</t>
  </si>
  <si>
    <t>Matija</t>
  </si>
  <si>
    <t>Maretic</t>
  </si>
  <si>
    <t>Founder and President</t>
  </si>
  <si>
    <t>Cahuzac</t>
  </si>
  <si>
    <t>COO - Chief Operating Officer</t>
  </si>
  <si>
    <t>SBT</t>
  </si>
  <si>
    <t>Euroclear</t>
  </si>
  <si>
    <t>Senior Vice President &amp; Chief Information Officer</t>
  </si>
  <si>
    <t>Chief Executive Officer, Growth Markets ? Asia Pacific, Africa, Middle East, Latin America</t>
  </si>
  <si>
    <t>Framil</t>
  </si>
  <si>
    <t>Agi</t>
  </si>
  <si>
    <t>Founder and Executive Chairman at Agi.</t>
  </si>
  <si>
    <t>Yana</t>
  </si>
  <si>
    <t>CPQi</t>
  </si>
  <si>
    <t>CEO &amp; Board Member</t>
  </si>
  <si>
    <t>Chiron Investment</t>
  </si>
  <si>
    <t>Armenio</t>
  </si>
  <si>
    <t>Hretchka</t>
  </si>
  <si>
    <t>Genial Investimentos</t>
  </si>
  <si>
    <t>Chopper Trading</t>
  </si>
  <si>
    <t>Co-CIO</t>
  </si>
  <si>
    <t>Vice President of Sales</t>
  </si>
  <si>
    <t>Gothelf</t>
  </si>
  <si>
    <t>Operating Vice President</t>
  </si>
  <si>
    <t>Arrospide</t>
  </si>
  <si>
    <t>Vice President Strategic Partnerships</t>
  </si>
  <si>
    <t>Jo?o</t>
  </si>
  <si>
    <t>Regional Vice President Sales - Marketing Cloud Brazil</t>
  </si>
  <si>
    <t>Adilson</t>
  </si>
  <si>
    <t>CHS</t>
  </si>
  <si>
    <t>Debertin</t>
  </si>
  <si>
    <t>Church Commissioners</t>
  </si>
  <si>
    <t>Churchill</t>
  </si>
  <si>
    <t>CIAM</t>
  </si>
  <si>
    <t>COO &amp; Risk</t>
  </si>
  <si>
    <t>Drujon</t>
  </si>
  <si>
    <t>Fieldware, LLC</t>
  </si>
  <si>
    <t>Whitfield</t>
  </si>
  <si>
    <t>Independent Board Member</t>
  </si>
  <si>
    <t>Athey</t>
  </si>
  <si>
    <t>Artmann</t>
  </si>
  <si>
    <t>Riechert</t>
  </si>
  <si>
    <t>Scaff</t>
  </si>
  <si>
    <t>CEO/Chairman</t>
  </si>
  <si>
    <t>Hunkin</t>
  </si>
  <si>
    <t>Partner &amp; CFO</t>
  </si>
  <si>
    <t>Constantino, CFA</t>
  </si>
  <si>
    <t>Phare Global Markets</t>
  </si>
  <si>
    <t>Areia</t>
  </si>
  <si>
    <t>ThirdPartyTrust</t>
  </si>
  <si>
    <t>CEO of Securities Services and Digital</t>
  </si>
  <si>
    <t>Regelman</t>
  </si>
  <si>
    <t>Faria</t>
  </si>
  <si>
    <t>Cinnober</t>
  </si>
  <si>
    <t>Ciobera IT</t>
  </si>
  <si>
    <t>Sreenivasu</t>
  </si>
  <si>
    <t>Teel &amp; Company</t>
  </si>
  <si>
    <t>Teel, CPA</t>
  </si>
  <si>
    <t>Co-Founder, CEO</t>
  </si>
  <si>
    <t>Fasciano</t>
  </si>
  <si>
    <t>Kolba</t>
  </si>
  <si>
    <t>CoStar Group</t>
  </si>
  <si>
    <t>Vice President of Sales - West Region</t>
  </si>
  <si>
    <t>Saven</t>
  </si>
  <si>
    <t>Vice President, Prime Services and Intermediary Services, Fidelity Capital Markets</t>
  </si>
  <si>
    <t>Adform</t>
  </si>
  <si>
    <t>CEO Adform</t>
  </si>
  <si>
    <t>Senior Vice President, Director of Operations</t>
  </si>
  <si>
    <t>Barko</t>
  </si>
  <si>
    <t>Vice President Head of Growth Officer Development - Cetera Financial Group</t>
  </si>
  <si>
    <t>Kazmi</t>
  </si>
  <si>
    <t>Job Ready Programmer</t>
  </si>
  <si>
    <t>Brackenridge</t>
  </si>
  <si>
    <t>The Street Trader Limited</t>
  </si>
  <si>
    <t>Zelinger</t>
  </si>
  <si>
    <t>CEO/Trader</t>
  </si>
  <si>
    <t>Nutt</t>
  </si>
  <si>
    <t>Clark Capital</t>
  </si>
  <si>
    <t>McGarrity</t>
  </si>
  <si>
    <t>Rafaelo</t>
  </si>
  <si>
    <t>Colombo</t>
  </si>
  <si>
    <t>Delooz</t>
  </si>
  <si>
    <t>Spanner</t>
  </si>
  <si>
    <t>Helm Bank USA</t>
  </si>
  <si>
    <t>CEO &amp; Founding Partner</t>
  </si>
  <si>
    <t>Kestin</t>
  </si>
  <si>
    <t>CEO, United Kingdom, Ireland, and The Crown Dependencies</t>
  </si>
  <si>
    <t>Wiltgen</t>
  </si>
  <si>
    <t>Clearable NYSD</t>
  </si>
  <si>
    <t>Clear Harbor</t>
  </si>
  <si>
    <t>CEO &amp; IM</t>
  </si>
  <si>
    <t>Kennon</t>
  </si>
  <si>
    <t>Clear Street</t>
  </si>
  <si>
    <t>Business Computing Solutions</t>
  </si>
  <si>
    <t>Qahim</t>
  </si>
  <si>
    <t>OTC ESP Systems LLC</t>
  </si>
  <si>
    <t>Vice President GMD</t>
  </si>
  <si>
    <t>Le Breton</t>
  </si>
  <si>
    <t>Gerardo (Gary)</t>
  </si>
  <si>
    <t>Co-Founder, President</t>
  </si>
  <si>
    <t>Longview Acquisition Corp</t>
  </si>
  <si>
    <t>Vice President Infrastructure &amp; SRE</t>
  </si>
  <si>
    <t>SANCHEZ WEALTH MANAGEMENT, LLC</t>
  </si>
  <si>
    <t>Gaunt, CFP</t>
  </si>
  <si>
    <t>Cloverdale Capital</t>
  </si>
  <si>
    <t>Vice President, Relationship Manager</t>
  </si>
  <si>
    <t>Vice President / Product at Arcesium</t>
  </si>
  <si>
    <t>Muecke</t>
  </si>
  <si>
    <t>Podell</t>
  </si>
  <si>
    <t>Envestnet</t>
  </si>
  <si>
    <t>President/COO</t>
  </si>
  <si>
    <t>Hyder Hussain Moosvi</t>
  </si>
  <si>
    <t>Agence pour la Protection des Programmes</t>
  </si>
  <si>
    <t>COO &amp; Founder</t>
  </si>
  <si>
    <t>Manfredini</t>
  </si>
  <si>
    <t>CMB International</t>
  </si>
  <si>
    <t>Project Visual</t>
  </si>
  <si>
    <t>Husein</t>
  </si>
  <si>
    <t>Kermalli</t>
  </si>
  <si>
    <t>Senior Vice President, Global Head of Electronic Trading Services and Data Management</t>
  </si>
  <si>
    <t>Kennedy Consulting PCS</t>
  </si>
  <si>
    <t>Assistant Vice President - Production Services Specialist II</t>
  </si>
  <si>
    <t>Aiviq</t>
  </si>
  <si>
    <t>Aiviq, CEO</t>
  </si>
  <si>
    <t>Meraki Global Advisors</t>
  </si>
  <si>
    <t>Mary Catherine</t>
  </si>
  <si>
    <t>Vice President Of Business Development</t>
  </si>
  <si>
    <t>McAvey</t>
  </si>
  <si>
    <t>Shoshanna</t>
  </si>
  <si>
    <t>Vice President, Global Trading and Investment Oversight Technology Manager</t>
  </si>
  <si>
    <t>Bergeron - Civian</t>
  </si>
  <si>
    <t>Yuster</t>
  </si>
  <si>
    <t>Sayed</t>
  </si>
  <si>
    <t>Stone Ridge Engineering</t>
  </si>
  <si>
    <t>Cioffi</t>
  </si>
  <si>
    <t>Linear SolutionWorks, Inc</t>
  </si>
  <si>
    <t>President / CTO</t>
  </si>
  <si>
    <t>Saatwik</t>
  </si>
  <si>
    <t>Vice President - Firmwide Strategy</t>
  </si>
  <si>
    <t>Sphera</t>
  </si>
  <si>
    <t>Vice President, Marketing</t>
  </si>
  <si>
    <t>Geldman</t>
  </si>
  <si>
    <t>Vice President, Advanced Execution Services (AES)</t>
  </si>
  <si>
    <t>Florio</t>
  </si>
  <si>
    <t>Tacton</t>
  </si>
  <si>
    <t>Alfredsson</t>
  </si>
  <si>
    <t>Senior Vice President Head of Global Sales</t>
  </si>
  <si>
    <t>Swartz</t>
  </si>
  <si>
    <t>President, North America</t>
  </si>
  <si>
    <t>Boucinhas</t>
  </si>
  <si>
    <t>Bellamy</t>
  </si>
  <si>
    <t>Eric Le</t>
  </si>
  <si>
    <t>Boulch</t>
  </si>
  <si>
    <t>CMG Capital Management</t>
  </si>
  <si>
    <t>Thon</t>
  </si>
  <si>
    <t>Budge, Inc.</t>
  </si>
  <si>
    <t>Zaidi, CFP</t>
  </si>
  <si>
    <t>Tech Lead Vice President</t>
  </si>
  <si>
    <t>Abbasi</t>
  </si>
  <si>
    <t>Chief Operating Officer of UBS Investment Bank (Americas) &amp; UBS Securities, LLC</t>
  </si>
  <si>
    <t>Hershman</t>
  </si>
  <si>
    <t>Airside</t>
  </si>
  <si>
    <t>Amena</t>
  </si>
  <si>
    <t>Senior Advisor to the President, CME Clearing</t>
  </si>
  <si>
    <t>Alegria</t>
  </si>
  <si>
    <t>Cobalt</t>
  </si>
  <si>
    <t>Lasalvia</t>
  </si>
  <si>
    <t>Janney Montgomery</t>
  </si>
  <si>
    <t>Cobiz Wealth</t>
  </si>
  <si>
    <t>Madden</t>
  </si>
  <si>
    <t>Cogitam Paris</t>
  </si>
  <si>
    <t>Sallouti</t>
  </si>
  <si>
    <t>CEO Group Taking</t>
  </si>
  <si>
    <t>Lewis Matabeek</t>
  </si>
  <si>
    <t>Tri State Financial Services</t>
  </si>
  <si>
    <t>Vice President, Software Engineering</t>
  </si>
  <si>
    <t>Nulman</t>
  </si>
  <si>
    <t>Atento</t>
  </si>
  <si>
    <t>Jos??</t>
  </si>
  <si>
    <t>Global Chief Financial Officer</t>
  </si>
  <si>
    <t>Pento</t>
  </si>
  <si>
    <t>Colorado Public</t>
  </si>
  <si>
    <t>Deputy  CIO</t>
  </si>
  <si>
    <t>Colrain Capital</t>
  </si>
  <si>
    <t>Rondani</t>
  </si>
  <si>
    <t>Co-founder and CEO</t>
  </si>
  <si>
    <t>Coltrane Asset</t>
  </si>
  <si>
    <t>BOSONIC</t>
  </si>
  <si>
    <t>Founder &amp; Chief Executive</t>
  </si>
  <si>
    <t>Ingargiola</t>
  </si>
  <si>
    <t>Shah Enterprises</t>
  </si>
  <si>
    <t>Acting CEO</t>
  </si>
  <si>
    <t>Columbus Hill</t>
  </si>
  <si>
    <t>Columbus Point</t>
  </si>
  <si>
    <t>Vice President of Academic Affairs</t>
  </si>
  <si>
    <t>Agilence, Inc.</t>
  </si>
  <si>
    <t>Vice President Software Development</t>
  </si>
  <si>
    <t>Lessard</t>
  </si>
  <si>
    <t>Commodities World</t>
  </si>
  <si>
    <t>IT - Vice President</t>
  </si>
  <si>
    <t>CEO / CIO</t>
  </si>
  <si>
    <t>Mahjouri</t>
  </si>
  <si>
    <t>Compass Point</t>
  </si>
  <si>
    <t>PropelGrowth</t>
  </si>
  <si>
    <t>Candyce</t>
  </si>
  <si>
    <t>Edelen</t>
  </si>
  <si>
    <t>Vice President, Global Head of Marketing and Digital Technology</t>
  </si>
  <si>
    <t>Pae</t>
  </si>
  <si>
    <t>Co-Founder &amp; COO</t>
  </si>
  <si>
    <t>President of Transtar</t>
  </si>
  <si>
    <t>Carnes</t>
  </si>
  <si>
    <t>Computershare</t>
  </si>
  <si>
    <t>PennantPark Investment Advisers, LLC</t>
  </si>
  <si>
    <t>Merai</t>
  </si>
  <si>
    <t>Vicente</t>
  </si>
  <si>
    <t>Tobin</t>
  </si>
  <si>
    <t>Vice President - Aladdin Business, Trading Product Marketing</t>
  </si>
  <si>
    <t>Conduit Capital</t>
  </si>
  <si>
    <t>O'MEARA</t>
  </si>
  <si>
    <t>Gianfranco</t>
  </si>
  <si>
    <t>Consector Capital</t>
  </si>
  <si>
    <t>Betterbid</t>
  </si>
  <si>
    <t>Bared</t>
  </si>
  <si>
    <t>Gustin</t>
  </si>
  <si>
    <t>Continental Advisors</t>
  </si>
  <si>
    <t>Ramenofsky</t>
  </si>
  <si>
    <t>Contour Asset</t>
  </si>
  <si>
    <t>Vice President, Prime Brokerage</t>
  </si>
  <si>
    <t>Berndt</t>
  </si>
  <si>
    <t>Contrarian Capital</t>
  </si>
  <si>
    <t>Kravetz</t>
  </si>
  <si>
    <t>Vice President Audit</t>
  </si>
  <si>
    <t>Shah, CPA</t>
  </si>
  <si>
    <t>CIO S3 Caceis Investor Services</t>
  </si>
  <si>
    <t>Batistela</t>
  </si>
  <si>
    <t>Huhner</t>
  </si>
  <si>
    <t>Harkins</t>
  </si>
  <si>
    <t>Laforcade</t>
  </si>
  <si>
    <t>CEO - ConvergEx Global MKts</t>
  </si>
  <si>
    <t>Evin</t>
  </si>
  <si>
    <t>Vice President Strategy and Technology Planning</t>
  </si>
  <si>
    <t>Marranca</t>
  </si>
  <si>
    <t>Jerrier</t>
  </si>
  <si>
    <t>Atassi</t>
  </si>
  <si>
    <t>Kuhn</t>
  </si>
  <si>
    <t>Canadian Council of Muslim Woman</t>
  </si>
  <si>
    <t>Fathima</t>
  </si>
  <si>
    <t>President, Toronto Chapter</t>
  </si>
  <si>
    <t>Convex Asset</t>
  </si>
  <si>
    <t>Convexity Capital</t>
  </si>
  <si>
    <t>Vice President, Business Solutions</t>
  </si>
  <si>
    <t>FISD</t>
  </si>
  <si>
    <t>Copeland Capital</t>
  </si>
  <si>
    <t>Copperwood Energy</t>
  </si>
  <si>
    <t>Brattain</t>
  </si>
  <si>
    <t>Nirmal</t>
  </si>
  <si>
    <t>Vinokur</t>
  </si>
  <si>
    <t>Core Capital</t>
  </si>
  <si>
    <t>Bellot-Hazarian</t>
  </si>
  <si>
    <t>Sahin</t>
  </si>
  <si>
    <t>Pallavi</t>
  </si>
  <si>
    <t>Pardesi</t>
  </si>
  <si>
    <t>CoreView Capital</t>
  </si>
  <si>
    <t>Loretta</t>
  </si>
  <si>
    <t>Xandr</t>
  </si>
  <si>
    <t>Vice President, Tech Sales</t>
  </si>
  <si>
    <t>Sanbongi</t>
  </si>
  <si>
    <t>Coronation</t>
  </si>
  <si>
    <t>Corriente Advisors</t>
  </si>
  <si>
    <t>Gilman</t>
  </si>
  <si>
    <t>1st Constitution Bank</t>
  </si>
  <si>
    <t>Naqi</t>
  </si>
  <si>
    <t>Senior Vice President and Chief Accounting Officer</t>
  </si>
  <si>
    <t>Vice President of Membership and Programs</t>
  </si>
  <si>
    <t>Shumpert</t>
  </si>
  <si>
    <t>Prometheum</t>
  </si>
  <si>
    <t>Chief Compliance Officer, Chief Operating Officer</t>
  </si>
  <si>
    <t>Capuano</t>
  </si>
  <si>
    <t>CKC Capital LLC</t>
  </si>
  <si>
    <t>Ganesan, CFA</t>
  </si>
  <si>
    <t>Zanganeh</t>
  </si>
  <si>
    <t>Jafri</t>
  </si>
  <si>
    <t>Covalent Partners</t>
  </si>
  <si>
    <t>Maciejewski</t>
  </si>
  <si>
    <t>Covalis Capital</t>
  </si>
  <si>
    <t>Cove Markets</t>
  </si>
  <si>
    <t>Advisor and Strategist  to C-Suite and Boards</t>
  </si>
  <si>
    <t>Miralis Construction Supply &amp; Services</t>
  </si>
  <si>
    <t>Tor Brokerage LLC</t>
  </si>
  <si>
    <t>Hani</t>
  </si>
  <si>
    <t>El-Sakkout</t>
  </si>
  <si>
    <t>R1 RCM</t>
  </si>
  <si>
    <t>Alana</t>
  </si>
  <si>
    <t>Vice President, Product Management</t>
  </si>
  <si>
    <t>Alyarglobal</t>
  </si>
  <si>
    <t>Munich Re</t>
  </si>
  <si>
    <t>Crabel</t>
  </si>
  <si>
    <t>Idea Labs Consulting</t>
  </si>
  <si>
    <t>Cramer Rosenthal</t>
  </si>
  <si>
    <t>Yagegari</t>
  </si>
  <si>
    <t>Crawford Investment</t>
  </si>
  <si>
    <t>Wali</t>
  </si>
  <si>
    <t>Partner and Chief Innovation &amp; Information Officer</t>
  </si>
  <si>
    <t>Credential Financial</t>
  </si>
  <si>
    <t>Vanderheyden</t>
  </si>
  <si>
    <t>Cromwell</t>
  </si>
  <si>
    <t>Ashiq</t>
  </si>
  <si>
    <t>MED Xpert Services</t>
  </si>
  <si>
    <t>Mohani</t>
  </si>
  <si>
    <t>Striffler</t>
  </si>
  <si>
    <t>Brace</t>
  </si>
  <si>
    <t>Brueckmann</t>
  </si>
  <si>
    <t>Oaktree Capital</t>
  </si>
  <si>
    <t>Marsigliano</t>
  </si>
  <si>
    <t>Gonalo</t>
  </si>
  <si>
    <t>Crescent Asset</t>
  </si>
  <si>
    <t>Senior Vice President and Head of Technology</t>
  </si>
  <si>
    <t>Crescent Park</t>
  </si>
  <si>
    <t>Crescent Rock</t>
  </si>
  <si>
    <t>Mosberg</t>
  </si>
  <si>
    <t>Crestline Management</t>
  </si>
  <si>
    <t>AlixPartners</t>
  </si>
  <si>
    <t>Shamiq</t>
  </si>
  <si>
    <t>Senior Vice President  - Turnaround &amp; Restructuring</t>
  </si>
  <si>
    <t>Crestone Capital</t>
  </si>
  <si>
    <t>X3Energy</t>
  </si>
  <si>
    <t>Board Member/President  X3CNG Colorado LLC</t>
  </si>
  <si>
    <t>Creutz Partners</t>
  </si>
  <si>
    <t>Criterion Capital</t>
  </si>
  <si>
    <t>Bank of Hope</t>
  </si>
  <si>
    <t>"Senior Vice President, Portfolio Manager - Healthcare	"</t>
  </si>
  <si>
    <t>U.S. Department of Veterans Affairs</t>
  </si>
  <si>
    <t>Crow Point</t>
  </si>
  <si>
    <t>Co-founder/ CEO</t>
  </si>
  <si>
    <t>DeCaprio</t>
  </si>
  <si>
    <t>Thomas Ashbourne Craft Spirits</t>
  </si>
  <si>
    <t>Federated Insurance</t>
  </si>
  <si>
    <t>Rashelle</t>
  </si>
  <si>
    <t>Vice President, Head of Account Management</t>
  </si>
  <si>
    <t>Salimi</t>
  </si>
  <si>
    <t>CSE</t>
  </si>
  <si>
    <t>CSOP Asset Management</t>
  </si>
  <si>
    <t>Michael Liang</t>
  </si>
  <si>
    <t>CIO  QDII</t>
  </si>
  <si>
    <t>CIO-CSOPHK</t>
  </si>
  <si>
    <t>Co-Chief Investment Officer</t>
  </si>
  <si>
    <t>Prairie Academy</t>
  </si>
  <si>
    <t>Member Board of Directors</t>
  </si>
  <si>
    <t>Hatia</t>
  </si>
  <si>
    <t>Managing Director/CIO</t>
  </si>
  <si>
    <t>Klaviyo</t>
  </si>
  <si>
    <t>GTM Operations and Enablement, Vice President</t>
  </si>
  <si>
    <t>Punjabi</t>
  </si>
  <si>
    <t>Cunningham Commodities</t>
  </si>
  <si>
    <t>Tandaric</t>
  </si>
  <si>
    <t>Ghufran</t>
  </si>
  <si>
    <t>Cupps Capital</t>
  </si>
  <si>
    <t>Flentye</t>
  </si>
  <si>
    <t>Curian Capital</t>
  </si>
  <si>
    <t>The O'Dwyer Group</t>
  </si>
  <si>
    <t>President and Founder</t>
  </si>
  <si>
    <t>O'Dwyer</t>
  </si>
  <si>
    <t>CEO &amp; Chief Investment Officer</t>
  </si>
  <si>
    <t>Michaels</t>
  </si>
  <si>
    <t>Jasim</t>
  </si>
  <si>
    <t>Centerfin</t>
  </si>
  <si>
    <t>Kyrill</t>
  </si>
  <si>
    <t>Asatur</t>
  </si>
  <si>
    <t>Cushing Asset</t>
  </si>
  <si>
    <t>Cutler Group</t>
  </si>
  <si>
    <t>Cutler</t>
  </si>
  <si>
    <t>Wynnefield Capital</t>
  </si>
  <si>
    <t>W. Alex</t>
  </si>
  <si>
    <t>Liu, MBA</t>
  </si>
  <si>
    <t>Rajen</t>
  </si>
  <si>
    <t>Modern Citizen</t>
  </si>
  <si>
    <t>Lizzie</t>
  </si>
  <si>
    <t>Co-Founder &amp; Co-CEO</t>
  </si>
  <si>
    <t>Agnew</t>
  </si>
  <si>
    <t>Cuttone</t>
  </si>
  <si>
    <t>Hannan</t>
  </si>
  <si>
    <t>Research - Office of the CIO</t>
  </si>
  <si>
    <t>Hafner, CFA</t>
  </si>
  <si>
    <t>PicnicHealth</t>
  </si>
  <si>
    <t>Federici</t>
  </si>
  <si>
    <t>Accelirate Inc.</t>
  </si>
  <si>
    <t>Co-founder, CEO, Chief Automation Officer</t>
  </si>
  <si>
    <t>Vice President, Recruiting- JPMorgan Advisors (JPMA)</t>
  </si>
  <si>
    <t>Jonny</t>
  </si>
  <si>
    <t>CZ Capital</t>
  </si>
  <si>
    <t>American Board of Internal Medicine</t>
  </si>
  <si>
    <t>Senior Vice President and Chief Information Officer</t>
  </si>
  <si>
    <t>DAGSecurities</t>
  </si>
  <si>
    <t>Glander</t>
  </si>
  <si>
    <t>Strategic Analysis - COO Office</t>
  </si>
  <si>
    <t>Vice President, Investor Relations &amp; Strategic Finance</t>
  </si>
  <si>
    <t>Gerber</t>
  </si>
  <si>
    <t>Dalton Investments</t>
  </si>
  <si>
    <t>The Herbst Group, LLC</t>
  </si>
  <si>
    <t>Robertson Stephens</t>
  </si>
  <si>
    <t>Wanandi</t>
  </si>
  <si>
    <t>Liminal</t>
  </si>
  <si>
    <t>Daniels Trading</t>
  </si>
  <si>
    <t>UC Santa Barbara</t>
  </si>
  <si>
    <t>Advisory Board Member</t>
  </si>
  <si>
    <t>Madden (Yang)</t>
  </si>
  <si>
    <t>Darsana Capital</t>
  </si>
  <si>
    <t>DARWIN GLOBAL</t>
  </si>
  <si>
    <t>Legge</t>
  </si>
  <si>
    <t>Investment Advisor UHNW - Vice President</t>
  </si>
  <si>
    <t>Nobreza, CFP?</t>
  </si>
  <si>
    <t>Davenport Bernard Consulting Limited</t>
  </si>
  <si>
    <t>Blackard</t>
  </si>
  <si>
    <t>David Capital</t>
  </si>
  <si>
    <t>CFO / CCO</t>
  </si>
  <si>
    <t>Vnoucek</t>
  </si>
  <si>
    <t>H.</t>
  </si>
  <si>
    <t>Da Vinci</t>
  </si>
  <si>
    <t>Altunkaynak</t>
  </si>
  <si>
    <t>Global CIO</t>
  </si>
  <si>
    <t>Rijper</t>
  </si>
  <si>
    <t>Davis securities</t>
  </si>
  <si>
    <t>DC Energy</t>
  </si>
  <si>
    <t>CaaS Capital Management</t>
  </si>
  <si>
    <t>Chief Risk Officer (CRO), Chief Technology Officer (CTO)</t>
  </si>
  <si>
    <t>DCI LLC</t>
  </si>
  <si>
    <t>Decagon Asset</t>
  </si>
  <si>
    <t>Deccan Value</t>
  </si>
  <si>
    <t>Deep Basin</t>
  </si>
  <si>
    <t>Hildenbrand</t>
  </si>
  <si>
    <t>Deer Park</t>
  </si>
  <si>
    <t>Degroof Petercam</t>
  </si>
  <si>
    <t>Wohrer</t>
  </si>
  <si>
    <t>Pirenne</t>
  </si>
  <si>
    <t>Nabhan</t>
  </si>
  <si>
    <t>Kapffer</t>
  </si>
  <si>
    <t>DEKA Bank</t>
  </si>
  <si>
    <t>LEFT THE FIRM ---COO Corporates and Markets</t>
  </si>
  <si>
    <t>Delaware Board</t>
  </si>
  <si>
    <t>Mendl</t>
  </si>
  <si>
    <t>Delaware Investments</t>
  </si>
  <si>
    <t>Delta Partners</t>
  </si>
  <si>
    <t>Deltec Asset</t>
  </si>
  <si>
    <t>Denali Futures</t>
  </si>
  <si>
    <t>De Putron</t>
  </si>
  <si>
    <t>Seshadri</t>
  </si>
  <si>
    <t>Ingoglia</t>
  </si>
  <si>
    <t>Desjardins</t>
  </si>
  <si>
    <t>Olivera</t>
  </si>
  <si>
    <t>Pierre-Louis</t>
  </si>
  <si>
    <t>Robichaud</t>
  </si>
  <si>
    <t>Saumen</t>
  </si>
  <si>
    <t>Schmaltz</t>
  </si>
  <si>
    <t>Member Executive Board Boerse FFT Zertifikate</t>
  </si>
  <si>
    <t>Maurer</t>
  </si>
  <si>
    <t>Reinartz</t>
  </si>
  <si>
    <t>Deutsche International</t>
  </si>
  <si>
    <t>Asst. Vice President</t>
  </si>
  <si>
    <t>Dexia Brussels</t>
  </si>
  <si>
    <t>Karel</t>
  </si>
  <si>
    <t>Broeck</t>
  </si>
  <si>
    <t>Dexia Bank</t>
  </si>
  <si>
    <t>MD Executive VP Chief Risk &amp; Operational Officer</t>
  </si>
  <si>
    <t>Fritsch</t>
  </si>
  <si>
    <t>DF Dent</t>
  </si>
  <si>
    <t>Dfi LABS</t>
  </si>
  <si>
    <t>Benasy</t>
  </si>
  <si>
    <t>DGV Solutions</t>
  </si>
  <si>
    <t>Breiland</t>
  </si>
  <si>
    <t>Dialectic Capital</t>
  </si>
  <si>
    <t>Diametric Capital</t>
  </si>
  <si>
    <t>Cieslak</t>
  </si>
  <si>
    <t>Diamond Carter</t>
  </si>
  <si>
    <t>Fulcher</t>
  </si>
  <si>
    <t>DIFESA CAPITAL</t>
  </si>
  <si>
    <t>Digifinex</t>
  </si>
  <si>
    <t>will</t>
  </si>
  <si>
    <t>Diginex</t>
  </si>
  <si>
    <t>Vice President of Products</t>
  </si>
  <si>
    <t>Thierfelder</t>
  </si>
  <si>
    <t>Digital Elite</t>
  </si>
  <si>
    <t>Watababe</t>
  </si>
  <si>
    <t>Diker Management</t>
  </si>
  <si>
    <t>Brower</t>
  </si>
  <si>
    <t>Gilligan</t>
  </si>
  <si>
    <t>Dinosaur Group</t>
  </si>
  <si>
    <t>Tenette</t>
  </si>
  <si>
    <t>Abanilla</t>
  </si>
  <si>
    <t>Direct Edge</t>
  </si>
  <si>
    <t>DirectFN</t>
  </si>
  <si>
    <t>Dharmendra</t>
  </si>
  <si>
    <t>Mohammed R</t>
  </si>
  <si>
    <t>Al-Ballaa</t>
  </si>
  <si>
    <t>Direxion Funds</t>
  </si>
  <si>
    <t>Discidium</t>
  </si>
  <si>
    <t>Group Executive Chairman</t>
  </si>
  <si>
    <t>Disciplined Alpha</t>
  </si>
  <si>
    <t>Discovery Capital</t>
  </si>
  <si>
    <t>Gismondi</t>
  </si>
  <si>
    <t>Divento Financials</t>
  </si>
  <si>
    <t>Divine Capital</t>
  </si>
  <si>
    <t>Delaleu</t>
  </si>
  <si>
    <t>Dheeraj</t>
  </si>
  <si>
    <t>Liv</t>
  </si>
  <si>
    <t>Droz</t>
  </si>
  <si>
    <t>Dom Inwestycyjny</t>
  </si>
  <si>
    <t>Jaros?aw</t>
  </si>
  <si>
    <t>Kowalczuk</t>
  </si>
  <si>
    <t>Dom Maklerski</t>
  </si>
  <si>
    <t>Stepien</t>
  </si>
  <si>
    <t>Donald Smith</t>
  </si>
  <si>
    <t>Donoghue Forlines</t>
  </si>
  <si>
    <t>Molari</t>
  </si>
  <si>
    <t>Dorsal Capital</t>
  </si>
  <si>
    <t>Dorsey Asset</t>
  </si>
  <si>
    <t>Harriett</t>
  </si>
  <si>
    <t>Dorsia Investment</t>
  </si>
  <si>
    <t>Luryi</t>
  </si>
  <si>
    <t>Dowgate Capital</t>
  </si>
  <si>
    <t>DPTG Dubai</t>
  </si>
  <si>
    <t>Hume</t>
  </si>
  <si>
    <t>Dracaena Capital</t>
  </si>
  <si>
    <t>Martian</t>
  </si>
  <si>
    <t>Huifeng</t>
  </si>
  <si>
    <t>CEO-CSOPHK</t>
  </si>
  <si>
    <t>Drakkar Capital</t>
  </si>
  <si>
    <t>Dresdner Kleinwort</t>
  </si>
  <si>
    <t>Lerch</t>
  </si>
  <si>
    <t>Driehaus Capital</t>
  </si>
  <si>
    <t>Cahoon</t>
  </si>
  <si>
    <t>DSAM Partners</t>
  </si>
  <si>
    <t>DSC MERIDIAN</t>
  </si>
  <si>
    <t>DST Financial</t>
  </si>
  <si>
    <t>MacDonnell</t>
  </si>
  <si>
    <t>Edkins</t>
  </si>
  <si>
    <t>Ahlberg</t>
  </si>
  <si>
    <t>Dummy Account</t>
  </si>
  <si>
    <t>Pastina</t>
  </si>
  <si>
    <t>Janowski</t>
  </si>
  <si>
    <t>Holtgrieve</t>
  </si>
  <si>
    <t>Hendrickson</t>
  </si>
  <si>
    <t>Colker</t>
  </si>
  <si>
    <t>Camejo</t>
  </si>
  <si>
    <t>Arner</t>
  </si>
  <si>
    <t>Vice President of Trading Technology</t>
  </si>
  <si>
    <t>Konig</t>
  </si>
  <si>
    <t>Piper</t>
  </si>
  <si>
    <t>CEO Chairman Fimat Group</t>
  </si>
  <si>
    <t>Blanc</t>
  </si>
  <si>
    <t>Meharg</t>
  </si>
  <si>
    <t>Bloom</t>
  </si>
  <si>
    <t>CEO &amp; President</t>
  </si>
  <si>
    <t>Gocke</t>
  </si>
  <si>
    <t>Rottman</t>
  </si>
  <si>
    <t>Punater</t>
  </si>
  <si>
    <t>Mantwill</t>
  </si>
  <si>
    <t>Gallis</t>
  </si>
  <si>
    <t>Rozzi</t>
  </si>
  <si>
    <t>William (bill)</t>
  </si>
  <si>
    <t>Grum</t>
  </si>
  <si>
    <t>Creighton</t>
  </si>
  <si>
    <t>Nole</t>
  </si>
  <si>
    <t>Chesler</t>
  </si>
  <si>
    <t>Reyl</t>
  </si>
  <si>
    <t>Francis Tara</t>
  </si>
  <si>
    <t>Hartleben---GONE</t>
  </si>
  <si>
    <t>Kruk</t>
  </si>
  <si>
    <t>Crespi</t>
  </si>
  <si>
    <t>Nodes</t>
  </si>
  <si>
    <t>COO / Principal</t>
  </si>
  <si>
    <t>Tamchin</t>
  </si>
  <si>
    <t>CEO - Trader</t>
  </si>
  <si>
    <t>Flaster</t>
  </si>
  <si>
    <t>Kamrath</t>
  </si>
  <si>
    <t>DuPont Capital</t>
  </si>
  <si>
    <t>Sill</t>
  </si>
  <si>
    <t>DV Group</t>
  </si>
  <si>
    <t>Founder President</t>
  </si>
  <si>
    <t>Verbrugge</t>
  </si>
  <si>
    <t>Vegosen</t>
  </si>
  <si>
    <t>Recchia</t>
  </si>
  <si>
    <t>Dyer and Blair Investment Bank</t>
  </si>
  <si>
    <t>Dynamic FX</t>
  </si>
  <si>
    <t>Lehtis</t>
  </si>
  <si>
    <t>DZ BANK</t>
  </si>
  <si>
    <t>Capital Markets Trading Vice President</t>
  </si>
  <si>
    <t>Kollath</t>
  </si>
  <si>
    <t>EAB Investment</t>
  </si>
  <si>
    <t>CEO / Dir of Risk</t>
  </si>
  <si>
    <t>EarlyBirdCapital</t>
  </si>
  <si>
    <t>Eastbay Asset</t>
  </si>
  <si>
    <t>Ra'ad</t>
  </si>
  <si>
    <t>Siraj</t>
  </si>
  <si>
    <t>President Navigate Funds</t>
  </si>
  <si>
    <t>Vause</t>
  </si>
  <si>
    <t>Wilson-Taylor</t>
  </si>
  <si>
    <t>Eclectica Asset</t>
  </si>
  <si>
    <t>Eclipse Options</t>
  </si>
  <si>
    <t>CEO/Owner</t>
  </si>
  <si>
    <t>Eco Capital</t>
  </si>
  <si>
    <t>Velasco, CFA</t>
  </si>
  <si>
    <t>EcoR1 Capital</t>
  </si>
  <si>
    <t>sarah</t>
  </si>
  <si>
    <t>marriott</t>
  </si>
  <si>
    <t>Ecovision</t>
  </si>
  <si>
    <t>Rastin</t>
  </si>
  <si>
    <t>ECSFin</t>
  </si>
  <si>
    <t>Zechariah</t>
  </si>
  <si>
    <t>Eczac?ba?? Investment</t>
  </si>
  <si>
    <t>K?z?ltan</t>
  </si>
  <si>
    <t>Edata Technology</t>
  </si>
  <si>
    <t>Eden Rock</t>
  </si>
  <si>
    <t>Horner</t>
  </si>
  <si>
    <t>Edgehog LLC</t>
  </si>
  <si>
    <t>Wasserman</t>
  </si>
  <si>
    <t>Rebekah</t>
  </si>
  <si>
    <t>Edge Trade</t>
  </si>
  <si>
    <t>Edizione</t>
  </si>
  <si>
    <t>CAO/CFO/CCO</t>
  </si>
  <si>
    <t>Edouard 7</t>
  </si>
  <si>
    <t>Sourdain</t>
  </si>
  <si>
    <t>Effex Capital</t>
  </si>
  <si>
    <t>CEO Head of FX Algo</t>
  </si>
  <si>
    <t>Dittami</t>
  </si>
  <si>
    <t>Effissimo Capital</t>
  </si>
  <si>
    <t>Kazutami</t>
  </si>
  <si>
    <t>Okitsu</t>
  </si>
  <si>
    <t>EFM Asset</t>
  </si>
  <si>
    <t>E Fund Management</t>
  </si>
  <si>
    <t>EGAMO</t>
  </si>
  <si>
    <t>Egerton Capital</t>
  </si>
  <si>
    <t>CEO - CIO</t>
  </si>
  <si>
    <t>Armitage</t>
  </si>
  <si>
    <t>Eiffel Investment</t>
  </si>
  <si>
    <t>Colombet</t>
  </si>
  <si>
    <t>Eighteen 48</t>
  </si>
  <si>
    <t>Pillsbury</t>
  </si>
  <si>
    <t>EII Capital</t>
  </si>
  <si>
    <t>Vice President Head of Operations</t>
  </si>
  <si>
    <t>Eikoh Research</t>
  </si>
  <si>
    <t>Dawidowski</t>
  </si>
  <si>
    <t>Trundle</t>
  </si>
  <si>
    <t>EIP Alpha</t>
  </si>
  <si>
    <t>Kepos Capital</t>
  </si>
  <si>
    <t>Eisenstat Capital</t>
  </si>
  <si>
    <t>Electron Capital</t>
  </si>
  <si>
    <t>Electronic Transaction</t>
  </si>
  <si>
    <t>Cloyd</t>
  </si>
  <si>
    <t>Vincent ("Vinny")</t>
  </si>
  <si>
    <t>Rabsy</t>
  </si>
  <si>
    <t>Elevation Capital</t>
  </si>
  <si>
    <t>Elk Creek</t>
  </si>
  <si>
    <t>Elysium Capital</t>
  </si>
  <si>
    <t>Mount</t>
  </si>
  <si>
    <t>EM Bonds</t>
  </si>
  <si>
    <t>Emerald Advisers</t>
  </si>
  <si>
    <t>Vice President Finance</t>
  </si>
  <si>
    <t>Emergent Trading</t>
  </si>
  <si>
    <t>Lynner</t>
  </si>
  <si>
    <t>Vice President-Institutional Trading</t>
  </si>
  <si>
    <t>Emrys Partners</t>
  </si>
  <si>
    <t>Encompass Capital</t>
  </si>
  <si>
    <t>Kassman</t>
  </si>
  <si>
    <t>Endeavour Capital</t>
  </si>
  <si>
    <t>Hofsess</t>
  </si>
  <si>
    <t>Endurant Capital</t>
  </si>
  <si>
    <t>COO/ CCO</t>
  </si>
  <si>
    <t>Engadine Partners</t>
  </si>
  <si>
    <t>Enyx</t>
  </si>
  <si>
    <t>Derasse</t>
  </si>
  <si>
    <t>Epic Partners</t>
  </si>
  <si>
    <t>Hidematsu</t>
  </si>
  <si>
    <t>EQUIFINANCIAL LLC</t>
  </si>
  <si>
    <t>David LeGrande</t>
  </si>
  <si>
    <t>President/CCO</t>
  </si>
  <si>
    <t>Equinox Securities</t>
  </si>
  <si>
    <t>Grossi</t>
  </si>
  <si>
    <t>Arison</t>
  </si>
  <si>
    <t>Schlossberg</t>
  </si>
  <si>
    <t>Eschaton Opportunities</t>
  </si>
  <si>
    <t>Shaoul</t>
  </si>
  <si>
    <t>ESP Technologies</t>
  </si>
  <si>
    <t>ESpeed</t>
  </si>
  <si>
    <t>Ivette</t>
  </si>
  <si>
    <t>Saltzman</t>
  </si>
  <si>
    <t>Esposito Securities</t>
  </si>
  <si>
    <t>Essence Global</t>
  </si>
  <si>
    <t>Estates Investment</t>
  </si>
  <si>
    <t>Eton Park</t>
  </si>
  <si>
    <t>COO Europe</t>
  </si>
  <si>
    <t>Minshull</t>
  </si>
  <si>
    <t>Eugene Investment</t>
  </si>
  <si>
    <t>Alex SooKoo</t>
  </si>
  <si>
    <t>Euroland Finance</t>
  </si>
  <si>
    <t>Fiorentino</t>
  </si>
  <si>
    <t>Euro Pacific</t>
  </si>
  <si>
    <t>Callicchio</t>
  </si>
  <si>
    <t>European Central</t>
  </si>
  <si>
    <t>Albert-Jan</t>
  </si>
  <si>
    <t>Huizing</t>
  </si>
  <si>
    <t>European Investment Bank</t>
  </si>
  <si>
    <t>Arsene</t>
  </si>
  <si>
    <t>Jakoby</t>
  </si>
  <si>
    <t>European Investors</t>
  </si>
  <si>
    <t>CCO &amp; COO</t>
  </si>
  <si>
    <t>EVA Capital</t>
  </si>
  <si>
    <t>Weiller</t>
  </si>
  <si>
    <t>Eventmonitor Inc</t>
  </si>
  <si>
    <t>Everbright Securities</t>
  </si>
  <si>
    <t>Everest Capital</t>
  </si>
  <si>
    <t>EverKey Global</t>
  </si>
  <si>
    <t>Heaney</t>
  </si>
  <si>
    <t>Evermore Global</t>
  </si>
  <si>
    <t>Difranco</t>
  </si>
  <si>
    <t>Evnine</t>
  </si>
  <si>
    <t>Chief Investment Officer and Director of Investments</t>
  </si>
  <si>
    <t>Evolution Capital</t>
  </si>
  <si>
    <t>Tehi</t>
  </si>
  <si>
    <t>Harrop</t>
  </si>
  <si>
    <t>Evolve Investment Holding</t>
  </si>
  <si>
    <t>Excel Investment</t>
  </si>
  <si>
    <t>Shirly</t>
  </si>
  <si>
    <t>Excellence Nessuah</t>
  </si>
  <si>
    <t>Benbaji</t>
  </si>
  <si>
    <t>Execution Limited</t>
  </si>
  <si>
    <t>COO - Compliance</t>
  </si>
  <si>
    <t>Finegold</t>
  </si>
  <si>
    <t>Executive Trading</t>
  </si>
  <si>
    <t>Senior Managing Partner &amp; Chief Technology Officer</t>
  </si>
  <si>
    <t>Papina</t>
  </si>
  <si>
    <t>Fasano</t>
  </si>
  <si>
    <t>Expersoft Systems</t>
  </si>
  <si>
    <t>Prapopoulos</t>
  </si>
  <si>
    <t>ExpoWorld</t>
  </si>
  <si>
    <t>Passalacqua</t>
  </si>
  <si>
    <t>Fairtree</t>
  </si>
  <si>
    <t>Van Rensburg</t>
  </si>
  <si>
    <t>Falcon Edge</t>
  </si>
  <si>
    <t>Masino</t>
  </si>
  <si>
    <t>Farringdon Capital</t>
  </si>
  <si>
    <t>van Wees</t>
  </si>
  <si>
    <t>FastMatch Inc</t>
  </si>
  <si>
    <t>Rysin</t>
  </si>
  <si>
    <t>Fat Squirrel</t>
  </si>
  <si>
    <t>Stuart J.</t>
  </si>
  <si>
    <t>Regional Vice President of Sales - Fidelity Labs</t>
  </si>
  <si>
    <t>FBR Investment</t>
  </si>
  <si>
    <t>Ellison</t>
  </si>
  <si>
    <t>FCG Fonder</t>
  </si>
  <si>
    <t>Saphiro</t>
  </si>
  <si>
    <t>Flugge</t>
  </si>
  <si>
    <t>Tornell</t>
  </si>
  <si>
    <t>Auth</t>
  </si>
  <si>
    <t>Ferguson Wellman</t>
  </si>
  <si>
    <t>Holwerda</t>
  </si>
  <si>
    <t>Ferretti Group</t>
  </si>
  <si>
    <t>CEO__CCO</t>
  </si>
  <si>
    <t>FEX Global</t>
  </si>
  <si>
    <t>FFG Frontier</t>
  </si>
  <si>
    <t>FICCIT Inc</t>
  </si>
  <si>
    <t>CEO co-founder</t>
  </si>
  <si>
    <t>Fidante Partners</t>
  </si>
  <si>
    <t>Munce</t>
  </si>
  <si>
    <t>Fidence Capital</t>
  </si>
  <si>
    <t>Yelnick</t>
  </si>
  <si>
    <t>Baughan</t>
  </si>
  <si>
    <t>Fidera Ltd</t>
  </si>
  <si>
    <t>Selin</t>
  </si>
  <si>
    <t>Fideuram Investimenti</t>
  </si>
  <si>
    <t>COO &amp; Head of Biz Dev</t>
  </si>
  <si>
    <t>Negro</t>
  </si>
  <si>
    <t>anderson</t>
  </si>
  <si>
    <t>Fifthdelta</t>
  </si>
  <si>
    <t>Fahmi</t>
  </si>
  <si>
    <t>Fifth Street</t>
  </si>
  <si>
    <t>ajit</t>
  </si>
  <si>
    <t>divaraniya</t>
  </si>
  <si>
    <t>FIMAX</t>
  </si>
  <si>
    <t>Finaltis</t>
  </si>
  <si>
    <t>Velasco</t>
  </si>
  <si>
    <t>Goirand</t>
  </si>
  <si>
    <t>CEO (Retired)</t>
  </si>
  <si>
    <t>Pierard</t>
  </si>
  <si>
    <t>Finansinvest</t>
  </si>
  <si>
    <t>Egemen</t>
  </si>
  <si>
    <t>Executive Vice President Finans Invest</t>
  </si>
  <si>
    <t>Erder</t>
  </si>
  <si>
    <t>ClearScale</t>
  </si>
  <si>
    <t>Songaila</t>
  </si>
  <si>
    <t>Finex LLP</t>
  </si>
  <si>
    <t>Gebhart</t>
  </si>
  <si>
    <t>Finisterre Capital</t>
  </si>
  <si>
    <t>acting COO</t>
  </si>
  <si>
    <t>Royston Thornton</t>
  </si>
  <si>
    <t>Uzma</t>
  </si>
  <si>
    <t>Business Analyst - Vice President</t>
  </si>
  <si>
    <t>FinnCap</t>
  </si>
  <si>
    <t>Finovesta GmbH</t>
  </si>
  <si>
    <t>Muentefering</t>
  </si>
  <si>
    <t>Prasanta</t>
  </si>
  <si>
    <t>Gearhart</t>
  </si>
  <si>
    <t>Fintech Group</t>
  </si>
  <si>
    <t>CIO, Managing Director</t>
  </si>
  <si>
    <t>FinTech Securities</t>
  </si>
  <si>
    <t>First Asset</t>
  </si>
  <si>
    <t>Akkawi</t>
  </si>
  <si>
    <t>First Clearing</t>
  </si>
  <si>
    <t>Lenore</t>
  </si>
  <si>
    <t>Kantor-Hendrick</t>
  </si>
  <si>
    <t>First Dallas</t>
  </si>
  <si>
    <t>First Markets</t>
  </si>
  <si>
    <t>Chief Procurement and Information Officer</t>
  </si>
  <si>
    <t>CIO-Global Elec. Broking</t>
  </si>
  <si>
    <t>FirstQuadrant</t>
  </si>
  <si>
    <t>Darnell</t>
  </si>
  <si>
    <t>Business Council of Canada</t>
  </si>
  <si>
    <t>Goldy</t>
  </si>
  <si>
    <t>Ketterer</t>
  </si>
  <si>
    <t>First Shanghai</t>
  </si>
  <si>
    <t>First State</t>
  </si>
  <si>
    <t>First Wilshire</t>
  </si>
  <si>
    <t>Santella</t>
  </si>
  <si>
    <t>Fitex Consulting</t>
  </si>
  <si>
    <t>Bouyssarie</t>
  </si>
  <si>
    <t>Fivestar Asset</t>
  </si>
  <si>
    <t>Naoto</t>
  </si>
  <si>
    <t>Shinohara</t>
  </si>
  <si>
    <t>Kunio</t>
  </si>
  <si>
    <t>Kataoka</t>
  </si>
  <si>
    <t>Taniuchi</t>
  </si>
  <si>
    <t>Five Star</t>
  </si>
  <si>
    <t>Nakashiba</t>
  </si>
  <si>
    <t>Fix8 Market</t>
  </si>
  <si>
    <t>Dight</t>
  </si>
  <si>
    <t>Vice President of Infrastructure</t>
  </si>
  <si>
    <t>CIO Scotiabank Global Asset Management</t>
  </si>
  <si>
    <t>President and Chief Executive Officer Mellon Capital Management</t>
  </si>
  <si>
    <t>Florint B</t>
  </si>
  <si>
    <t>eCademy Educational Systems Pvt Ltd</t>
  </si>
  <si>
    <t>Mir Mohammad</t>
  </si>
  <si>
    <t>Tarik</t>
  </si>
  <si>
    <t>FM Capital</t>
  </si>
  <si>
    <t>Belkin</t>
  </si>
  <si>
    <t>Focused Investors</t>
  </si>
  <si>
    <t>CIO - NO LONGER</t>
  </si>
  <si>
    <t>FOG Equities</t>
  </si>
  <si>
    <t>President/Chief Compliance Officer</t>
  </si>
  <si>
    <t>FolioDynamix</t>
  </si>
  <si>
    <t>Folio FN</t>
  </si>
  <si>
    <t>LeSatz</t>
  </si>
  <si>
    <t>Tacopino</t>
  </si>
  <si>
    <t>Forada Capital</t>
  </si>
  <si>
    <t>Force Hill</t>
  </si>
  <si>
    <t>Fore Advisors</t>
  </si>
  <si>
    <t>Agranoff</t>
  </si>
  <si>
    <t>Bak</t>
  </si>
  <si>
    <t>Forefront Capital</t>
  </si>
  <si>
    <t>Wasitowski</t>
  </si>
  <si>
    <t>COO - EMEA</t>
  </si>
  <si>
    <t>Vice President Electronic Execution Sales &amp; Relationship Management</t>
  </si>
  <si>
    <t>Noyce</t>
  </si>
  <si>
    <t>Vice President - Product Development</t>
  </si>
  <si>
    <t>Forte Securities</t>
  </si>
  <si>
    <t>Galante</t>
  </si>
  <si>
    <t>Munster-Simone</t>
  </si>
  <si>
    <t>Palmer II</t>
  </si>
  <si>
    <t>Derek R</t>
  </si>
  <si>
    <t>VIce President</t>
  </si>
  <si>
    <t>Querci</t>
  </si>
  <si>
    <t>Vice President and Counsel</t>
  </si>
  <si>
    <t>Foundry Partners</t>
  </si>
  <si>
    <t>Vanessa A.</t>
  </si>
  <si>
    <t>Sr. Executive Operations Manager, Office of the CEO</t>
  </si>
  <si>
    <t>Farino</t>
  </si>
  <si>
    <t>Four Seasons</t>
  </si>
  <si>
    <t>Shigeka</t>
  </si>
  <si>
    <t>CEO/CO-CIO</t>
  </si>
  <si>
    <t>Koda</t>
  </si>
  <si>
    <t>Fourthstone Investment</t>
  </si>
  <si>
    <t>Treloar</t>
  </si>
  <si>
    <t>Crwaford</t>
  </si>
  <si>
    <t>Vice President Diversified Financials Analyst</t>
  </si>
  <si>
    <t>Vice President - Futures &amp; Options</t>
  </si>
  <si>
    <t>Fox Point</t>
  </si>
  <si>
    <t>FQS Capital</t>
  </si>
  <si>
    <t>Fred Alger</t>
  </si>
  <si>
    <t>Senior Vice President Head of Information Systems</t>
  </si>
  <si>
    <t>Freestone Capital</t>
  </si>
  <si>
    <t>Managing Director CIO</t>
  </si>
  <si>
    <t>Brickler</t>
  </si>
  <si>
    <t>Frere Hall</t>
  </si>
  <si>
    <t>Dwan</t>
  </si>
  <si>
    <t>Freshford Capital</t>
  </si>
  <si>
    <t>Hough</t>
  </si>
  <si>
    <t>Friedland Gestion</t>
  </si>
  <si>
    <t>Henri-Paul</t>
  </si>
  <si>
    <t>Adad</t>
  </si>
  <si>
    <t>Digital</t>
  </si>
  <si>
    <t>NJ Academy of General Dentistry</t>
  </si>
  <si>
    <t>Frontline Technologies</t>
  </si>
  <si>
    <t>Hoss</t>
  </si>
  <si>
    <t>Astaraki</t>
  </si>
  <si>
    <t>FrontPoint Management</t>
  </si>
  <si>
    <t>Senior Vice President &amp; Risk Manager</t>
  </si>
  <si>
    <t>Bonora</t>
  </si>
  <si>
    <t>FTN Equity</t>
  </si>
  <si>
    <t>Juliette</t>
  </si>
  <si>
    <t>LeClerc</t>
  </si>
  <si>
    <t>Giglio</t>
  </si>
  <si>
    <t>Bischoff</t>
  </si>
  <si>
    <t>Fulcrum Asset</t>
  </si>
  <si>
    <t>Full Faith</t>
  </si>
  <si>
    <t>Sadao</t>
  </si>
  <si>
    <t>Fundamental Software</t>
  </si>
  <si>
    <t>Fundana SA</t>
  </si>
  <si>
    <t>COO CFO CCO</t>
  </si>
  <si>
    <t>Fund StudioObjecutive</t>
  </si>
  <si>
    <t>Costas</t>
  </si>
  <si>
    <t>Kellas</t>
  </si>
  <si>
    <t>Future Path</t>
  </si>
  <si>
    <t>Minor</t>
  </si>
  <si>
    <t>Carton</t>
  </si>
  <si>
    <t>Vice President and Manager of Transaction Processing Software Development</t>
  </si>
  <si>
    <t>FX Solutions</t>
  </si>
  <si>
    <t>Co-CEO?</t>
  </si>
  <si>
    <t>Cortright</t>
  </si>
  <si>
    <t>Ibbotson</t>
  </si>
  <si>
    <t>G2 Investment</t>
  </si>
  <si>
    <t>CFO Compliance</t>
  </si>
  <si>
    <t>G2 Trading</t>
  </si>
  <si>
    <t>Gadd Wealth</t>
  </si>
  <si>
    <t>Tiliouine</t>
  </si>
  <si>
    <t>GaitameCom CoLtd</t>
  </si>
  <si>
    <t>Kazuyoshi</t>
  </si>
  <si>
    <t>GAITAMEcom Co</t>
  </si>
  <si>
    <t>Gamma Three</t>
  </si>
  <si>
    <t>Drumma</t>
  </si>
  <si>
    <t>Managing Director, Equities Execution Client Relationship Management &amp; President of UBS MTF</t>
  </si>
  <si>
    <t>Garantum Fondkommission</t>
  </si>
  <si>
    <t>Pavlidis</t>
  </si>
  <si>
    <t>Hesky</t>
  </si>
  <si>
    <t>Haim</t>
  </si>
  <si>
    <t>Garda Capital Partners</t>
  </si>
  <si>
    <t>Severs</t>
  </si>
  <si>
    <t>Gardner Rich</t>
  </si>
  <si>
    <t>Gargoyle AM</t>
  </si>
  <si>
    <t>Goodgal</t>
  </si>
  <si>
    <t>Gar Wood</t>
  </si>
  <si>
    <t>Gantar</t>
  </si>
  <si>
    <t>Gaselys Paris</t>
  </si>
  <si>
    <t>Narozniak</t>
  </si>
  <si>
    <t>GBST</t>
  </si>
  <si>
    <t>Puttick</t>
  </si>
  <si>
    <t>Vice President, Prime Digital Solutions</t>
  </si>
  <si>
    <t>Salis</t>
  </si>
  <si>
    <t>G Capital</t>
  </si>
  <si>
    <t>Gunewardena</t>
  </si>
  <si>
    <t>GCM Grosvenor</t>
  </si>
  <si>
    <t>Ivaldo</t>
  </si>
  <si>
    <t>CFO Investment ops</t>
  </si>
  <si>
    <t>Burley</t>
  </si>
  <si>
    <t>Idehen</t>
  </si>
  <si>
    <t>Director, COO GCS (preferred desk)</t>
  </si>
  <si>
    <t>Binz</t>
  </si>
  <si>
    <t>GCore Capital</t>
  </si>
  <si>
    <t>GE Asset</t>
  </si>
  <si>
    <t>GEM Realty</t>
  </si>
  <si>
    <t>Caffarelli</t>
  </si>
  <si>
    <t>Gemsstock Ltd</t>
  </si>
  <si>
    <t>Deputy Chief Executive Officer</t>
  </si>
  <si>
    <t>Geneva Trading</t>
  </si>
  <si>
    <t>Robert S.</t>
  </si>
  <si>
    <t>Creamer</t>
  </si>
  <si>
    <t>CIO / CTO</t>
  </si>
  <si>
    <t>Darek</t>
  </si>
  <si>
    <t>Farhan</t>
  </si>
  <si>
    <t>Partner/CFO formerly of Mercury</t>
  </si>
  <si>
    <t>President of Global Banking and Markets</t>
  </si>
  <si>
    <t>Montag</t>
  </si>
  <si>
    <t>Georgian Stock</t>
  </si>
  <si>
    <t>Paresishvili</t>
  </si>
  <si>
    <t>Mirel</t>
  </si>
  <si>
    <t>GeoSphere Capital</t>
  </si>
  <si>
    <t>potter</t>
  </si>
  <si>
    <t>GeoWealth</t>
  </si>
  <si>
    <t>GHF Group</t>
  </si>
  <si>
    <t>Hochstein</t>
  </si>
  <si>
    <t>Ghost Tree</t>
  </si>
  <si>
    <t>COO/ CFO</t>
  </si>
  <si>
    <t>GIE La</t>
  </si>
  <si>
    <t>Directeur informatique/CIO</t>
  </si>
  <si>
    <t>ULMER</t>
  </si>
  <si>
    <t>Gilbert Dupont</t>
  </si>
  <si>
    <t>Faure</t>
  </si>
  <si>
    <t>Jose Francisco</t>
  </si>
  <si>
    <t>L R Matias - TICO.'.</t>
  </si>
  <si>
    <t>Gillson Capital</t>
  </si>
  <si>
    <t>Kalish</t>
  </si>
  <si>
    <t>Appleton</t>
  </si>
  <si>
    <t>Glade Brook</t>
  </si>
  <si>
    <t>Barron</t>
  </si>
  <si>
    <t>Gladstone Capital</t>
  </si>
  <si>
    <t>Von Daehne</t>
  </si>
  <si>
    <t>Gleacher</t>
  </si>
  <si>
    <t>Suarto</t>
  </si>
  <si>
    <t>Herd</t>
  </si>
  <si>
    <t>Westcott</t>
  </si>
  <si>
    <t>Hull</t>
  </si>
  <si>
    <t>Glenhill Capital</t>
  </si>
  <si>
    <t>Glenmede Trust</t>
  </si>
  <si>
    <t>Vice President of Trading</t>
  </si>
  <si>
    <t>Gisondi</t>
  </si>
  <si>
    <t>GLMX</t>
  </si>
  <si>
    <t>Global Beta</t>
  </si>
  <si>
    <t>CEO/Chief Compliance Officer</t>
  </si>
  <si>
    <t>Mandle</t>
  </si>
  <si>
    <t>Global Companies</t>
  </si>
  <si>
    <t>Global Equities</t>
  </si>
  <si>
    <t>de Charsonville</t>
  </si>
  <si>
    <t>Global Liquidity</t>
  </si>
  <si>
    <t>COO/Parnter</t>
  </si>
  <si>
    <t>Crumley</t>
  </si>
  <si>
    <t>Global Media</t>
  </si>
  <si>
    <t>Global Shares</t>
  </si>
  <si>
    <t>Bouhon</t>
  </si>
  <si>
    <t>Domingues</t>
  </si>
  <si>
    <t>Global Sigma</t>
  </si>
  <si>
    <t>Hanming</t>
  </si>
  <si>
    <t>GLS Capital</t>
  </si>
  <si>
    <t>GMT Capital</t>
  </si>
  <si>
    <t>Hammer</t>
  </si>
  <si>
    <t>GoldenTree Asset</t>
  </si>
  <si>
    <t>Otos Wealth</t>
  </si>
  <si>
    <t>Goodwood Capital</t>
  </si>
  <si>
    <t>Founder / President / Portfolio Manager</t>
  </si>
  <si>
    <t>Thibodeaux</t>
  </si>
  <si>
    <t>Gordian Capital</t>
  </si>
  <si>
    <t>Gordon Haskett</t>
  </si>
  <si>
    <t>Alfano</t>
  </si>
  <si>
    <t>GPS Partners</t>
  </si>
  <si>
    <t>Farron</t>
  </si>
  <si>
    <t>Zakuluk</t>
  </si>
  <si>
    <t>Gradient Trading</t>
  </si>
  <si>
    <t>MD/CEO</t>
  </si>
  <si>
    <t>Lerou</t>
  </si>
  <si>
    <t>Octavio</t>
  </si>
  <si>
    <t>Ideanomics</t>
  </si>
  <si>
    <t>President, Capital Markets</t>
  </si>
  <si>
    <t>Gratia Capital</t>
  </si>
  <si>
    <t>Graticule Asia</t>
  </si>
  <si>
    <t>Regional COO</t>
  </si>
  <si>
    <t>KATZ</t>
  </si>
  <si>
    <t>CIO Digital</t>
  </si>
  <si>
    <t>Azzam</t>
  </si>
  <si>
    <t>Great Lakes</t>
  </si>
  <si>
    <t>Great Point</t>
  </si>
  <si>
    <t>Panzier</t>
  </si>
  <si>
    <t>Greenhouse Funds</t>
  </si>
  <si>
    <t>Greenland Capital</t>
  </si>
  <si>
    <t>Greenleaf Trust</t>
  </si>
  <si>
    <t>Krings</t>
  </si>
  <si>
    <t>Greenlight Trading</t>
  </si>
  <si>
    <t>Lodge</t>
  </si>
  <si>
    <t>Greenmoor</t>
  </si>
  <si>
    <t>Fanny</t>
  </si>
  <si>
    <t>Greentrail Capital</t>
  </si>
  <si>
    <t>Vice President - US Execution Services</t>
  </si>
  <si>
    <t>Greenvale Capital</t>
  </si>
  <si>
    <t>GreenWave Financial</t>
  </si>
  <si>
    <t>Freed</t>
  </si>
  <si>
    <t>Gresham Investment</t>
  </si>
  <si>
    <t>Greyhound Capital</t>
  </si>
  <si>
    <t>Fielden</t>
  </si>
  <si>
    <t>Greywolf Equity</t>
  </si>
  <si>
    <t>Groupama Asset</t>
  </si>
  <si>
    <t>Le Lourd</t>
  </si>
  <si>
    <t>Growthline Capital</t>
  </si>
  <si>
    <t>Boeding</t>
  </si>
  <si>
    <t>Guinness Asset</t>
  </si>
  <si>
    <t>Robinette</t>
  </si>
  <si>
    <t>Guosen Securities</t>
  </si>
  <si>
    <t>Liting</t>
  </si>
  <si>
    <t>Xiong</t>
  </si>
  <si>
    <t>Guotai Junan</t>
  </si>
  <si>
    <t>Vice President Global Markets</t>
  </si>
  <si>
    <t>Leo E.</t>
  </si>
  <si>
    <t>GVQ Investment</t>
  </si>
  <si>
    <t>GW Capital</t>
  </si>
  <si>
    <t>H2 Capital</t>
  </si>
  <si>
    <t>Dunleavy</t>
  </si>
  <si>
    <t>HET Associes</t>
  </si>
  <si>
    <t>Owner &amp; CEO</t>
  </si>
  <si>
    <t>Hottinguer</t>
  </si>
  <si>
    <t>Perrine</t>
  </si>
  <si>
    <t>H2O AM</t>
  </si>
  <si>
    <t>Pianko</t>
  </si>
  <si>
    <t>Hadron Capital</t>
  </si>
  <si>
    <t>D'attanasio</t>
  </si>
  <si>
    <t>HakuCapital Global</t>
  </si>
  <si>
    <t>Studholme-Wilson</t>
  </si>
  <si>
    <t>Hale Capital</t>
  </si>
  <si>
    <t>Half Sky</t>
  </si>
  <si>
    <t>Katariina</t>
  </si>
  <si>
    <t>Hamburg Commercial</t>
  </si>
  <si>
    <t>Senior Vice President / Programm Manager Capital Markets and Central DWH</t>
  </si>
  <si>
    <t>HanaDaeToo Securities</t>
  </si>
  <si>
    <t>Ji Eun</t>
  </si>
  <si>
    <t>Hanover Investors</t>
  </si>
  <si>
    <t>Boscott</t>
  </si>
  <si>
    <t>Hanson Asset</t>
  </si>
  <si>
    <t>Hanwha Securities</t>
  </si>
  <si>
    <t>Tae Soon</t>
  </si>
  <si>
    <t>HAP Asia</t>
  </si>
  <si>
    <t>CEO APAC</t>
  </si>
  <si>
    <t>Roh</t>
  </si>
  <si>
    <t>Ofer</t>
  </si>
  <si>
    <t>HAP Trading</t>
  </si>
  <si>
    <t>Brophy</t>
  </si>
  <si>
    <t>Harding Loevner</t>
  </si>
  <si>
    <t>Bellish</t>
  </si>
  <si>
    <t>Hardman Johnston Global Advisors</t>
  </si>
  <si>
    <t>COO/ Head Trader</t>
  </si>
  <si>
    <t>Harmony Advisors</t>
  </si>
  <si>
    <t>Harrier Hawk</t>
  </si>
  <si>
    <t>Harvard Management</t>
  </si>
  <si>
    <t>VP CIO</t>
  </si>
  <si>
    <t>Harvest Capital</t>
  </si>
  <si>
    <t>Jolson</t>
  </si>
  <si>
    <t>Selvala</t>
  </si>
  <si>
    <t>Harvey Partners</t>
  </si>
  <si>
    <t>Cimini</t>
  </si>
  <si>
    <t>Harwood Capital</t>
  </si>
  <si>
    <t>Corton</t>
  </si>
  <si>
    <t>Strack</t>
  </si>
  <si>
    <t>Hawk Ridge</t>
  </si>
  <si>
    <t>COO / CFO &amp; CCO</t>
  </si>
  <si>
    <t>Hawksbill Capital</t>
  </si>
  <si>
    <t>Hayfin</t>
  </si>
  <si>
    <t>Tognolini</t>
  </si>
  <si>
    <t>Forex Capital</t>
  </si>
  <si>
    <t>Monico</t>
  </si>
  <si>
    <t>HBK Investments</t>
  </si>
  <si>
    <t>Headley Capital</t>
  </si>
  <si>
    <t>Fund Manager CEO</t>
  </si>
  <si>
    <t>Ornit</t>
  </si>
  <si>
    <t>Niv</t>
  </si>
  <si>
    <t>Healthcor Management</t>
  </si>
  <si>
    <t>Heartland Advisors</t>
  </si>
  <si>
    <t>Nasgovitz</t>
  </si>
  <si>
    <t>Hedgeguard</t>
  </si>
  <si>
    <t>CEO - Founder</t>
  </si>
  <si>
    <t>Warde</t>
  </si>
  <si>
    <t>Forexster</t>
  </si>
  <si>
    <t>Hehmeyer Trading</t>
  </si>
  <si>
    <t>CIO &amp; Head of Quantitative Strategies</t>
  </si>
  <si>
    <t>Kekstadt</t>
  </si>
  <si>
    <t>Helikon Investments</t>
  </si>
  <si>
    <t>Helvea SA</t>
  </si>
  <si>
    <t>Hengistbury Investment</t>
  </si>
  <si>
    <t>Callinan</t>
  </si>
  <si>
    <t>Hermes Investment</t>
  </si>
  <si>
    <t>Heronbridge Investment</t>
  </si>
  <si>
    <t>Hewes Fund</t>
  </si>
  <si>
    <t>HGK Asset</t>
  </si>
  <si>
    <t>Hauck</t>
  </si>
  <si>
    <t>HGNH International</t>
  </si>
  <si>
    <t>HHR Asset</t>
  </si>
  <si>
    <t>Violette</t>
  </si>
  <si>
    <t>Hibiki Path</t>
  </si>
  <si>
    <t>Highbridge Capital</t>
  </si>
  <si>
    <t>Shaulie</t>
  </si>
  <si>
    <t>Halbertsam</t>
  </si>
  <si>
    <t>Koltunov</t>
  </si>
  <si>
    <t>Head of Software/Senior Vice President</t>
  </si>
  <si>
    <t>Tolson</t>
  </si>
  <si>
    <t>Highclere International</t>
  </si>
  <si>
    <t>Lockey</t>
  </si>
  <si>
    <t>Higher Park</t>
  </si>
  <si>
    <t>Downton</t>
  </si>
  <si>
    <t>High Ground</t>
  </si>
  <si>
    <t>Highland Capital</t>
  </si>
  <si>
    <t>Wishnia</t>
  </si>
  <si>
    <t>Highline Capital</t>
  </si>
  <si>
    <t>Doft</t>
  </si>
  <si>
    <t>Highmark Capital</t>
  </si>
  <si>
    <t>Goerz</t>
  </si>
  <si>
    <t>Highside Global</t>
  </si>
  <si>
    <t>High West</t>
  </si>
  <si>
    <t>Hilton Capital</t>
  </si>
  <si>
    <t>Takamichi</t>
  </si>
  <si>
    <t>Takemura</t>
  </si>
  <si>
    <t>Hitoe Asset</t>
  </si>
  <si>
    <t>Hobart Capital</t>
  </si>
  <si>
    <t>Worton</t>
  </si>
  <si>
    <t>Hold Brothers</t>
  </si>
  <si>
    <t>CIO/ CTO</t>
  </si>
  <si>
    <t>Alfaro</t>
  </si>
  <si>
    <t>Hold</t>
  </si>
  <si>
    <t>Quantbot</t>
  </si>
  <si>
    <t>Intellect.eu</t>
  </si>
  <si>
    <t>Avau</t>
  </si>
  <si>
    <t>HOOPP Investment</t>
  </si>
  <si>
    <t>Hoplite Capital</t>
  </si>
  <si>
    <t>Jonathan D.</t>
  </si>
  <si>
    <t>Joella M.</t>
  </si>
  <si>
    <t>Lykouretzos</t>
  </si>
  <si>
    <t>Horae Technology</t>
  </si>
  <si>
    <t>CEO &amp; Fund manager</t>
  </si>
  <si>
    <t>Geronimi</t>
  </si>
  <si>
    <t>Horatius Capital</t>
  </si>
  <si>
    <t>Horton Point</t>
  </si>
  <si>
    <t>Sogoloff</t>
  </si>
  <si>
    <t>Hosking</t>
  </si>
  <si>
    <t>Hotwire</t>
  </si>
  <si>
    <t>Luiz Sacomori</t>
  </si>
  <si>
    <t>Hound Partners</t>
  </si>
  <si>
    <t>HQ Direct</t>
  </si>
  <si>
    <t>Karl Otto</t>
  </si>
  <si>
    <t>Eidem</t>
  </si>
  <si>
    <t>HTX</t>
  </si>
  <si>
    <t>Hub 24</t>
  </si>
  <si>
    <t>Lawrenson</t>
  </si>
  <si>
    <t>Huber Capital</t>
  </si>
  <si>
    <t>Principal COO</t>
  </si>
  <si>
    <t>Hudson Bay Capital</t>
  </si>
  <si>
    <t>Winkler</t>
  </si>
  <si>
    <t>Sander</t>
  </si>
  <si>
    <t>President &amp; Founder</t>
  </si>
  <si>
    <t>Croy</t>
  </si>
  <si>
    <t>Mackelfresh</t>
  </si>
  <si>
    <t>Hundsun Technologies</t>
  </si>
  <si>
    <t>Hanglin</t>
  </si>
  <si>
    <t>Hunter Capital</t>
  </si>
  <si>
    <t>Brodman</t>
  </si>
  <si>
    <t>Hunter Global</t>
  </si>
  <si>
    <t>Hunter Peak</t>
  </si>
  <si>
    <t>Karsch</t>
  </si>
  <si>
    <t>Hwabao WP</t>
  </si>
  <si>
    <t>Principal Chief Executive Officer - Global Head of Trading</t>
  </si>
  <si>
    <t>Reitzfeld</t>
  </si>
  <si>
    <t>Deputy CIO</t>
  </si>
  <si>
    <t>Gondard</t>
  </si>
  <si>
    <t>IA Englander</t>
  </si>
  <si>
    <t>Izzy</t>
  </si>
  <si>
    <t>President/ Head Trader</t>
  </si>
  <si>
    <t>IAccess Investors</t>
  </si>
  <si>
    <t>IBERIA Capital</t>
  </si>
  <si>
    <t>IBEX Investors</t>
  </si>
  <si>
    <t>ICMA Retirement</t>
  </si>
  <si>
    <t>Guarasci</t>
  </si>
  <si>
    <t>Dizon</t>
  </si>
  <si>
    <t>Ictus Capital</t>
  </si>
  <si>
    <t>Berg-Nielsen</t>
  </si>
  <si>
    <t>Idalion Capital</t>
  </si>
  <si>
    <t>MIAX Exchange Group</t>
  </si>
  <si>
    <t>Chief Technology Officer/SVP Trading Systems Development, Network Architecture and System Operations</t>
  </si>
  <si>
    <t>Rotella</t>
  </si>
  <si>
    <t>IDFCSSKI Securities</t>
  </si>
  <si>
    <t>Vice President -Finance</t>
  </si>
  <si>
    <t>Ievers Consulting</t>
  </si>
  <si>
    <t>IFS Securities</t>
  </si>
  <si>
    <t>Wyche</t>
  </si>
  <si>
    <t>Ignis Asset</t>
  </si>
  <si>
    <t>Ikarian Capital</t>
  </si>
  <si>
    <t>Immersion Capital</t>
  </si>
  <si>
    <t>McGarry</t>
  </si>
  <si>
    <t>Kandunius</t>
  </si>
  <si>
    <t>Impactive Capital</t>
  </si>
  <si>
    <t>Impax Asset</t>
  </si>
  <si>
    <t>Martis</t>
  </si>
  <si>
    <t>InceptFinancial Limited</t>
  </si>
  <si>
    <t>Inception Asia</t>
  </si>
  <si>
    <t>Incline Global</t>
  </si>
  <si>
    <t>Zucaro</t>
  </si>
  <si>
    <t>Vice President of FUND ADMIN-ADMIN</t>
  </si>
  <si>
    <t>Indata</t>
  </si>
  <si>
    <t>Forward Insight</t>
  </si>
  <si>
    <t>CFO Gordon Haskett</t>
  </si>
  <si>
    <t>CEO and Founder</t>
  </si>
  <si>
    <t>Fremenius</t>
  </si>
  <si>
    <t>Houlding</t>
  </si>
  <si>
    <t>Debotte</t>
  </si>
  <si>
    <t>IndexIQ</t>
  </si>
  <si>
    <t>Indus Capital</t>
  </si>
  <si>
    <t>Infin</t>
  </si>
  <si>
    <t>CEO / founder</t>
  </si>
  <si>
    <t>Allaume</t>
  </si>
  <si>
    <t>Infinity Capital</t>
  </si>
  <si>
    <t>Director / COO</t>
  </si>
  <si>
    <t>Beaney</t>
  </si>
  <si>
    <t>InfoReach</t>
  </si>
  <si>
    <t>Chief Technology Officer Founder</t>
  </si>
  <si>
    <t>Shatsky</t>
  </si>
  <si>
    <t>Zaydlin</t>
  </si>
  <si>
    <t>Inforesight Investment</t>
  </si>
  <si>
    <t>Info Yatirim</t>
  </si>
  <si>
    <t>Ender</t>
  </si>
  <si>
    <t>CEO Sweden &amp; Sales Manager - Sweden Finland &amp; Baltic's</t>
  </si>
  <si>
    <t>Inherent Group</t>
  </si>
  <si>
    <t>Innovest Systems</t>
  </si>
  <si>
    <t>Institutional Liquidity</t>
  </si>
  <si>
    <t>Abarbanel</t>
  </si>
  <si>
    <t>Kahori</t>
  </si>
  <si>
    <t>Managing Director/CO-CIO</t>
  </si>
  <si>
    <t>Xianhan</t>
  </si>
  <si>
    <t>Vice President Risk</t>
  </si>
  <si>
    <t>Intelligencia Tecnologias</t>
  </si>
  <si>
    <t>Brasil Correa</t>
  </si>
  <si>
    <t>Interacciones</t>
  </si>
  <si>
    <t>Gardunio</t>
  </si>
  <si>
    <t>Interbank FX</t>
  </si>
  <si>
    <t>Crosland</t>
  </si>
  <si>
    <t>Plant</t>
  </si>
  <si>
    <t>InterDealer Information</t>
  </si>
  <si>
    <t>Interlachen Capital</t>
  </si>
  <si>
    <t>Fraley</t>
  </si>
  <si>
    <t>International Correspondent</t>
  </si>
  <si>
    <t>Ilana</t>
  </si>
  <si>
    <t>Vice President - CFO</t>
  </si>
  <si>
    <t>Benmayor</t>
  </si>
  <si>
    <t>international Securities</t>
  </si>
  <si>
    <t>Hoenen</t>
  </si>
  <si>
    <t>Krell</t>
  </si>
  <si>
    <t>Intertrade Co</t>
  </si>
  <si>
    <t>Kumon</t>
  </si>
  <si>
    <t>Interval Partners</t>
  </si>
  <si>
    <t>FoxDavies Capital</t>
  </si>
  <si>
    <t>Intrinsic Edge</t>
  </si>
  <si>
    <t>Kaura</t>
  </si>
  <si>
    <t>X COO</t>
  </si>
  <si>
    <t>Yaffe</t>
  </si>
  <si>
    <t>Invast</t>
  </si>
  <si>
    <t>Inverdale Capital</t>
  </si>
  <si>
    <t>Investment Bank Jordan</t>
  </si>
  <si>
    <t>12</t>
  </si>
  <si>
    <t>11</t>
  </si>
  <si>
    <t>Ambroise</t>
  </si>
  <si>
    <t>Artemenko</t>
  </si>
  <si>
    <t>IPM</t>
  </si>
  <si>
    <t>Birkmanis</t>
  </si>
  <si>
    <t>Iridian Asset</t>
  </si>
  <si>
    <t>Lalomia</t>
  </si>
  <si>
    <t>IronBirch Capital</t>
  </si>
  <si>
    <t>Duxfield</t>
  </si>
  <si>
    <t>Ironfly Technologies</t>
  </si>
  <si>
    <t>CEO Founder</t>
  </si>
  <si>
    <t>Ironwood Capital</t>
  </si>
  <si>
    <t>Ishana Capital</t>
  </si>
  <si>
    <t>Wittet</t>
  </si>
  <si>
    <t>Iskandia</t>
  </si>
  <si>
    <t>Islandbanki formerly</t>
  </si>
  <si>
    <t>Chief Executive Officer CEO brokerage</t>
  </si>
  <si>
    <t>Armannsson</t>
  </si>
  <si>
    <t>Isomer Partners</t>
  </si>
  <si>
    <t>Partner and CFO</t>
  </si>
  <si>
    <t>ISP Group</t>
  </si>
  <si>
    <t>Eckenberg</t>
  </si>
  <si>
    <t>itBit Exchange</t>
  </si>
  <si>
    <t>Assistant Vice President - ISD Primary, Sales, Revenue &amp; Equity</t>
  </si>
  <si>
    <t>Deadman</t>
  </si>
  <si>
    <t>Romanov</t>
  </si>
  <si>
    <t>Orchard</t>
  </si>
  <si>
    <t>Fransson</t>
  </si>
  <si>
    <t>eric</t>
  </si>
  <si>
    <t>MD- CIO equities</t>
  </si>
  <si>
    <t>Jabre Capital</t>
  </si>
  <si>
    <t>Mona</t>
  </si>
  <si>
    <t>Jackson Securities</t>
  </si>
  <si>
    <t>Eastburn</t>
  </si>
  <si>
    <t>Jasper Asset</t>
  </si>
  <si>
    <t>Yiping</t>
  </si>
  <si>
    <t>Javelin Capital</t>
  </si>
  <si>
    <t>JB Capital</t>
  </si>
  <si>
    <t>Managing Director CFO &amp; COO</t>
  </si>
  <si>
    <t>JB Drax</t>
  </si>
  <si>
    <t>JDS Asset</t>
  </si>
  <si>
    <t>Samberg</t>
  </si>
  <si>
    <t>Diretor de TI - CIO</t>
  </si>
  <si>
    <t>Jericho Capital</t>
  </si>
  <si>
    <t>O'Hanlon</t>
  </si>
  <si>
    <t>JF Asset</t>
  </si>
  <si>
    <t>Eiffel</t>
  </si>
  <si>
    <t>vice President Applications Developer Lead</t>
  </si>
  <si>
    <t>JFX</t>
  </si>
  <si>
    <t>Charles Henry</t>
  </si>
  <si>
    <t>Sabet</t>
  </si>
  <si>
    <t>JHL Capital</t>
  </si>
  <si>
    <t>Leavitt</t>
  </si>
  <si>
    <t>JM Financial</t>
  </si>
  <si>
    <t>Vice President - Equity Sales Trading</t>
  </si>
  <si>
    <t>Gala</t>
  </si>
  <si>
    <t>JMP Securities</t>
  </si>
  <si>
    <t>CEO Chairman</t>
  </si>
  <si>
    <t>Managing Director Vice Chairman</t>
  </si>
  <si>
    <t>Miklosi</t>
  </si>
  <si>
    <t>John Lothian</t>
  </si>
  <si>
    <t>Matte</t>
  </si>
  <si>
    <t>John Street</t>
  </si>
  <si>
    <t>Flylance</t>
  </si>
  <si>
    <t>JSC Investment</t>
  </si>
  <si>
    <t>CIO - Head of IT</t>
  </si>
  <si>
    <t>Khlavna</t>
  </si>
  <si>
    <t>JSE</t>
  </si>
  <si>
    <t>Stuart S.</t>
  </si>
  <si>
    <t>Vice President / NASDAQ Trading</t>
  </si>
  <si>
    <t>Van Wamelen</t>
  </si>
  <si>
    <t>Vice President - Alternatives</t>
  </si>
  <si>
    <t>JT Capital</t>
  </si>
  <si>
    <t>Juleon Asset</t>
  </si>
  <si>
    <t>Christianakis</t>
  </si>
  <si>
    <t>Jump Infomatique</t>
  </si>
  <si>
    <t>Fougeras</t>
  </si>
  <si>
    <t>Junto Capital</t>
  </si>
  <si>
    <t>sedia</t>
  </si>
  <si>
    <t>Just2Trade</t>
  </si>
  <si>
    <t>Huck</t>
  </si>
  <si>
    <t>Lugene</t>
  </si>
  <si>
    <t>Just Invest</t>
  </si>
  <si>
    <t>Vijay Rao CFA FRM Founder &amp; Chief Investment Officer</t>
  </si>
  <si>
    <t>K2Q Capital</t>
  </si>
  <si>
    <t>Kabouter Management</t>
  </si>
  <si>
    <t>Kadensa Capital</t>
  </si>
  <si>
    <t>Kaifeng Investment</t>
  </si>
  <si>
    <t>Kailix Investment</t>
  </si>
  <si>
    <t>Kamani Tree</t>
  </si>
  <si>
    <t>Kansas City</t>
  </si>
  <si>
    <t>Chairman of the Board/Wheat Trader</t>
  </si>
  <si>
    <t>Karsch Capital</t>
  </si>
  <si>
    <t>Larre</t>
  </si>
  <si>
    <t>Hester</t>
  </si>
  <si>
    <t>Katana Financial</t>
  </si>
  <si>
    <t>Kaufman Bros</t>
  </si>
  <si>
    <t>Bingham</t>
  </si>
  <si>
    <t>Kavi Asset</t>
  </si>
  <si>
    <t>Kayak Investment</t>
  </si>
  <si>
    <t>KBD Capital</t>
  </si>
  <si>
    <t>Robert W.</t>
  </si>
  <si>
    <t>KCCI Ltd</t>
  </si>
  <si>
    <t>KCG</t>
  </si>
  <si>
    <t>CEO &amp; Head of Execution Services</t>
  </si>
  <si>
    <t>CEO EU</t>
  </si>
  <si>
    <t>Bhaduri</t>
  </si>
  <si>
    <t>Jersey Smoke Shop</t>
  </si>
  <si>
    <t>Vice President Research and Development</t>
  </si>
  <si>
    <t>Genito</t>
  </si>
  <si>
    <t>Keel Capital</t>
  </si>
  <si>
    <t>CRO/CFO</t>
  </si>
  <si>
    <t>Kelaroo</t>
  </si>
  <si>
    <t>Reum</t>
  </si>
  <si>
    <t>Kellogg Partners</t>
  </si>
  <si>
    <t>CIO - Head of Algorithmic Trading</t>
  </si>
  <si>
    <t>Brauweiler</t>
  </si>
  <si>
    <t>Kennedy Capital</t>
  </si>
  <si>
    <t>Kensico Capital</t>
  </si>
  <si>
    <t>Gino</t>
  </si>
  <si>
    <t>Labruzzo</t>
  </si>
  <si>
    <t>Kenway Global</t>
  </si>
  <si>
    <t>Zhuk</t>
  </si>
  <si>
    <t>CEO Partner</t>
  </si>
  <si>
    <t>Carhart</t>
  </si>
  <si>
    <t>Keshik Capital</t>
  </si>
  <si>
    <t>Ketchum Trading</t>
  </si>
  <si>
    <t>Kevin Bay</t>
  </si>
  <si>
    <t>Jan Brian</t>
  </si>
  <si>
    <t>CCO / COO / CFO</t>
  </si>
  <si>
    <t>Key Group</t>
  </si>
  <si>
    <t>Marsdale</t>
  </si>
  <si>
    <t>Keyrock Capital</t>
  </si>
  <si>
    <t>Key Square</t>
  </si>
  <si>
    <t>KGI</t>
  </si>
  <si>
    <t>Vice President (IT)</t>
  </si>
  <si>
    <t>Senior Vice President Information Technology</t>
  </si>
  <si>
    <t>Assistant Vice President Corporate Services</t>
  </si>
  <si>
    <t>Senior Vice President Investment Services</t>
  </si>
  <si>
    <t>Senior Vice President Financial Market Services</t>
  </si>
  <si>
    <t>Senior Vice President Global Futures &amp; FX</t>
  </si>
  <si>
    <t>Chuen Kiat</t>
  </si>
  <si>
    <t>Global Futures &amp; FX Business Development - Global Derivatives Sales Vice President</t>
  </si>
  <si>
    <t>TAN</t>
  </si>
  <si>
    <t>Kildonan Castle</t>
  </si>
  <si>
    <t>Gille</t>
  </si>
  <si>
    <t>Kingdon Capital</t>
  </si>
  <si>
    <t>Kings Court</t>
  </si>
  <si>
    <t>Angeline</t>
  </si>
  <si>
    <t>Lorencin</t>
  </si>
  <si>
    <t>Kinney Asset</t>
  </si>
  <si>
    <t>Kintbury Capital</t>
  </si>
  <si>
    <t>Kirkoswald Capital</t>
  </si>
  <si>
    <t>KIWOOM Securities</t>
  </si>
  <si>
    <t>Dowan</t>
  </si>
  <si>
    <t>KLI Asset</t>
  </si>
  <si>
    <t>KLR Group</t>
  </si>
  <si>
    <t>COO - Partner</t>
  </si>
  <si>
    <t>Pavlatos</t>
  </si>
  <si>
    <t>KNG Securities</t>
  </si>
  <si>
    <t>Simioni</t>
  </si>
  <si>
    <t>Knightsbridge Asset</t>
  </si>
  <si>
    <t>KohlbergKravisRobertsCo</t>
  </si>
  <si>
    <t>CEO- Asset Mangement</t>
  </si>
  <si>
    <t>Sonneborn</t>
  </si>
  <si>
    <t>Brandman</t>
  </si>
  <si>
    <t>Kokino LLC</t>
  </si>
  <si>
    <t>kline</t>
  </si>
  <si>
    <t>Korenvaes Capital</t>
  </si>
  <si>
    <t>Koscom Corporation</t>
  </si>
  <si>
    <t>Joo Ha</t>
  </si>
  <si>
    <t>Kosmos Asset</t>
  </si>
  <si>
    <t>Kula Investments</t>
  </si>
  <si>
    <t>Founder /CIO</t>
  </si>
  <si>
    <t>jonathan</t>
  </si>
  <si>
    <t>Kuvari Partners</t>
  </si>
  <si>
    <t>Padraig</t>
  </si>
  <si>
    <t>Kuvera Capital</t>
  </si>
  <si>
    <t>Hudkins Caceres</t>
  </si>
  <si>
    <t>Kuwait Investment</t>
  </si>
  <si>
    <t>Kylin Management</t>
  </si>
  <si>
    <t>L2S Capital</t>
  </si>
  <si>
    <t>Breton</t>
  </si>
  <si>
    <t>La Banque</t>
  </si>
  <si>
    <t>LaBranche</t>
  </si>
  <si>
    <t>Igor Rafael</t>
  </si>
  <si>
    <t>Sincos, MD, PhD, MBA</t>
  </si>
  <si>
    <t>1st Vice President</t>
  </si>
  <si>
    <t>Lagoda Investment</t>
  </si>
  <si>
    <t>LAKE FOREST</t>
  </si>
  <si>
    <t>Lake Street</t>
  </si>
  <si>
    <t>Cullum</t>
  </si>
  <si>
    <t>Sand</t>
  </si>
  <si>
    <t>Lake Trail</t>
  </si>
  <si>
    <t>Lakeview Capital</t>
  </si>
  <si>
    <t>Van Kleef</t>
  </si>
  <si>
    <t>Hallgren</t>
  </si>
  <si>
    <t>Lampost Capital</t>
  </si>
  <si>
    <t>Micahael</t>
  </si>
  <si>
    <t>Lancaster Investment</t>
  </si>
  <si>
    <t>Land &amp; Buildings Investment Management</t>
  </si>
  <si>
    <t>CFO/  COO</t>
  </si>
  <si>
    <t>Katchur</t>
  </si>
  <si>
    <t>Lannebo Fonder</t>
  </si>
  <si>
    <t>Lansdowne Partners</t>
  </si>
  <si>
    <t>Ruddock</t>
  </si>
  <si>
    <t>Lapides Asset</t>
  </si>
  <si>
    <t>Larch Lane</t>
  </si>
  <si>
    <t>Jurish</t>
  </si>
  <si>
    <t>Latitude Capital</t>
  </si>
  <si>
    <t>Bouilly</t>
  </si>
  <si>
    <t>Latitude Investment</t>
  </si>
  <si>
    <t>Ryecart</t>
  </si>
  <si>
    <t>Laurium Capital</t>
  </si>
  <si>
    <t>Lava Trading</t>
  </si>
  <si>
    <t>Vice President Head of Sponsorship Broker</t>
  </si>
  <si>
    <t>Capital Markets COO</t>
  </si>
  <si>
    <t>Sunrahmanyam</t>
  </si>
  <si>
    <t>Kamram</t>
  </si>
  <si>
    <t>Rafieyan</t>
  </si>
  <si>
    <t>Korhammer</t>
  </si>
  <si>
    <t>LBMZ Securities</t>
  </si>
  <si>
    <t>Zacks</t>
  </si>
  <si>
    <t>LDA Technologies</t>
  </si>
  <si>
    <t>Sardaryan</t>
  </si>
  <si>
    <t>Le Conservateur</t>
  </si>
  <si>
    <t>Geoffroy</t>
  </si>
  <si>
    <t>Carteron</t>
  </si>
  <si>
    <t>Lee Capital</t>
  </si>
  <si>
    <t>Coslick</t>
  </si>
  <si>
    <t>CloudQuant Alternative Data</t>
  </si>
  <si>
    <t>Legend Securities, Inc.</t>
  </si>
  <si>
    <t>Gelman</t>
  </si>
  <si>
    <t>LEK Securities</t>
  </si>
  <si>
    <t>James F.</t>
  </si>
  <si>
    <t>Vice President Institutional Sales &amp; Trading</t>
  </si>
  <si>
    <t>Nardi</t>
  </si>
  <si>
    <t>Lek</t>
  </si>
  <si>
    <t>Hanuka</t>
  </si>
  <si>
    <t>Lemarc agromond</t>
  </si>
  <si>
    <t>Leste Investment</t>
  </si>
  <si>
    <t>Leuthold Weeden</t>
  </si>
  <si>
    <t>Leuthold</t>
  </si>
  <si>
    <t>Level ATS</t>
  </si>
  <si>
    <t>Level E</t>
  </si>
  <si>
    <t>Schulenburg</t>
  </si>
  <si>
    <t>Level Global</t>
  </si>
  <si>
    <t>Ganek</t>
  </si>
  <si>
    <t>Levin Capital</t>
  </si>
  <si>
    <t>Liberum Capital</t>
  </si>
  <si>
    <t>Scawthorn</t>
  </si>
  <si>
    <t>Libra Advisors</t>
  </si>
  <si>
    <t>Matschke</t>
  </si>
  <si>
    <t>Lightspeed Holdings</t>
  </si>
  <si>
    <t>Light Street</t>
  </si>
  <si>
    <t>LIM Advisors</t>
  </si>
  <si>
    <t>Lindsell Train</t>
  </si>
  <si>
    <t>CFO &amp; Head of Operations</t>
  </si>
  <si>
    <t>Nat</t>
  </si>
  <si>
    <t>LinkedTrade</t>
  </si>
  <si>
    <t>Lioness Capital</t>
  </si>
  <si>
    <t>Asli</t>
  </si>
  <si>
    <t>Liquid Capital</t>
  </si>
  <si>
    <t>LiquidityEdge</t>
  </si>
  <si>
    <t>LiquidityHub</t>
  </si>
  <si>
    <t>LIQUIDSHARE</t>
  </si>
  <si>
    <t>de Maintenant</t>
  </si>
  <si>
    <t>Lizard Investors</t>
  </si>
  <si>
    <t>Weeresinghe</t>
  </si>
  <si>
    <t>Lone Pine</t>
  </si>
  <si>
    <t>Kwalwasser</t>
  </si>
  <si>
    <t>Longbow Capital</t>
  </si>
  <si>
    <t>Wank</t>
  </si>
  <si>
    <t>Long Corridor</t>
  </si>
  <si>
    <t>LongTail Alpha</t>
  </si>
  <si>
    <t>Vineer</t>
  </si>
  <si>
    <t>Bhansali</t>
  </si>
  <si>
    <t>LongTerm Stock</t>
  </si>
  <si>
    <t>Perkov</t>
  </si>
  <si>
    <t>Loomis Sayles</t>
  </si>
  <si>
    <t>McGrail</t>
  </si>
  <si>
    <t>Radziemski</t>
  </si>
  <si>
    <t>Bev</t>
  </si>
  <si>
    <t>CEO - US Operation</t>
  </si>
  <si>
    <t>Lotus Capital</t>
  </si>
  <si>
    <t>Bridel</t>
  </si>
  <si>
    <t>Lacaze</t>
  </si>
  <si>
    <t>PATRICE</t>
  </si>
  <si>
    <t>Lande</t>
  </si>
  <si>
    <t>LRL Investment</t>
  </si>
  <si>
    <t>Corneliu-Cristian</t>
  </si>
  <si>
    <t>Mihalcea</t>
  </si>
  <si>
    <t>LT Securities</t>
  </si>
  <si>
    <t>Lucerne Capital</t>
  </si>
  <si>
    <t>EJ (Ernest J.)</t>
  </si>
  <si>
    <t>Vericco</t>
  </si>
  <si>
    <t>Luminus Management</t>
  </si>
  <si>
    <t>Lunia Capital</t>
  </si>
  <si>
    <t>Yatrick</t>
  </si>
  <si>
    <t>Munshi</t>
  </si>
  <si>
    <t>Luther King</t>
  </si>
  <si>
    <t>Lavish</t>
  </si>
  <si>
    <t>Luulen</t>
  </si>
  <si>
    <t>Sence</t>
  </si>
  <si>
    <t>Langer</t>
  </si>
  <si>
    <t>Lynrock Lake</t>
  </si>
  <si>
    <t>Lyrical Asset</t>
  </si>
  <si>
    <t>MR Beal</t>
  </si>
  <si>
    <t>M28 Capital</t>
  </si>
  <si>
    <t>MACD AG</t>
  </si>
  <si>
    <t>Macro Risk</t>
  </si>
  <si>
    <t>Kurnett</t>
  </si>
  <si>
    <t>macrosynergy partners</t>
  </si>
  <si>
    <t>Claxton</t>
  </si>
  <si>
    <t>Colon</t>
  </si>
  <si>
    <t>Rose Park Advisors</t>
  </si>
  <si>
    <t>Bohannon</t>
  </si>
  <si>
    <t>Madison Williams</t>
  </si>
  <si>
    <t>Rouse</t>
  </si>
  <si>
    <t>Hutchins</t>
  </si>
  <si>
    <t>Hatim</t>
  </si>
  <si>
    <t>Magnetar Capital</t>
  </si>
  <si>
    <t>Maitland Fund</t>
  </si>
  <si>
    <t>De Graff</t>
  </si>
  <si>
    <t>Majedie Asset</t>
  </si>
  <si>
    <t>Hazlitt</t>
  </si>
  <si>
    <t>MAKO</t>
  </si>
  <si>
    <t>Trystan</t>
  </si>
  <si>
    <t>Morgan Scheur</t>
  </si>
  <si>
    <t>Heaton-Armstrong</t>
  </si>
  <si>
    <t>Makor Securities</t>
  </si>
  <si>
    <t>Itzik</t>
  </si>
  <si>
    <t>Charbit</t>
  </si>
  <si>
    <t>Halimi</t>
  </si>
  <si>
    <t>Makuria Asset</t>
  </si>
  <si>
    <t>Malleus Capital</t>
  </si>
  <si>
    <t>Maltese Capital</t>
  </si>
  <si>
    <t>Manchester Global</t>
  </si>
  <si>
    <t>Besser</t>
  </si>
  <si>
    <t>Mandara Capital</t>
  </si>
  <si>
    <t>Mangart Capital</t>
  </si>
  <si>
    <t>Bounous</t>
  </si>
  <si>
    <t>Pincus</t>
  </si>
  <si>
    <t>Mangold Fondkommission</t>
  </si>
  <si>
    <t>Per-Anders</t>
  </si>
  <si>
    <t>Bexelius</t>
  </si>
  <si>
    <t>Mangrove Partners</t>
  </si>
  <si>
    <t>CEO &amp; MD</t>
  </si>
  <si>
    <t>Finemore</t>
  </si>
  <si>
    <t>Regional Vice President Equity Trading</t>
  </si>
  <si>
    <t>McDuffy</t>
  </si>
  <si>
    <t>Manning Napier</t>
  </si>
  <si>
    <t>Urlaub</t>
  </si>
  <si>
    <t>Mikolaichik</t>
  </si>
  <si>
    <t>Sale</t>
  </si>
  <si>
    <t>Najam</t>
  </si>
  <si>
    <t>Maplelane Capital</t>
  </si>
  <si>
    <t>Maple Securities</t>
  </si>
  <si>
    <t>Executive Vice President - Global Markets</t>
  </si>
  <si>
    <t>Finlayson</t>
  </si>
  <si>
    <t>CIO &amp; Head of operations</t>
  </si>
  <si>
    <t>Maradia Futures</t>
  </si>
  <si>
    <t>Rivero</t>
  </si>
  <si>
    <t>Marathon Asset</t>
  </si>
  <si>
    <t>Grinacoff</t>
  </si>
  <si>
    <t>Marble Arch</t>
  </si>
  <si>
    <t>Angelowicz</t>
  </si>
  <si>
    <t>Marble Bar</t>
  </si>
  <si>
    <t>Hornzee</t>
  </si>
  <si>
    <t>Marcho Partners</t>
  </si>
  <si>
    <t>Simkin</t>
  </si>
  <si>
    <t>Marcuard Family</t>
  </si>
  <si>
    <t>Minder</t>
  </si>
  <si>
    <t>Margate Capital</t>
  </si>
  <si>
    <t>Mariner Investment</t>
  </si>
  <si>
    <t>Kelty</t>
  </si>
  <si>
    <t>Mariva Capital</t>
  </si>
  <si>
    <t>Parodi</t>
  </si>
  <si>
    <t>McVey</t>
  </si>
  <si>
    <t>Markit Inc</t>
  </si>
  <si>
    <t>Brilliant</t>
  </si>
  <si>
    <t>Mark J</t>
  </si>
  <si>
    <t>Marlowe Partners</t>
  </si>
  <si>
    <t>Partner COO</t>
  </si>
  <si>
    <t>Marquette Partners</t>
  </si>
  <si>
    <t>Remai</t>
  </si>
  <si>
    <t>Martin Currie</t>
  </si>
  <si>
    <t>Mar Vista</t>
  </si>
  <si>
    <t>Mast Capital</t>
  </si>
  <si>
    <t>Masters Capital</t>
  </si>
  <si>
    <t>Masterton Capital</t>
  </si>
  <si>
    <t>Matlock Capital</t>
  </si>
  <si>
    <t>Vice President Senior Trader</t>
  </si>
  <si>
    <t>Buzun</t>
  </si>
  <si>
    <t>Rizner</t>
  </si>
  <si>
    <t>Chris F.</t>
  </si>
  <si>
    <t>Anci</t>
  </si>
  <si>
    <t>Coombe</t>
  </si>
  <si>
    <t>Matsui Securities</t>
  </si>
  <si>
    <t>Megumu</t>
  </si>
  <si>
    <t>Motohisa</t>
  </si>
  <si>
    <t>Matterhorn Investment</t>
  </si>
  <si>
    <t>Maxwell Capital</t>
  </si>
  <si>
    <t>Nikolaev</t>
  </si>
  <si>
    <t>Sigurdsson</t>
  </si>
  <si>
    <t>President/Owner</t>
  </si>
  <si>
    <t>Kirpichenko</t>
  </si>
  <si>
    <t>Mayar Capital</t>
  </si>
  <si>
    <t>MBF Clearing</t>
  </si>
  <si>
    <t>MBS Source</t>
  </si>
  <si>
    <t>Szabo</t>
  </si>
  <si>
    <t>MB Trading</t>
  </si>
  <si>
    <t>McCadden Interests</t>
  </si>
  <si>
    <t>McCadden</t>
  </si>
  <si>
    <t>Chief Information Officer and Co-Founder</t>
  </si>
  <si>
    <t>Rossi Machado</t>
  </si>
  <si>
    <t>McKinley Capital</t>
  </si>
  <si>
    <t>JL</t>
  </si>
  <si>
    <t>McCarrey</t>
  </si>
  <si>
    <t>MCM Options</t>
  </si>
  <si>
    <t>McNamara Trading</t>
  </si>
  <si>
    <t>Helen T.</t>
  </si>
  <si>
    <t>Sano Naturals</t>
  </si>
  <si>
    <t>MedBank</t>
  </si>
  <si>
    <t>Schmeltzer</t>
  </si>
  <si>
    <t>Mediolanum International</t>
  </si>
  <si>
    <t>Meeschaert Asset</t>
  </si>
  <si>
    <t>COO (not in company anymore)</t>
  </si>
  <si>
    <t>Viou</t>
  </si>
  <si>
    <t>new COO</t>
  </si>
  <si>
    <t>Aich</t>
  </si>
  <si>
    <t>Mega International</t>
  </si>
  <si>
    <t>Mega Securities</t>
  </si>
  <si>
    <t>Melqart Asset</t>
  </si>
  <si>
    <t>Melvin Capital</t>
  </si>
  <si>
    <t>Cinque</t>
  </si>
  <si>
    <t>Mercado a Termino de Buenos Aires</t>
  </si>
  <si>
    <t>Picolla</t>
  </si>
  <si>
    <t>Mercator Asset</t>
  </si>
  <si>
    <t>Hobart</t>
  </si>
  <si>
    <t>Merchant's Gate</t>
  </si>
  <si>
    <t>Mercuries Life</t>
  </si>
  <si>
    <t>Mercury Derivatives</t>
  </si>
  <si>
    <t>Evan (Effie)</t>
  </si>
  <si>
    <t>Mercury Digital</t>
  </si>
  <si>
    <t>MERIT Securities</t>
  </si>
  <si>
    <t>ATHANASIOS</t>
  </si>
  <si>
    <t>VLACHOPOULOS</t>
  </si>
  <si>
    <t>CEO (since 2015)</t>
  </si>
  <si>
    <t>Tomaras</t>
  </si>
  <si>
    <t>Vice President Electronic Trading Integration Services</t>
  </si>
  <si>
    <t>Si</t>
  </si>
  <si>
    <t>Merriman Wealth</t>
  </si>
  <si>
    <t>Spratt</t>
  </si>
  <si>
    <t>Sela</t>
  </si>
  <si>
    <t>Mesirow Financial</t>
  </si>
  <si>
    <t>CEO Currency Mgt</t>
  </si>
  <si>
    <t>Metabit Systems</t>
  </si>
  <si>
    <t>Burgin</t>
  </si>
  <si>
    <t>Met Group</t>
  </si>
  <si>
    <t>Metronome Capital</t>
  </si>
  <si>
    <t>metropolis capital</t>
  </si>
  <si>
    <t>Mexican Derivatives</t>
  </si>
  <si>
    <t>Jose Miguel</t>
  </si>
  <si>
    <t>De Dios</t>
  </si>
  <si>
    <t>Rhonda</t>
  </si>
  <si>
    <t>MFEX Mutual</t>
  </si>
  <si>
    <t>Devambez</t>
  </si>
  <si>
    <t>Corzine</t>
  </si>
  <si>
    <t>Mallahan</t>
  </si>
  <si>
    <t>Cy</t>
  </si>
  <si>
    <t>Monley</t>
  </si>
  <si>
    <t>European CIO</t>
  </si>
  <si>
    <t>Petrie</t>
  </si>
  <si>
    <t>MGB Trading</t>
  </si>
  <si>
    <t>MICEXRTS</t>
  </si>
  <si>
    <t>Rastopshina</t>
  </si>
  <si>
    <t>ARGO Systems, LLC</t>
  </si>
  <si>
    <t>MIG Capital</t>
  </si>
  <si>
    <t>Mijn Effecten</t>
  </si>
  <si>
    <t>Bam</t>
  </si>
  <si>
    <t>van Steenhard Carre</t>
  </si>
  <si>
    <t>MIK Fund</t>
  </si>
  <si>
    <t>Saffer</t>
  </si>
  <si>
    <t>Kaddoura</t>
  </si>
  <si>
    <t>Milltrust international</t>
  </si>
  <si>
    <t>Griff</t>
  </si>
  <si>
    <t>williams</t>
  </si>
  <si>
    <t>Minneaplois Grain</t>
  </si>
  <si>
    <t>Bagan</t>
  </si>
  <si>
    <t>Pranith</t>
  </si>
  <si>
    <t>Mirova</t>
  </si>
  <si>
    <t>Grapin</t>
  </si>
  <si>
    <t>Misaki Capital</t>
  </si>
  <si>
    <t>Kadota</t>
  </si>
  <si>
    <t>Mismi</t>
  </si>
  <si>
    <t>Papandreadis</t>
  </si>
  <si>
    <t>Jolly</t>
  </si>
  <si>
    <t>Miura Global</t>
  </si>
  <si>
    <t>Priest</t>
  </si>
  <si>
    <t>MixIT</t>
  </si>
  <si>
    <t>Hashim</t>
  </si>
  <si>
    <t>Vice President, Treasury Services</t>
  </si>
  <si>
    <t>Chang, CTP</t>
  </si>
  <si>
    <t>Vice President of Global Client Services</t>
  </si>
  <si>
    <t>MKM Partners</t>
  </si>
  <si>
    <t>Bohack</t>
  </si>
  <si>
    <t>Vetter</t>
  </si>
  <si>
    <t>Chief Technology Officer / Chief Information Security Officer</t>
  </si>
  <si>
    <t>Dinner</t>
  </si>
  <si>
    <t>MND Partners</t>
  </si>
  <si>
    <t>Moab Capital</t>
  </si>
  <si>
    <t>Mogavero Lee</t>
  </si>
  <si>
    <t>Chief Executive Officer &amp; NYSE Lead Floor Broker</t>
  </si>
  <si>
    <t>Mojna Capital</t>
  </si>
  <si>
    <t>Molten Markets</t>
  </si>
  <si>
    <t>COO South Africa</t>
  </si>
  <si>
    <t>Karodia</t>
  </si>
  <si>
    <t>Monaco Asset</t>
  </si>
  <si>
    <t>CFO / CTO</t>
  </si>
  <si>
    <t>Froidefond</t>
  </si>
  <si>
    <t>Monex Group</t>
  </si>
  <si>
    <t>Kiminori</t>
  </si>
  <si>
    <t>MONSAS</t>
  </si>
  <si>
    <t>Co-Founder &amp; Chief Executive Officer</t>
  </si>
  <si>
    <t>Herriot</t>
  </si>
  <si>
    <t>Montaka Global</t>
  </si>
  <si>
    <t>MACKEN</t>
  </si>
  <si>
    <t>Monterey Capital</t>
  </si>
  <si>
    <t>Monterone Partners</t>
  </si>
  <si>
    <t>Chapple</t>
  </si>
  <si>
    <t>Montlake</t>
  </si>
  <si>
    <t>Moriarty Capital</t>
  </si>
  <si>
    <t>Motilal Oswal</t>
  </si>
  <si>
    <t>Parvez Arif</t>
  </si>
  <si>
    <t>Moosani</t>
  </si>
  <si>
    <t>Mount Capital</t>
  </si>
  <si>
    <t>MountLucasManagementCorporation</t>
  </si>
  <si>
    <t>MP Capital</t>
  </si>
  <si>
    <t>Pargamanik</t>
  </si>
  <si>
    <t>Muddy Waters</t>
  </si>
  <si>
    <t>CFO &amp; CCO</t>
  </si>
  <si>
    <t>Devinsky</t>
  </si>
  <si>
    <t>Munder Capital</t>
  </si>
  <si>
    <t>Hoglund</t>
  </si>
  <si>
    <t>MuniAxis ATS</t>
  </si>
  <si>
    <t>Mutual of America</t>
  </si>
  <si>
    <t>Mastrogiannis</t>
  </si>
  <si>
    <t>Second Vice President</t>
  </si>
  <si>
    <t>mwb fairtrade</t>
  </si>
  <si>
    <t>Executive Management Board - Vorstand</t>
  </si>
  <si>
    <t>Bokelmann</t>
  </si>
  <si>
    <t>MWD Trading</t>
  </si>
  <si>
    <t>Myriad Asset</t>
  </si>
  <si>
    <t>Larri</t>
  </si>
  <si>
    <t>Ballin</t>
  </si>
  <si>
    <t>N1 Singer</t>
  </si>
  <si>
    <t>Reiser</t>
  </si>
  <si>
    <t>Nantahala Capital</t>
  </si>
  <si>
    <t>Dartois</t>
  </si>
  <si>
    <t>Natexis Bleichroeder</t>
  </si>
  <si>
    <t>Hiltz</t>
  </si>
  <si>
    <t>Nautical Capital</t>
  </si>
  <si>
    <t>Navellier</t>
  </si>
  <si>
    <t>Kuyper</t>
  </si>
  <si>
    <t>Naya Management</t>
  </si>
  <si>
    <t>TradeHelp</t>
  </si>
  <si>
    <t>Jafer</t>
  </si>
  <si>
    <t>O'Donovan</t>
  </si>
  <si>
    <t>Nelson Capital</t>
  </si>
  <si>
    <t>Benner</t>
  </si>
  <si>
    <t>Joacim</t>
  </si>
  <si>
    <t>Wiklander</t>
  </si>
  <si>
    <t>Netfonds Bank</t>
  </si>
  <si>
    <t>Dammann</t>
  </si>
  <si>
    <t>Kassen</t>
  </si>
  <si>
    <t>NYFIX Board Member</t>
  </si>
  <si>
    <t>Corman</t>
  </si>
  <si>
    <t>Amato</t>
  </si>
  <si>
    <t>Neue Bank</t>
  </si>
  <si>
    <t>Vice President Head of Securities Trading</t>
  </si>
  <si>
    <t>Neural capital</t>
  </si>
  <si>
    <t>NeuralFutures</t>
  </si>
  <si>
    <t>Tolmie</t>
  </si>
  <si>
    <t>Neveus PTY</t>
  </si>
  <si>
    <t>CEO Latin America / Member of the Global Executive Committee</t>
  </si>
  <si>
    <t>Cotait Kara Jose</t>
  </si>
  <si>
    <t>NewAlpha Asset</t>
  </si>
  <si>
    <t>Auric</t>
  </si>
  <si>
    <t>Newedge</t>
  </si>
  <si>
    <t>New Mountain</t>
  </si>
  <si>
    <t>New Vernon</t>
  </si>
  <si>
    <t>Nexus Asset</t>
  </si>
  <si>
    <t>Larmann</t>
  </si>
  <si>
    <t>NGM Nordic</t>
  </si>
  <si>
    <t>Peleback</t>
  </si>
  <si>
    <t>NH Investment</t>
  </si>
  <si>
    <t>Soomin</t>
  </si>
  <si>
    <t>CFO &amp; Compliance Officer</t>
  </si>
  <si>
    <t>Nicholas Co</t>
  </si>
  <si>
    <t>COO VP</t>
  </si>
  <si>
    <t>Pavelec</t>
  </si>
  <si>
    <t>Partner COO/Chief Compliance Officer - EMS 3rd point of contact</t>
  </si>
  <si>
    <t>Siriani</t>
  </si>
  <si>
    <t>Nico Trading</t>
  </si>
  <si>
    <t>Wealth Management Advisor, Assistant Vice President</t>
  </si>
  <si>
    <t>Sarmiento, CFP, CRPC</t>
  </si>
  <si>
    <t>Night Square</t>
  </si>
  <si>
    <t>Rouzer</t>
  </si>
  <si>
    <t>COO and Director, Global Markets</t>
  </si>
  <si>
    <t>Noboru</t>
  </si>
  <si>
    <t>Nim Asset</t>
  </si>
  <si>
    <t>Kiberu</t>
  </si>
  <si>
    <t>Nirvana Solutions</t>
  </si>
  <si>
    <t>Nitorum Capital</t>
  </si>
  <si>
    <t>Nomos Bank</t>
  </si>
  <si>
    <t>Nordnet</t>
  </si>
  <si>
    <t>Chief Commercial Officer tf CEO</t>
  </si>
  <si>
    <t>Nordnet Bank</t>
  </si>
  <si>
    <t>Norling</t>
  </si>
  <si>
    <t>Normandy Asset</t>
  </si>
  <si>
    <t>Slottle</t>
  </si>
  <si>
    <t>Norstar Securities</t>
  </si>
  <si>
    <t>Northland Securities</t>
  </si>
  <si>
    <t>Vice President - IT Manager</t>
  </si>
  <si>
    <t>Gjerde</t>
  </si>
  <si>
    <t>North South</t>
  </si>
  <si>
    <t>North Square</t>
  </si>
  <si>
    <t>Chalmer</t>
  </si>
  <si>
    <t>North Tide</t>
  </si>
  <si>
    <t>Shorey</t>
  </si>
  <si>
    <t>Northwest Asset</t>
  </si>
  <si>
    <t>Nelly</t>
  </si>
  <si>
    <t>Mubashi</t>
  </si>
  <si>
    <t>Nova Capital</t>
  </si>
  <si>
    <t>Chandrakar</t>
  </si>
  <si>
    <t>Novum Securities</t>
  </si>
  <si>
    <t>Mcalister</t>
  </si>
  <si>
    <t>Novus Capital</t>
  </si>
  <si>
    <t>Nucleo Capital</t>
  </si>
  <si>
    <t>Vitorio</t>
  </si>
  <si>
    <t>Cirineu</t>
  </si>
  <si>
    <t>Numbers Asset</t>
  </si>
  <si>
    <t>Boiron</t>
  </si>
  <si>
    <t>Numen Capital</t>
  </si>
  <si>
    <t>Namika</t>
  </si>
  <si>
    <t>Karadia</t>
  </si>
  <si>
    <t>Numerai</t>
  </si>
  <si>
    <t>Spier</t>
  </si>
  <si>
    <t>Nutmeg Securities</t>
  </si>
  <si>
    <t>Rochlin</t>
  </si>
  <si>
    <t>NYAM LLC</t>
  </si>
  <si>
    <t>Jan-Willem Dorpel</t>
  </si>
  <si>
    <t>van den</t>
  </si>
  <si>
    <t>NYMEX</t>
  </si>
  <si>
    <t>Gaer</t>
  </si>
  <si>
    <t>Oakpoint Advisors</t>
  </si>
  <si>
    <t>Oasis World</t>
  </si>
  <si>
    <t>Oberweis Asset</t>
  </si>
  <si>
    <t>Oberweis Jr.</t>
  </si>
  <si>
    <t>Obex Investments</t>
  </si>
  <si>
    <t>Devinder</t>
  </si>
  <si>
    <t>Obrem Capital</t>
  </si>
  <si>
    <t>Ocean Financial</t>
  </si>
  <si>
    <t>B Penate</t>
  </si>
  <si>
    <t>Oceanwood Capital</t>
  </si>
  <si>
    <t>Ocean Wood</t>
  </si>
  <si>
    <t>OCM Capital</t>
  </si>
  <si>
    <t>Institutional Equity Sales Vice President</t>
  </si>
  <si>
    <t>Vacchiano de la Concepcion</t>
  </si>
  <si>
    <t>Stent</t>
  </si>
  <si>
    <t>Octo Rivers</t>
  </si>
  <si>
    <t>Odeon Capital</t>
  </si>
  <si>
    <t>Chief Information Officer and Chief Compliance Officer</t>
  </si>
  <si>
    <t>Tolla</t>
  </si>
  <si>
    <t>OHB Trading</t>
  </si>
  <si>
    <t>Gen</t>
  </si>
  <si>
    <t>Oligo Fund</t>
  </si>
  <si>
    <t>Risoldi</t>
  </si>
  <si>
    <t>OMCAP Investors</t>
  </si>
  <si>
    <t>Vice President and Director</t>
  </si>
  <si>
    <t>Wellman</t>
  </si>
  <si>
    <t>Yew Yang</t>
  </si>
  <si>
    <t>One01 Capital</t>
  </si>
  <si>
    <t>OneChicago</t>
  </si>
  <si>
    <t>Dubin</t>
  </si>
  <si>
    <t>One River</t>
  </si>
  <si>
    <t>COO__CRO</t>
  </si>
  <si>
    <t>Malloch</t>
  </si>
  <si>
    <t>One Tusk</t>
  </si>
  <si>
    <t>Jazmine</t>
  </si>
  <si>
    <t>CFO assistant</t>
  </si>
  <si>
    <t>OpenBondX LLC</t>
  </si>
  <si>
    <t>OpenDoor Securities</t>
  </si>
  <si>
    <t>Open Markets</t>
  </si>
  <si>
    <t>Marani</t>
  </si>
  <si>
    <t>Option Financial</t>
  </si>
  <si>
    <t>Options Clearing</t>
  </si>
  <si>
    <t>Senior Vice President and Chief Commercial Officer</t>
  </si>
  <si>
    <t>Vice President &amp; CTO</t>
  </si>
  <si>
    <t>Stathis</t>
  </si>
  <si>
    <t>Emmett</t>
  </si>
  <si>
    <t>Vice President-Application Support</t>
  </si>
  <si>
    <t>McGarr</t>
  </si>
  <si>
    <t>First Vice President Technology Services</t>
  </si>
  <si>
    <t>Everhart</t>
  </si>
  <si>
    <t>OptionsHouse</t>
  </si>
  <si>
    <t>Lawler</t>
  </si>
  <si>
    <t>Cowbird Capital</t>
  </si>
  <si>
    <t>Tynes</t>
  </si>
  <si>
    <t>OQAM AB</t>
  </si>
  <si>
    <t>Ohlsson</t>
  </si>
  <si>
    <t>ORA Traders</t>
  </si>
  <si>
    <t>van Dorth</t>
  </si>
  <si>
    <t>Shihab</t>
  </si>
  <si>
    <t>Kalil</t>
  </si>
  <si>
    <t>Topba?</t>
  </si>
  <si>
    <t>OSS Capital</t>
  </si>
  <si>
    <t>CFO/Trader</t>
  </si>
  <si>
    <t>OSTC London</t>
  </si>
  <si>
    <t>COO - head of operations</t>
  </si>
  <si>
    <t>Segonne</t>
  </si>
  <si>
    <t>Global Chief Information Officer</t>
  </si>
  <si>
    <t>Corvalan</t>
  </si>
  <si>
    <t>MD - Trading Services / President OTC Link LLC</t>
  </si>
  <si>
    <t>OTR Global</t>
  </si>
  <si>
    <t>Managing Director &amp; Chief Financial Officer</t>
  </si>
  <si>
    <t>Downie</t>
  </si>
  <si>
    <t>Outerbridge Capital</t>
  </si>
  <si>
    <t>Kaitlin</t>
  </si>
  <si>
    <t>COO. General Counsel</t>
  </si>
  <si>
    <t>Outpoint Capital</t>
  </si>
  <si>
    <t>Chief Operating Officer Chief Financial Officer and Chief Compliance Officer</t>
  </si>
  <si>
    <t>Rapavy</t>
  </si>
  <si>
    <t>Outset Global</t>
  </si>
  <si>
    <t>CFO &amp; Head Of Operations</t>
  </si>
  <si>
    <t>Owl Creek</t>
  </si>
  <si>
    <t>Sapadin</t>
  </si>
  <si>
    <t>Oxford Asset</t>
  </si>
  <si>
    <t>Byman</t>
  </si>
  <si>
    <t>Kural</t>
  </si>
  <si>
    <t>PACE Securities</t>
  </si>
  <si>
    <t>Pacific Alliance</t>
  </si>
  <si>
    <t>Khoo</t>
  </si>
  <si>
    <t>Pacific Asset</t>
  </si>
  <si>
    <t>Pacific Crest</t>
  </si>
  <si>
    <t>Pacific Growth</t>
  </si>
  <si>
    <t>Massocca</t>
  </si>
  <si>
    <t>Pacific View</t>
  </si>
  <si>
    <t>ruskin</t>
  </si>
  <si>
    <t>Pairstech Capital</t>
  </si>
  <si>
    <t>Mirabela</t>
  </si>
  <si>
    <t>Mocanu</t>
  </si>
  <si>
    <t>Palestra Capital</t>
  </si>
  <si>
    <t>Pali Capital</t>
  </si>
  <si>
    <t>Paloma Partners</t>
  </si>
  <si>
    <t>Pamirs Capital</t>
  </si>
  <si>
    <t>Suei</t>
  </si>
  <si>
    <t>PanCapitalUS</t>
  </si>
  <si>
    <t>Par</t>
  </si>
  <si>
    <t>Accounts Payable/President</t>
  </si>
  <si>
    <t>Paqua Capital</t>
  </si>
  <si>
    <t>Paradigm Advisors</t>
  </si>
  <si>
    <t>Paragon Global</t>
  </si>
  <si>
    <t>Allocco</t>
  </si>
  <si>
    <t>Macfarland</t>
  </si>
  <si>
    <t>StarCare Med Inc.</t>
  </si>
  <si>
    <t>PAR Investment</t>
  </si>
  <si>
    <t>Paritech Pty</t>
  </si>
  <si>
    <t>Klink</t>
  </si>
  <si>
    <t>Park Lane</t>
  </si>
  <si>
    <t>Seywerd</t>
  </si>
  <si>
    <t>Parplus Partners</t>
  </si>
  <si>
    <t>CEO Parplus Partners LLC</t>
  </si>
  <si>
    <t>Parquet Capital</t>
  </si>
  <si>
    <t>Hinckson</t>
  </si>
  <si>
    <t>Partners Bay</t>
  </si>
  <si>
    <t>Parus Finance</t>
  </si>
  <si>
    <t>Vecchioli</t>
  </si>
  <si>
    <t>Chief Information Technology Security &amp; Digital Officer</t>
  </si>
  <si>
    <t>Pignal</t>
  </si>
  <si>
    <t>Parvus Asset</t>
  </si>
  <si>
    <t>Paskewitz Asset</t>
  </si>
  <si>
    <t>Paskewitz</t>
  </si>
  <si>
    <t>Poile</t>
  </si>
  <si>
    <t>Patsystems</t>
  </si>
  <si>
    <t>Pavlik Capital</t>
  </si>
  <si>
    <t>PAW Capital</t>
  </si>
  <si>
    <t>CFO - Primary contact for EMS</t>
  </si>
  <si>
    <t>Pax World</t>
  </si>
  <si>
    <t>Fruh</t>
  </si>
  <si>
    <t>Djerf</t>
  </si>
  <si>
    <t>Pegasus</t>
  </si>
  <si>
    <t>Pelagic Capital</t>
  </si>
  <si>
    <t>Pelargos Capital</t>
  </si>
  <si>
    <t>Peiter</t>
  </si>
  <si>
    <t>Van Putten</t>
  </si>
  <si>
    <t>Pelham Capital</t>
  </si>
  <si>
    <t>Hamant</t>
  </si>
  <si>
    <t>PE Lynch</t>
  </si>
  <si>
    <t>Dr Paul</t>
  </si>
  <si>
    <t>Pembroke EM</t>
  </si>
  <si>
    <t>Pengana Capital</t>
  </si>
  <si>
    <t>Foertsch</t>
  </si>
  <si>
    <t>Director and CIO</t>
  </si>
  <si>
    <t>Director and CEO</t>
  </si>
  <si>
    <t>Pillemer</t>
  </si>
  <si>
    <t>Glendinning</t>
  </si>
  <si>
    <t>Futures Industry Association, Market Technology Division</t>
  </si>
  <si>
    <t>Riley, Jr.</t>
  </si>
  <si>
    <t>Pennant Capital</t>
  </si>
  <si>
    <t>Partner CFO/CCO</t>
  </si>
  <si>
    <t>Giafaglione</t>
  </si>
  <si>
    <t>Penn Capital</t>
  </si>
  <si>
    <t>Haldi Technologies</t>
  </si>
  <si>
    <t>Haldi</t>
  </si>
  <si>
    <t>Pentwater Capital</t>
  </si>
  <si>
    <t>Applebaum</t>
  </si>
  <si>
    <t>Zirin</t>
  </si>
  <si>
    <t>Perdiue Securities</t>
  </si>
  <si>
    <t>Perdurance Asset</t>
  </si>
  <si>
    <t>Performance Trust</t>
  </si>
  <si>
    <t>Perihelion Capital</t>
  </si>
  <si>
    <t>Periscope Capital</t>
  </si>
  <si>
    <t>Elgee</t>
  </si>
  <si>
    <t>Permal Asset</t>
  </si>
  <si>
    <t>Rebasti</t>
  </si>
  <si>
    <t>Whitman</t>
  </si>
  <si>
    <t>PER TEST</t>
  </si>
  <si>
    <t>Peters &amp; Co</t>
  </si>
  <si>
    <t>Zionic</t>
  </si>
  <si>
    <t>Vice President Marketing</t>
  </si>
  <si>
    <t>Ladanyi</t>
  </si>
  <si>
    <t>Phalanx Capital</t>
  </si>
  <si>
    <t>Pharo Fund</t>
  </si>
  <si>
    <t>ilko</t>
  </si>
  <si>
    <t>menkov</t>
  </si>
  <si>
    <t>Phase Capital</t>
  </si>
  <si>
    <t>Akyali</t>
  </si>
  <si>
    <t>Pritchett</t>
  </si>
  <si>
    <t>Siemens</t>
  </si>
  <si>
    <t>Fidel API</t>
  </si>
  <si>
    <t>Pier Asset</t>
  </si>
  <si>
    <t>Neu</t>
  </si>
  <si>
    <t>Pilotage Private</t>
  </si>
  <si>
    <t>Pilot Rock</t>
  </si>
  <si>
    <t>Hoban</t>
  </si>
  <si>
    <t>Pinnacle Asset Management</t>
  </si>
  <si>
    <t>Pinz Capital</t>
  </si>
  <si>
    <t>Valante</t>
  </si>
  <si>
    <t>Pipeline Financial</t>
  </si>
  <si>
    <t>Piper Sandler</t>
  </si>
  <si>
    <t>Piramit Menkul</t>
  </si>
  <si>
    <t>Birkan</t>
  </si>
  <si>
    <t>Furquan</t>
  </si>
  <si>
    <t>Nazeeri GONE</t>
  </si>
  <si>
    <t>Eley</t>
  </si>
  <si>
    <t>Eccleston</t>
  </si>
  <si>
    <t>Janessa</t>
  </si>
  <si>
    <t>Executive Director &amp; Chief Operating Officer</t>
  </si>
  <si>
    <t>Pleiad Investment</t>
  </si>
  <si>
    <t>Vien</t>
  </si>
  <si>
    <t>Pohjola earlier</t>
  </si>
  <si>
    <t>Markku</t>
  </si>
  <si>
    <t>CEO Asset Management Execution</t>
  </si>
  <si>
    <t>Viitanen</t>
  </si>
  <si>
    <t>Point9</t>
  </si>
  <si>
    <t>Pointer Management</t>
  </si>
  <si>
    <t>PointState Capital</t>
  </si>
  <si>
    <t>Sanford</t>
  </si>
  <si>
    <t>Pointus Partners</t>
  </si>
  <si>
    <t>Magill</t>
  </si>
  <si>
    <t>Polar Capital</t>
  </si>
  <si>
    <t>Farren</t>
  </si>
  <si>
    <t>Polaris Capital</t>
  </si>
  <si>
    <t>President - HT</t>
  </si>
  <si>
    <t>Horn Jr.</t>
  </si>
  <si>
    <t>Polar Securities</t>
  </si>
  <si>
    <t>CFO - Infrastructure - Compliance/legal</t>
  </si>
  <si>
    <t>Polar Star</t>
  </si>
  <si>
    <t>Poplar Forest</t>
  </si>
  <si>
    <t>Chetwood</t>
  </si>
  <si>
    <t>PortlandHillCapitalLLP</t>
  </si>
  <si>
    <t>Portolan Capital</t>
  </si>
  <si>
    <t>Portsea Asset</t>
  </si>
  <si>
    <t>Fincke</t>
  </si>
  <si>
    <t>Bergson</t>
  </si>
  <si>
    <t>Portware LLC</t>
  </si>
  <si>
    <t>Kuan</t>
  </si>
  <si>
    <t>Paddon</t>
  </si>
  <si>
    <t>Praesidium Investment</t>
  </si>
  <si>
    <t>Praxis Partners</t>
  </si>
  <si>
    <t>Cable</t>
  </si>
  <si>
    <t>Prentice Capital</t>
  </si>
  <si>
    <t>Faizad</t>
  </si>
  <si>
    <t>Chief Executive Officer - CEO</t>
  </si>
  <si>
    <t>Presidio Management</t>
  </si>
  <si>
    <t>Prima Capital</t>
  </si>
  <si>
    <t>Tcherkassova</t>
  </si>
  <si>
    <t>PrimeStone Capital</t>
  </si>
  <si>
    <t>Principled Asset</t>
  </si>
  <si>
    <t>Prodigy Capital</t>
  </si>
  <si>
    <t>PROEM Asset</t>
  </si>
  <si>
    <t>massad</t>
  </si>
  <si>
    <t>Proficio Capital</t>
  </si>
  <si>
    <t>PSquared Asset</t>
  </si>
  <si>
    <t>Penning</t>
  </si>
  <si>
    <t>Pura Vida</t>
  </si>
  <si>
    <t>Nonas</t>
  </si>
  <si>
    <t>Purchase Park</t>
  </si>
  <si>
    <t>Pyramis Global</t>
  </si>
  <si>
    <t>Schoumaker</t>
  </si>
  <si>
    <t>Vice President Head of Pyramis Advisor Solutions</t>
  </si>
  <si>
    <t>Pyrford International</t>
  </si>
  <si>
    <t>Quad Capital</t>
  </si>
  <si>
    <t>Quadra Capital</t>
  </si>
  <si>
    <t>Touze</t>
  </si>
  <si>
    <t>Quaero Capital</t>
  </si>
  <si>
    <t>Quantalgo Ventures</t>
  </si>
  <si>
    <t>Yuchmow</t>
  </si>
  <si>
    <t>Quantinfo</t>
  </si>
  <si>
    <t>Quantinno Capital</t>
  </si>
  <si>
    <t>Quantlab Financial</t>
  </si>
  <si>
    <t>Saks</t>
  </si>
  <si>
    <t>Woodworth</t>
  </si>
  <si>
    <t>C.</t>
  </si>
  <si>
    <t>quay partners</t>
  </si>
  <si>
    <t>Qubed Derivatives</t>
  </si>
  <si>
    <t>QUICK Corp</t>
  </si>
  <si>
    <t>Bobotis</t>
  </si>
  <si>
    <t>Vice  President</t>
  </si>
  <si>
    <t>Nevill</t>
  </si>
  <si>
    <t>Quirin Bank</t>
  </si>
  <si>
    <t>Quod Financial</t>
  </si>
  <si>
    <t>Pichvai</t>
  </si>
  <si>
    <t>Rouillere</t>
  </si>
  <si>
    <t>Mengin</t>
  </si>
  <si>
    <t>RH Bluestein</t>
  </si>
  <si>
    <t>RA Capital</t>
  </si>
  <si>
    <t>2CRSI</t>
  </si>
  <si>
    <t>Vice President of Sales &amp; Business Development (North America)</t>
  </si>
  <si>
    <t>Rassam</t>
  </si>
  <si>
    <t>RagingCapital</t>
  </si>
  <si>
    <t>Wasch</t>
  </si>
  <si>
    <t>RailSplitter Capital</t>
  </si>
  <si>
    <t>Koeplin</t>
  </si>
  <si>
    <t>Rakuten Securities</t>
  </si>
  <si>
    <t>Takakazu</t>
  </si>
  <si>
    <t>Ramsey Asset</t>
  </si>
  <si>
    <t>Busby</t>
  </si>
  <si>
    <t>Reginald</t>
  </si>
  <si>
    <t>Korey</t>
  </si>
  <si>
    <t>Chief Operating Officer Wealth Management</t>
  </si>
  <si>
    <t>Rathbone Investment</t>
  </si>
  <si>
    <t>Butcher</t>
  </si>
  <si>
    <t>Raven Securities</t>
  </si>
  <si>
    <t>Vice President, Client Manager at Munich Reinsurance America, Inc.</t>
  </si>
  <si>
    <t>Rexing</t>
  </si>
  <si>
    <t>RAYS Capital</t>
  </si>
  <si>
    <t>Rcube Asset</t>
  </si>
  <si>
    <t>Roitman</t>
  </si>
  <si>
    <t>Ould Rouis</t>
  </si>
  <si>
    <t>Reach Capital</t>
  </si>
  <si>
    <t>Reag Investimentos</t>
  </si>
  <si>
    <t>RealStreetX</t>
  </si>
  <si>
    <t>Redmile Group</t>
  </si>
  <si>
    <t>Ranney Crapo</t>
  </si>
  <si>
    <t>Reformis</t>
  </si>
  <si>
    <t>Rav</t>
  </si>
  <si>
    <t>CEO Americas</t>
  </si>
  <si>
    <t>Regent Investment</t>
  </si>
  <si>
    <t>El Khoury</t>
  </si>
  <si>
    <t>Mintz</t>
  </si>
  <si>
    <t>Relational Investors</t>
  </si>
  <si>
    <t>Jagdish (Jay)</t>
  </si>
  <si>
    <t>Sitlani</t>
  </si>
  <si>
    <t>Religare Capital</t>
  </si>
  <si>
    <t>Lilley</t>
  </si>
  <si>
    <t>Relihan LLP</t>
  </si>
  <si>
    <t>Renell Wertpapierhandelsbank</t>
  </si>
  <si>
    <t>Renell</t>
  </si>
  <si>
    <t>Serdinsky</t>
  </si>
  <si>
    <t>Turchin, CPA</t>
  </si>
  <si>
    <t>Research Affiliates</t>
  </si>
  <si>
    <t>Sherrerd</t>
  </si>
  <si>
    <t>Resources Management</t>
  </si>
  <si>
    <t>Loehmann</t>
  </si>
  <si>
    <t>CQG</t>
  </si>
  <si>
    <t>Maroney</t>
  </si>
  <si>
    <t>Zeena</t>
  </si>
  <si>
    <t>CEO Advisor</t>
  </si>
  <si>
    <t>Orem Rehabilitation &amp; Skilled Nursing</t>
  </si>
  <si>
    <t>RFQ hub</t>
  </si>
  <si>
    <t>Bezant</t>
  </si>
  <si>
    <t>RGM Advisors</t>
  </si>
  <si>
    <t>Gorelick</t>
  </si>
  <si>
    <t>RHB Group</t>
  </si>
  <si>
    <t>Tee Ban</t>
  </si>
  <si>
    <t>Vice President - Business Development</t>
  </si>
  <si>
    <t>RHEOS CAPITAL</t>
  </si>
  <si>
    <t>Iwata</t>
  </si>
  <si>
    <t>Rhino Trading</t>
  </si>
  <si>
    <t>Rhodon Investment</t>
  </si>
  <si>
    <t>Rhumbline Advisers</t>
  </si>
  <si>
    <t>Ridgeback Capital</t>
  </si>
  <si>
    <t>Masillo</t>
  </si>
  <si>
    <t>McElroy</t>
  </si>
  <si>
    <t>Alley</t>
  </si>
  <si>
    <t>RISE WEALTH</t>
  </si>
  <si>
    <t>River Crest Capital</t>
  </si>
  <si>
    <t>Head of Operations / COO</t>
  </si>
  <si>
    <t>RiverNorth</t>
  </si>
  <si>
    <t>Mohrhardt</t>
  </si>
  <si>
    <t>RiverPark Capital</t>
  </si>
  <si>
    <t>Genova</t>
  </si>
  <si>
    <t>Rivoli Fund</t>
  </si>
  <si>
    <t>CEO (+co-founder)</t>
  </si>
  <si>
    <t>Gleyze</t>
  </si>
  <si>
    <t>RJ Murphy</t>
  </si>
  <si>
    <t>Mattei</t>
  </si>
  <si>
    <t>RKA NY</t>
  </si>
  <si>
    <t>RNC Genter</t>
  </si>
  <si>
    <t>Genter</t>
  </si>
  <si>
    <t>RNK Capital</t>
  </si>
  <si>
    <t>ROAM Global</t>
  </si>
  <si>
    <t>Robert E</t>
  </si>
  <si>
    <t>Torray</t>
  </si>
  <si>
    <t>Roberts &amp; Ryan Investments , Inc</t>
  </si>
  <si>
    <t>Robitaille Asset</t>
  </si>
  <si>
    <t>Sridev</t>
  </si>
  <si>
    <t>Rodman and</t>
  </si>
  <si>
    <t>COO (R&amp;R)</t>
  </si>
  <si>
    <t>Aneiva</t>
  </si>
  <si>
    <t>Rongtong Fund</t>
  </si>
  <si>
    <t>Vice President Technical</t>
  </si>
  <si>
    <t>Corporate Vice President, HRBP</t>
  </si>
  <si>
    <t>COO &amp; President</t>
  </si>
  <si>
    <t>Gawronski</t>
  </si>
  <si>
    <t>Rosenthal Collins</t>
  </si>
  <si>
    <t>EVP Chief Financial Officer</t>
  </si>
  <si>
    <t>Ross Smith</t>
  </si>
  <si>
    <t>Niebergal</t>
  </si>
  <si>
    <t>Roth Capital</t>
  </si>
  <si>
    <t>Galel</t>
  </si>
  <si>
    <t>ROW Asset</t>
  </si>
  <si>
    <t>SImotas</t>
  </si>
  <si>
    <t>Royal Capital</t>
  </si>
  <si>
    <t>COO/Head Trader</t>
  </si>
  <si>
    <t>Royal London</t>
  </si>
  <si>
    <t>Vice President Fixed Income</t>
  </si>
  <si>
    <t>Bottar</t>
  </si>
  <si>
    <t>Roystone Capital</t>
  </si>
  <si>
    <t>RTW Investments</t>
  </si>
  <si>
    <t>Sabera</t>
  </si>
  <si>
    <t>Loughran</t>
  </si>
  <si>
    <t>Rudius Management</t>
  </si>
  <si>
    <t>Umit</t>
  </si>
  <si>
    <t>Alptuna</t>
  </si>
  <si>
    <t>Rushmore Investment</t>
  </si>
  <si>
    <t>CIO Chairman</t>
  </si>
  <si>
    <t>Vann</t>
  </si>
  <si>
    <t>Russell Clark</t>
  </si>
  <si>
    <t>RWC Partners</t>
  </si>
  <si>
    <t>Lalvani</t>
  </si>
  <si>
    <t>S2 Capital</t>
  </si>
  <si>
    <t>Saba Capital</t>
  </si>
  <si>
    <t>Sabby Management</t>
  </si>
  <si>
    <t>Grundstein</t>
  </si>
  <si>
    <t>SAB</t>
  </si>
  <si>
    <t>Jackelow</t>
  </si>
  <si>
    <t>Sabre Fund</t>
  </si>
  <si>
    <t>Deepika</t>
  </si>
  <si>
    <t>CFO COO and Compliance</t>
  </si>
  <si>
    <t>De Mel</t>
  </si>
  <si>
    <t>Safra Securities</t>
  </si>
  <si>
    <t>Sagefield Capital</t>
  </si>
  <si>
    <t>Lamensdorf</t>
  </si>
  <si>
    <t>CFO / COO</t>
  </si>
  <si>
    <t>Ezell</t>
  </si>
  <si>
    <t>SailingStone Capital</t>
  </si>
  <si>
    <t>Klescewski</t>
  </si>
  <si>
    <t>Sakura Edge</t>
  </si>
  <si>
    <t>Osaka</t>
  </si>
  <si>
    <t>Salient Advisors</t>
  </si>
  <si>
    <t>Bayazitoglu</t>
  </si>
  <si>
    <t>Salisbury Securities</t>
  </si>
  <si>
    <t>Nanette</t>
  </si>
  <si>
    <t>Chairman of the Board President and Nominee</t>
  </si>
  <si>
    <t>Yaokasin Jr</t>
  </si>
  <si>
    <t>SallersonTroob LLC</t>
  </si>
  <si>
    <t>Sallerson</t>
  </si>
  <si>
    <t>Salus Capital</t>
  </si>
  <si>
    <t>Ebner</t>
  </si>
  <si>
    <t>Georgios</t>
  </si>
  <si>
    <t>Samlyn Capital</t>
  </si>
  <si>
    <t>Wagshal</t>
  </si>
  <si>
    <t>Sandbar Asset</t>
  </si>
  <si>
    <t>Mabey</t>
  </si>
  <si>
    <t>Sanders Capital</t>
  </si>
  <si>
    <t>CFO Head of Ops</t>
  </si>
  <si>
    <t>Borgia</t>
  </si>
  <si>
    <t>CEO co-CIO</t>
  </si>
  <si>
    <t>Sanderson Asset</t>
  </si>
  <si>
    <t>Sand Grove</t>
  </si>
  <si>
    <t>Groom</t>
  </si>
  <si>
    <t>Sandler Capital</t>
  </si>
  <si>
    <t>Warshavsky</t>
  </si>
  <si>
    <t>Sanlam Investment</t>
  </si>
  <si>
    <t>Van Heerden</t>
  </si>
  <si>
    <t>Sanoor Capital</t>
  </si>
  <si>
    <t>Dodani</t>
  </si>
  <si>
    <t>Sanso Investment</t>
  </si>
  <si>
    <t>Huygues Despointes</t>
  </si>
  <si>
    <t>Saola Capital</t>
  </si>
  <si>
    <t>Partner and Chief Operating Officer</t>
  </si>
  <si>
    <t>Guggenheimer</t>
  </si>
  <si>
    <t>Saracen Energy</t>
  </si>
  <si>
    <t>Saranac Partners</t>
  </si>
  <si>
    <t>Co-founder &amp; COO</t>
  </si>
  <si>
    <t>Sarasin and</t>
  </si>
  <si>
    <t>Sarissa Capital</t>
  </si>
  <si>
    <t>Denner</t>
  </si>
  <si>
    <t>Scarsdale Securities</t>
  </si>
  <si>
    <t>Capra</t>
  </si>
  <si>
    <t>Schaffhauser Kantonalbank</t>
  </si>
  <si>
    <t>Beat</t>
  </si>
  <si>
    <t>Head Market Services &amp; Deputy Chief Executive Officer</t>
  </si>
  <si>
    <t>Scharf Investments</t>
  </si>
  <si>
    <t>Schneider Capital</t>
  </si>
  <si>
    <t>Schottenfeld Group</t>
  </si>
  <si>
    <t>Schottenfeld</t>
  </si>
  <si>
    <t>Schwab Institutional</t>
  </si>
  <si>
    <t>Vice President ISD</t>
  </si>
  <si>
    <t>Sciencast Management</t>
  </si>
  <si>
    <t>Dermon</t>
  </si>
  <si>
    <t>Scopus Asset</t>
  </si>
  <si>
    <t>D'Orsi</t>
  </si>
  <si>
    <t>SCOR Investment</t>
  </si>
  <si>
    <t>Seacliff Capital</t>
  </si>
  <si>
    <t>Ellman</t>
  </si>
  <si>
    <t>Seacrest Investment</t>
  </si>
  <si>
    <t>Sea Otter</t>
  </si>
  <si>
    <t>Soltero</t>
  </si>
  <si>
    <t>Seasons Capital</t>
  </si>
  <si>
    <t>Iyengar</t>
  </si>
  <si>
    <t>Zhuo</t>
  </si>
  <si>
    <t>Seawolf Capital</t>
  </si>
  <si>
    <t>Second Curve</t>
  </si>
  <si>
    <t>Cymbol</t>
  </si>
  <si>
    <t>Seed CX</t>
  </si>
  <si>
    <t>Co-Founder &amp; President</t>
  </si>
  <si>
    <t>Liston</t>
  </si>
  <si>
    <t>Segra Capital</t>
  </si>
  <si>
    <t>COO CFO FIX/Trading</t>
  </si>
  <si>
    <t>Seilern Investment</t>
  </si>
  <si>
    <t>Gunderson</t>
  </si>
  <si>
    <t>Select Equity</t>
  </si>
  <si>
    <t>Senator Investment</t>
  </si>
  <si>
    <t>CFO - EMS 1st point of contact</t>
  </si>
  <si>
    <t>Senrigan Capital</t>
  </si>
  <si>
    <t>Sensato Investors</t>
  </si>
  <si>
    <t>Mayetani</t>
  </si>
  <si>
    <t>Meme</t>
  </si>
  <si>
    <t>Scherr</t>
  </si>
  <si>
    <t>Senzar Asset</t>
  </si>
  <si>
    <t>CFO and Director of Operations</t>
  </si>
  <si>
    <t>Carmona</t>
  </si>
  <si>
    <t>Sephira Emerging</t>
  </si>
  <si>
    <t>Kensit</t>
  </si>
  <si>
    <t>Sepio Capital</t>
  </si>
  <si>
    <t>CFA CPA | CFO CCO Managing Director</t>
  </si>
  <si>
    <t>Perruzzi</t>
  </si>
  <si>
    <t>Sequent Energy</t>
  </si>
  <si>
    <t>Vice President - Trading</t>
  </si>
  <si>
    <t>Pantoja</t>
  </si>
  <si>
    <t>Serafima Investments</t>
  </si>
  <si>
    <t>Serengeti Asset</t>
  </si>
  <si>
    <t>COO  CFO</t>
  </si>
  <si>
    <t>Sumberac</t>
  </si>
  <si>
    <t>Seres Asset</t>
  </si>
  <si>
    <t>SEVEN Capital</t>
  </si>
  <si>
    <t>COO Middle and Back office</t>
  </si>
  <si>
    <t>McCulloch</t>
  </si>
  <si>
    <t>Chief Information &amp; Chief Technology Officer</t>
  </si>
  <si>
    <t>Leifert</t>
  </si>
  <si>
    <t>SG Cap</t>
  </si>
  <si>
    <t>Rudman</t>
  </si>
  <si>
    <t>Shadow Financial</t>
  </si>
  <si>
    <t>J.Marino</t>
  </si>
  <si>
    <t>Shanghai Goku</t>
  </si>
  <si>
    <t>Shanghai Shitai</t>
  </si>
  <si>
    <t>Yiqun</t>
  </si>
  <si>
    <t>Shanghai Yanyi</t>
  </si>
  <si>
    <t>Shannon River</t>
  </si>
  <si>
    <t>Zurl</t>
  </si>
  <si>
    <t>Sheffield Asset</t>
  </si>
  <si>
    <t>Perlen</t>
  </si>
  <si>
    <t>Shelter Haven</t>
  </si>
  <si>
    <t>Shinhan Investment</t>
  </si>
  <si>
    <t>Jae Won</t>
  </si>
  <si>
    <t>Senior Manager (CIO)</t>
  </si>
  <si>
    <t>Shore Capital</t>
  </si>
  <si>
    <t>Shott Capital</t>
  </si>
  <si>
    <t>Shumway Capital</t>
  </si>
  <si>
    <t>Shumway</t>
  </si>
  <si>
    <t>Godino</t>
  </si>
  <si>
    <t>Basler</t>
  </si>
  <si>
    <t>Siag Madrid</t>
  </si>
  <si>
    <t>Antonio Oropesa</t>
  </si>
  <si>
    <t>Sierpinski Capital</t>
  </si>
  <si>
    <t>Sigma Broking</t>
  </si>
  <si>
    <t>Signet FFF</t>
  </si>
  <si>
    <t>Nicolau</t>
  </si>
  <si>
    <t>Silchester International</t>
  </si>
  <si>
    <t>SilverPepper Funds</t>
  </si>
  <si>
    <t>Sinclair Capital</t>
  </si>
  <si>
    <t>COO/Head of Operations</t>
  </si>
  <si>
    <t>Singapore Exchange</t>
  </si>
  <si>
    <t>Dua</t>
  </si>
  <si>
    <t>Singularity Technology</t>
  </si>
  <si>
    <t>Chairman / CEO</t>
  </si>
  <si>
    <t>SinoPac Securities</t>
  </si>
  <si>
    <t>Chairman Office - Cheif business development officer</t>
  </si>
  <si>
    <t>Deputy Chairman</t>
  </si>
  <si>
    <t>International Business Dept. Senior Vice President</t>
  </si>
  <si>
    <t>Sinopia Asset</t>
  </si>
  <si>
    <t>SIR Capital</t>
  </si>
  <si>
    <t>Fooshee</t>
  </si>
  <si>
    <t>Sirios Capital</t>
  </si>
  <si>
    <t>Six Columns</t>
  </si>
  <si>
    <t>Annecchino</t>
  </si>
  <si>
    <t>SK Advisory</t>
  </si>
  <si>
    <t>Sky Investment</t>
  </si>
  <si>
    <t>President/PM</t>
  </si>
  <si>
    <t>Skylands Capital</t>
  </si>
  <si>
    <t>Pulito</t>
  </si>
  <si>
    <t>Paquelet</t>
  </si>
  <si>
    <t>Skylar Capital</t>
  </si>
  <si>
    <t>Sky Road</t>
  </si>
  <si>
    <t>Founder and Chief Technology Officer</t>
  </si>
  <si>
    <t>Slate Path</t>
  </si>
  <si>
    <t>Smead Capital</t>
  </si>
  <si>
    <t>LeMire</t>
  </si>
  <si>
    <t>Smith Graham</t>
  </si>
  <si>
    <t>Smith Cove</t>
  </si>
  <si>
    <t>Snow Park</t>
  </si>
  <si>
    <t>Merli</t>
  </si>
  <si>
    <t>Senior Vice President and Director of Software Engineering, Wholesale Trading</t>
  </si>
  <si>
    <t>Lachance</t>
  </si>
  <si>
    <t>Sofina</t>
  </si>
  <si>
    <t>Coirbay</t>
  </si>
  <si>
    <t>Solaris Securities</t>
  </si>
  <si>
    <t>Solel Partners</t>
  </si>
  <si>
    <t>Solium Capital</t>
  </si>
  <si>
    <t>Krishna Chaitanya</t>
  </si>
  <si>
    <t>Emmaneni</t>
  </si>
  <si>
    <t>Solo Capital</t>
  </si>
  <si>
    <t>Soloda Investment</t>
  </si>
  <si>
    <t>SoMa Equity</t>
  </si>
  <si>
    <t>CCO/COO</t>
  </si>
  <si>
    <t>Somerset Capital</t>
  </si>
  <si>
    <t>Chief Operating Officer &amp; Compliance Officer</t>
  </si>
  <si>
    <t>Diggle</t>
  </si>
  <si>
    <t>Sonica Capital</t>
  </si>
  <si>
    <t>Sonoma Capital</t>
  </si>
  <si>
    <t>Sophis</t>
  </si>
  <si>
    <t>Xatart</t>
  </si>
  <si>
    <t>COO-Americas</t>
  </si>
  <si>
    <t>Soroban Capital</t>
  </si>
  <si>
    <t>Soros Capital</t>
  </si>
  <si>
    <t>Soros</t>
  </si>
  <si>
    <t>Goldfield</t>
  </si>
  <si>
    <t>Sound Shore</t>
  </si>
  <si>
    <t>Southeastern Asset</t>
  </si>
  <si>
    <t>Southpoint Capital</t>
  </si>
  <si>
    <t>Buffalano III</t>
  </si>
  <si>
    <t>Nemser</t>
  </si>
  <si>
    <t>Souza Barros</t>
  </si>
  <si>
    <t>Udodov</t>
  </si>
  <si>
    <t>Nermin</t>
  </si>
  <si>
    <t>Clifford-Newman</t>
  </si>
  <si>
    <t>Sovarnum Capital</t>
  </si>
  <si>
    <t>COO CFO</t>
  </si>
  <si>
    <t>Centner</t>
  </si>
  <si>
    <t>Sovereign Bank- Santander</t>
  </si>
  <si>
    <t>spacetimeio</t>
  </si>
  <si>
    <t>SpareBank 1</t>
  </si>
  <si>
    <t>Husby</t>
  </si>
  <si>
    <t>Vikse</t>
  </si>
  <si>
    <t>Rimstad</t>
  </si>
  <si>
    <t>Sparinvest SA</t>
  </si>
  <si>
    <t>Hojberg</t>
  </si>
  <si>
    <t>Spartan Fund</t>
  </si>
  <si>
    <t>Dejan</t>
  </si>
  <si>
    <t>Vice President National Sales</t>
  </si>
  <si>
    <t>Spartan Securities</t>
  </si>
  <si>
    <t>Eldred</t>
  </si>
  <si>
    <t>Spathiphy Capital</t>
  </si>
  <si>
    <t>Violet</t>
  </si>
  <si>
    <t>Speirs</t>
  </si>
  <si>
    <t>Sphere Investment</t>
  </si>
  <si>
    <t>Spinaris Capital</t>
  </si>
  <si>
    <t>Spot Trading</t>
  </si>
  <si>
    <t>Haravon</t>
  </si>
  <si>
    <t>SpringOwl Asset</t>
  </si>
  <si>
    <t>Panzner</t>
  </si>
  <si>
    <t>Spring Securities</t>
  </si>
  <si>
    <t>Mattis</t>
  </si>
  <si>
    <t>Spansk</t>
  </si>
  <si>
    <t>Squarepoint Capital</t>
  </si>
  <si>
    <t>Nadya</t>
  </si>
  <si>
    <t>Frukter</t>
  </si>
  <si>
    <t>Squawker Ltd</t>
  </si>
  <si>
    <t>SSE Capital</t>
  </si>
  <si>
    <t>CFO role</t>
  </si>
  <si>
    <t>Tingvall</t>
  </si>
  <si>
    <t>S Squared</t>
  </si>
  <si>
    <t>Portfolio Manager / CIO</t>
  </si>
  <si>
    <t>Goldblatt</t>
  </si>
  <si>
    <t>Gallardo Maguire</t>
  </si>
  <si>
    <t>STA Schneider</t>
  </si>
  <si>
    <t>Standard Pacific</t>
  </si>
  <si>
    <t>Stanford Group</t>
  </si>
  <si>
    <t>Rajpurohit</t>
  </si>
  <si>
    <t>Starboard Capital</t>
  </si>
  <si>
    <t>Wormser</t>
  </si>
  <si>
    <t>Ross Jr.</t>
  </si>
  <si>
    <t>Sonja</t>
  </si>
  <si>
    <t>Stark Investments</t>
  </si>
  <si>
    <t>Starmark Trading</t>
  </si>
  <si>
    <t>Eldon</t>
  </si>
  <si>
    <t>Statar Capital</t>
  </si>
  <si>
    <t>Ozer</t>
  </si>
  <si>
    <t>Stats Investment</t>
  </si>
  <si>
    <t>Steel Eye</t>
  </si>
  <si>
    <t>Steelhead Partners</t>
  </si>
  <si>
    <t>Hulse</t>
  </si>
  <si>
    <t>Stelliam Investment</t>
  </si>
  <si>
    <t>Kudisch</t>
  </si>
  <si>
    <t>Sterling Johnston</t>
  </si>
  <si>
    <t>Sterling Trader</t>
  </si>
  <si>
    <t>Nevotti</t>
  </si>
  <si>
    <t>Sierszulski</t>
  </si>
  <si>
    <t>Sterneck Capital</t>
  </si>
  <si>
    <t>Brandie</t>
  </si>
  <si>
    <t>Giffin</t>
  </si>
  <si>
    <t>Stevens Capital</t>
  </si>
  <si>
    <t>Stockbridge Partners</t>
  </si>
  <si>
    <t>Bring</t>
  </si>
  <si>
    <t>Stockdale Securities</t>
  </si>
  <si>
    <t>COO and CFO</t>
  </si>
  <si>
    <t>StoneRidge Investment</t>
  </si>
  <si>
    <t>Leevy</t>
  </si>
  <si>
    <t>Storebrand Asset</t>
  </si>
  <si>
    <t>Arne Martin</t>
  </si>
  <si>
    <t>Moen</t>
  </si>
  <si>
    <t>Stormborn CM</t>
  </si>
  <si>
    <t>Elise</t>
  </si>
  <si>
    <t>Di Vincenzo Crumbine</t>
  </si>
  <si>
    <t>STP SuisseTechPartners</t>
  </si>
  <si>
    <t>Roy J.</t>
  </si>
  <si>
    <t>Intl. Sales Manager Member of Exec. Management Board</t>
  </si>
  <si>
    <t>Doobarry</t>
  </si>
  <si>
    <t>Straits Financial</t>
  </si>
  <si>
    <t>Street One</t>
  </si>
  <si>
    <t>Freeze</t>
  </si>
  <si>
    <t>Stuart Frankel</t>
  </si>
  <si>
    <t>Co-President</t>
  </si>
  <si>
    <t>Frankel</t>
  </si>
  <si>
    <t>Bagnato</t>
  </si>
  <si>
    <t>Summit Alliance</t>
  </si>
  <si>
    <t>Senior Vice President-Director of Business Integration</t>
  </si>
  <si>
    <t>Superson</t>
  </si>
  <si>
    <t>Sun America</t>
  </si>
  <si>
    <t>Epright</t>
  </si>
  <si>
    <t>Sunbelt Securities</t>
  </si>
  <si>
    <t>Smetek</t>
  </si>
  <si>
    <t>Sunderland Capital</t>
  </si>
  <si>
    <t>Sunrise Brokers</t>
  </si>
  <si>
    <t>Trears</t>
  </si>
  <si>
    <t>Sunrise Capital</t>
  </si>
  <si>
    <t>Gerlach</t>
  </si>
  <si>
    <t>Super Derivatives</t>
  </si>
  <si>
    <t>COO-Mgt.</t>
  </si>
  <si>
    <t>Superstring Capital</t>
  </si>
  <si>
    <t>Suprema</t>
  </si>
  <si>
    <t>Peeter</t>
  </si>
  <si>
    <t>Sureview Capital</t>
  </si>
  <si>
    <t>Tawil</t>
  </si>
  <si>
    <t>Surge TradingClosed</t>
  </si>
  <si>
    <t>No Longer There - CIO</t>
  </si>
  <si>
    <t>Sursum Capital</t>
  </si>
  <si>
    <t>COO - EMS 1st Contact</t>
  </si>
  <si>
    <t>Suvretta Capital</t>
  </si>
  <si>
    <t>President COO</t>
  </si>
  <si>
    <t>SW8</t>
  </si>
  <si>
    <t>Swiss American</t>
  </si>
  <si>
    <t>Barbalato</t>
  </si>
  <si>
    <t>Swiss Bridge</t>
  </si>
  <si>
    <t>Syndicate Asset</t>
  </si>
  <si>
    <t>Synergy Trading</t>
  </si>
  <si>
    <t>Kular</t>
  </si>
  <si>
    <t>T3 Trading</t>
  </si>
  <si>
    <t>Hendelman</t>
  </si>
  <si>
    <t>TachibanaSecuritiesCoLtd</t>
  </si>
  <si>
    <t>Tachyon Capital</t>
  </si>
  <si>
    <t>Tacirler Investment</t>
  </si>
  <si>
    <t>Executive Vice President Trading</t>
  </si>
  <si>
    <t>Fehmi</t>
  </si>
  <si>
    <t>Tacirler Yatirim</t>
  </si>
  <si>
    <t>Tacir</t>
  </si>
  <si>
    <t>Tactical Investment</t>
  </si>
  <si>
    <t>Kovach</t>
  </si>
  <si>
    <t>Vice President of   Capital Markets &amp; Institutional Etf Strategist</t>
  </si>
  <si>
    <t>Wellenbach</t>
  </si>
  <si>
    <t>First Vice President of Wealth Management</t>
  </si>
  <si>
    <t>PeopleJoy</t>
  </si>
  <si>
    <t>Emeka</t>
  </si>
  <si>
    <t>Oguh</t>
  </si>
  <si>
    <t>Swan</t>
  </si>
  <si>
    <t>Jerimiah</t>
  </si>
  <si>
    <t>Booream</t>
  </si>
  <si>
    <t>Lindkvist</t>
  </si>
  <si>
    <t>Senior Vice President of, Axos Invest</t>
  </si>
  <si>
    <t>Gallman</t>
  </si>
  <si>
    <t>Touchstone Investments</t>
  </si>
  <si>
    <t>Regional Vice President</t>
  </si>
  <si>
    <t>Kussin</t>
  </si>
  <si>
    <t>Tareno AG</t>
  </si>
  <si>
    <t>COO Chief Operating Officer / Head IT</t>
  </si>
  <si>
    <t>Bollag</t>
  </si>
  <si>
    <t>Senior Vice President of  Global Wealth Management</t>
  </si>
  <si>
    <t>Vice President of, Trading</t>
  </si>
  <si>
    <t>Tatton Investment</t>
  </si>
  <si>
    <t>Windsor Capital Management</t>
  </si>
  <si>
    <t>Petrino</t>
  </si>
  <si>
    <t>First Ascent Asset Management</t>
  </si>
  <si>
    <t>Mackillop</t>
  </si>
  <si>
    <t>Frame Global Asset Management</t>
  </si>
  <si>
    <t>Mayson</t>
  </si>
  <si>
    <t>Sandulli</t>
  </si>
  <si>
    <t>Yashoda</t>
  </si>
  <si>
    <t>Leland</t>
  </si>
  <si>
    <t>TBP Investments</t>
  </si>
  <si>
    <t>Vice President of, Etf Capital Markets</t>
  </si>
  <si>
    <t>Schwark</t>
  </si>
  <si>
    <t>Wisdom Tree</t>
  </si>
  <si>
    <t>Kadiyala</t>
  </si>
  <si>
    <t>COO Mutual Fund Division</t>
  </si>
  <si>
    <t>Mueck</t>
  </si>
  <si>
    <t>Quintessence Wealth</t>
  </si>
  <si>
    <t>Valmark Financial</t>
  </si>
  <si>
    <t>McClary</t>
  </si>
  <si>
    <t>Gongaware</t>
  </si>
  <si>
    <t>Heights Point</t>
  </si>
  <si>
    <t>usinger</t>
  </si>
  <si>
    <t>TEB Yatirim</t>
  </si>
  <si>
    <t>Atilla</t>
  </si>
  <si>
    <t>Akullian</t>
  </si>
  <si>
    <t>Vice President of Global Capital Markets</t>
  </si>
  <si>
    <t>Umude</t>
  </si>
  <si>
    <t>Swimley</t>
  </si>
  <si>
    <t>Vice President of, Etf Global Markets</t>
  </si>
  <si>
    <t>Vice President of, Etf Markets Advocacy</t>
  </si>
  <si>
    <t>Blumenthal</t>
  </si>
  <si>
    <t>Freddi</t>
  </si>
  <si>
    <t>Pacific Life</t>
  </si>
  <si>
    <t>Assistance Vice President</t>
  </si>
  <si>
    <t>Sondhelm Partners</t>
  </si>
  <si>
    <t>Sondhelm</t>
  </si>
  <si>
    <t>Dynamic Advisor Solutions</t>
  </si>
  <si>
    <t>Etus</t>
  </si>
  <si>
    <t>EQIS</t>
  </si>
  <si>
    <t>Shiffer</t>
  </si>
  <si>
    <t>Telos Capital</t>
  </si>
  <si>
    <t>Meierhofer</t>
  </si>
  <si>
    <t>Vice President of, Portfolio Management</t>
  </si>
  <si>
    <t>Shatalov</t>
  </si>
  <si>
    <t>Assistant Vice President of, Talent Acquisition</t>
  </si>
  <si>
    <t>Gerome</t>
  </si>
  <si>
    <t>Vice President of, Market Leader</t>
  </si>
  <si>
    <t>Syntax Advisors</t>
  </si>
  <si>
    <t>Qraft Technologies</t>
  </si>
  <si>
    <t>Courchesne</t>
  </si>
  <si>
    <t>Senior Vice President of Wealth Management</t>
  </si>
  <si>
    <t>Householder</t>
  </si>
  <si>
    <t>Terra Futuros</t>
  </si>
  <si>
    <t>Wagner Luiz</t>
  </si>
  <si>
    <t>Anqi</t>
  </si>
  <si>
    <t>Senior Research Strategist, Vice President</t>
  </si>
  <si>
    <t>Vice President of, M&amp;A</t>
  </si>
  <si>
    <t>Karklin</t>
  </si>
  <si>
    <t>Performance Attribution Vice President</t>
  </si>
  <si>
    <t>Stoyanowski</t>
  </si>
  <si>
    <t>iSectors</t>
  </si>
  <si>
    <t>Vern</t>
  </si>
  <si>
    <t>Sumnicht</t>
  </si>
  <si>
    <t>Gibraltar Wealth Management</t>
  </si>
  <si>
    <t>Regional Vice President of for Western Canada</t>
  </si>
  <si>
    <t>GraniteShares ETFs</t>
  </si>
  <si>
    <t>Rayne</t>
  </si>
  <si>
    <t>Tidal Financial</t>
  </si>
  <si>
    <t>Venuto</t>
  </si>
  <si>
    <t>Banaja</t>
  </si>
  <si>
    <t>Moda Fund</t>
  </si>
  <si>
    <t>Zarkauskas</t>
  </si>
  <si>
    <t>Donato</t>
  </si>
  <si>
    <t>Hennion &amp; Walsh</t>
  </si>
  <si>
    <t>Mahn</t>
  </si>
  <si>
    <t>Samara</t>
  </si>
  <si>
    <t>SumGrowth Strategies</t>
  </si>
  <si>
    <t>Juds</t>
  </si>
  <si>
    <t>KraneShares</t>
  </si>
  <si>
    <t>Ahern</t>
  </si>
  <si>
    <t>Senior Vice President of, Delta One Trading</t>
  </si>
  <si>
    <t>Crossmark Global Investments</t>
  </si>
  <si>
    <t>Senior Vice President of &amp; Head of Portfolio Management</t>
  </si>
  <si>
    <t>Bechard</t>
  </si>
  <si>
    <t>Bogart Wealth</t>
  </si>
  <si>
    <t>Sahly</t>
  </si>
  <si>
    <t>Thames Capital</t>
  </si>
  <si>
    <t>AXS Investments</t>
  </si>
  <si>
    <t>ACA Foreside</t>
  </si>
  <si>
    <t>Kohls</t>
  </si>
  <si>
    <t>The Amherst</t>
  </si>
  <si>
    <t>Senior Managing Director Office of the CEO</t>
  </si>
  <si>
    <t>Roso</t>
  </si>
  <si>
    <t>Innovator ETFs</t>
  </si>
  <si>
    <t>Filmore</t>
  </si>
  <si>
    <t>Vice President of   Etf &amp; Sma Specialist</t>
  </si>
  <si>
    <t>Sajdak</t>
  </si>
  <si>
    <t>Vice President of, Senior Strat Developer</t>
  </si>
  <si>
    <t>Tsymbal</t>
  </si>
  <si>
    <t>Fiandaca</t>
  </si>
  <si>
    <t>The Cabana</t>
  </si>
  <si>
    <t>Baudo</t>
  </si>
  <si>
    <t>UP Fintech Asset Management</t>
  </si>
  <si>
    <t>Ercen</t>
  </si>
  <si>
    <t>Guducu</t>
  </si>
  <si>
    <t>Vice President of   Market Leader</t>
  </si>
  <si>
    <t>Diegel</t>
  </si>
  <si>
    <t>Senior Executive Vice President</t>
  </si>
  <si>
    <t>Tiger Management</t>
  </si>
  <si>
    <t>Forester</t>
  </si>
  <si>
    <t>Forstrong Global Asset Management</t>
  </si>
  <si>
    <t>Mordy</t>
  </si>
  <si>
    <t>Senior Vice President of Investments, Cfp</t>
  </si>
  <si>
    <t>Silcox</t>
  </si>
  <si>
    <t>Pridmore</t>
  </si>
  <si>
    <t>Money Habitudes</t>
  </si>
  <si>
    <t>Macksoud</t>
  </si>
  <si>
    <t>Senior Researcher &amp; Vice President</t>
  </si>
  <si>
    <t>Global Atlantic Financial</t>
  </si>
  <si>
    <t>Prichard</t>
  </si>
  <si>
    <t>Vice President of   Latin America Etf Distribution</t>
  </si>
  <si>
    <t>Woodmansee</t>
  </si>
  <si>
    <t>Jessamyn</t>
  </si>
  <si>
    <t>Vice President of Head of Pgim Custom Harvest</t>
  </si>
  <si>
    <t>Holderith</t>
  </si>
  <si>
    <t>Assistant to Vice President</t>
  </si>
  <si>
    <t>Rosenplanter</t>
  </si>
  <si>
    <t>Senior Vice President of, Investment Solutions</t>
  </si>
  <si>
    <t>Vice President of, Market Leader   Retirement Insurance Group</t>
  </si>
  <si>
    <t>The Link</t>
  </si>
  <si>
    <t>DSTA President</t>
  </si>
  <si>
    <t>platte</t>
  </si>
  <si>
    <t>Sachs</t>
  </si>
  <si>
    <t>Ormegard</t>
  </si>
  <si>
    <t>Zhengqin</t>
  </si>
  <si>
    <t>Theoria Capital</t>
  </si>
  <si>
    <t>Umezaki</t>
  </si>
  <si>
    <t>Enstad</t>
  </si>
  <si>
    <t>Parchment</t>
  </si>
  <si>
    <t>Emigrant Bank</t>
  </si>
  <si>
    <t>Senior Vice President of   Emigrant Capital Markets</t>
  </si>
  <si>
    <t>Gambino</t>
  </si>
  <si>
    <t>VegTech Invest</t>
  </si>
  <si>
    <t>Elysabeth</t>
  </si>
  <si>
    <t>Castle Funds</t>
  </si>
  <si>
    <t>thinkFolio</t>
  </si>
  <si>
    <t>GAMMA Investing</t>
  </si>
  <si>
    <t>Staudt</t>
  </si>
  <si>
    <t>Third Avenue</t>
  </si>
  <si>
    <t>Maxey</t>
  </si>
  <si>
    <t>Vice President of, Global Index Strategist</t>
  </si>
  <si>
    <t>Third Point</t>
  </si>
  <si>
    <t>Targoff</t>
  </si>
  <si>
    <t>Client Focused Advisors</t>
  </si>
  <si>
    <t>Sigler</t>
  </si>
  <si>
    <t>Unison</t>
  </si>
  <si>
    <t>Sponholtz</t>
  </si>
  <si>
    <t>Lewellyn</t>
  </si>
  <si>
    <t>Thorn Tree</t>
  </si>
  <si>
    <t>Threadneedle Asset Management</t>
  </si>
  <si>
    <t>Three Corner</t>
  </si>
  <si>
    <t>Citarella</t>
  </si>
  <si>
    <t>Thunderbird Investments</t>
  </si>
  <si>
    <t>Pav</t>
  </si>
  <si>
    <t>Udy</t>
  </si>
  <si>
    <t>Tickmill</t>
  </si>
  <si>
    <t>Ingmar</t>
  </si>
  <si>
    <t>Co-Founder /COO</t>
  </si>
  <si>
    <t>Mattus</t>
  </si>
  <si>
    <t>Ticonderoga Securities</t>
  </si>
  <si>
    <t>Bremer</t>
  </si>
  <si>
    <t>Tidenco Financial</t>
  </si>
  <si>
    <t>Kaimakliotis</t>
  </si>
  <si>
    <t>Tarrab</t>
  </si>
  <si>
    <t>Tiger Eye</t>
  </si>
  <si>
    <t>Raniolo</t>
  </si>
  <si>
    <t>Tiger Legatus</t>
  </si>
  <si>
    <t>Timber Hill</t>
  </si>
  <si>
    <t>Titan Capital</t>
  </si>
  <si>
    <t>COO ?</t>
  </si>
  <si>
    <t>Barbaro</t>
  </si>
  <si>
    <t>Title Trading</t>
  </si>
  <si>
    <t>Elio</t>
  </si>
  <si>
    <t>TOM BV</t>
  </si>
  <si>
    <t>Toro Investment</t>
  </si>
  <si>
    <t>Tortoise Capital</t>
  </si>
  <si>
    <t>Liberty Street Advisors</t>
  </si>
  <si>
    <t>Reick</t>
  </si>
  <si>
    <t>Tourbillon Capital</t>
  </si>
  <si>
    <t>TOV Corretora</t>
  </si>
  <si>
    <t>Valestan</t>
  </si>
  <si>
    <t>Tower Road</t>
  </si>
  <si>
    <t>Tower Trading</t>
  </si>
  <si>
    <t>TPH Asset</t>
  </si>
  <si>
    <t>TPRV Capital</t>
  </si>
  <si>
    <t>Fantuzzi</t>
  </si>
  <si>
    <t>Track Data</t>
  </si>
  <si>
    <t>Trade Alert</t>
  </si>
  <si>
    <t>TradeBlade</t>
  </si>
  <si>
    <t>TradeHelm</t>
  </si>
  <si>
    <t>Trade Manage</t>
  </si>
  <si>
    <t>Trade Vision</t>
  </si>
  <si>
    <t>Hisanori</t>
  </si>
  <si>
    <t>Tradeware Global</t>
  </si>
  <si>
    <t>Tradewind Financial</t>
  </si>
  <si>
    <t>Trade Works</t>
  </si>
  <si>
    <t>Tokushima</t>
  </si>
  <si>
    <t>TradeYOM</t>
  </si>
  <si>
    <t>Lederman</t>
  </si>
  <si>
    <t>Traditum Darwin</t>
  </si>
  <si>
    <t>Creadon</t>
  </si>
  <si>
    <t>Transaction Audir</t>
  </si>
  <si>
    <t>Dacre-Wright</t>
  </si>
  <si>
    <t>Transcend Capital</t>
  </si>
  <si>
    <t>Denio</t>
  </si>
  <si>
    <t>Traxis Partners</t>
  </si>
  <si>
    <t>Treasury Strategies</t>
  </si>
  <si>
    <t>Carfang</t>
  </si>
  <si>
    <t>Trecento Asset</t>
  </si>
  <si>
    <t>Lhabouz</t>
  </si>
  <si>
    <t>Yousef</t>
  </si>
  <si>
    <t>Trellus Management</t>
  </si>
  <si>
    <t>Scaplen</t>
  </si>
  <si>
    <t>Tremblant Capital</t>
  </si>
  <si>
    <t>Triact Canada</t>
  </si>
  <si>
    <t>Trian Fund</t>
  </si>
  <si>
    <t>Tribeca Global</t>
  </si>
  <si>
    <t>Beder</t>
  </si>
  <si>
    <t>Trinity Alps</t>
  </si>
  <si>
    <t>Siemons</t>
  </si>
  <si>
    <t>ETF Managers</t>
  </si>
  <si>
    <t>Vallario</t>
  </si>
  <si>
    <t>Triple Point</t>
  </si>
  <si>
    <t>Meagan</t>
  </si>
  <si>
    <t>Oni</t>
  </si>
  <si>
    <t>Chukwu</t>
  </si>
  <si>
    <t>Tripleshot LLC</t>
  </si>
  <si>
    <t>Trispan Service</t>
  </si>
  <si>
    <t>Osama</t>
  </si>
  <si>
    <t>Lari</t>
  </si>
  <si>
    <t>Vice President, Senior Principal Product Manager at FactSet</t>
  </si>
  <si>
    <t>Triumph Investment</t>
  </si>
  <si>
    <t>Trivariate Capital</t>
  </si>
  <si>
    <t>Troika Dialog</t>
  </si>
  <si>
    <t>Truck Capital</t>
  </si>
  <si>
    <t>Atha</t>
  </si>
  <si>
    <t>TrueAlpha Ventures</t>
  </si>
  <si>
    <t>Krouglov</t>
  </si>
  <si>
    <t>True Partner</t>
  </si>
  <si>
    <t>Truss Edge</t>
  </si>
  <si>
    <t>Trust Company</t>
  </si>
  <si>
    <t>Jusceline</t>
  </si>
  <si>
    <t>Vice President ? Market Data and IT Procurement</t>
  </si>
  <si>
    <t>CIO (frm RW)</t>
  </si>
  <si>
    <t>Olds</t>
  </si>
  <si>
    <t>American Printing</t>
  </si>
  <si>
    <t>Jim (Jamil)</t>
  </si>
  <si>
    <t>TSE Capital</t>
  </si>
  <si>
    <t>Tufton Oceanic,</t>
  </si>
  <si>
    <t>Tulos capital</t>
  </si>
  <si>
    <t>patrik</t>
  </si>
  <si>
    <t>CFO founder</t>
  </si>
  <si>
    <t>sundberg</t>
  </si>
  <si>
    <t>CIO Quantitative Strategies</t>
  </si>
  <si>
    <t>Landes</t>
  </si>
  <si>
    <t>Miciu</t>
  </si>
  <si>
    <t>Tuscan Ridge</t>
  </si>
  <si>
    <t>Demonte</t>
  </si>
  <si>
    <t>Tuttle Tactical</t>
  </si>
  <si>
    <t>CIO  Trader</t>
  </si>
  <si>
    <t>Vice President of, Global Head of Index &amp; Advisor Solutions</t>
  </si>
  <si>
    <t>Knight Evans</t>
  </si>
  <si>
    <t>Taubenfeld</t>
  </si>
  <si>
    <t>Twitch LLC</t>
  </si>
  <si>
    <t>Vogenthaler</t>
  </si>
  <si>
    <t>Tydall Trading</t>
  </si>
  <si>
    <t>Galant</t>
  </si>
  <si>
    <t>Tyrian Investments</t>
  </si>
  <si>
    <t>Walbridge</t>
  </si>
  <si>
    <t>Tyrus Capital</t>
  </si>
  <si>
    <t>US Trust</t>
  </si>
  <si>
    <t>CIO Banking &amp; Markets</t>
  </si>
  <si>
    <t>CakeDefi</t>
  </si>
  <si>
    <t>Huybrecht</t>
  </si>
  <si>
    <t>UBP</t>
  </si>
  <si>
    <t>COO AM</t>
  </si>
  <si>
    <t>Nicolai de Gorhez</t>
  </si>
  <si>
    <t>UGS Asset</t>
  </si>
  <si>
    <t>Uezu</t>
  </si>
  <si>
    <t>Whittaker</t>
  </si>
  <si>
    <t>UNIGESTION</t>
  </si>
  <si>
    <t>Le Moan</t>
  </si>
  <si>
    <t>CIO Reference Data &amp; Billing</t>
  </si>
  <si>
    <t>Unitelco</t>
  </si>
  <si>
    <t>Vice President - US Contact</t>
  </si>
  <si>
    <t>Kotek</t>
  </si>
  <si>
    <t>Sir Speedy of Plainview</t>
  </si>
  <si>
    <t>Baqueri</t>
  </si>
  <si>
    <t>Global COO &amp; CIO Enterprise Technology</t>
  </si>
  <si>
    <t>UNX LLC</t>
  </si>
  <si>
    <t>Collett</t>
  </si>
  <si>
    <t>Usonian Investments</t>
  </si>
  <si>
    <t>Natsheh</t>
  </si>
  <si>
    <t>USS</t>
  </si>
  <si>
    <t>Ustocktrade</t>
  </si>
  <si>
    <t>Utr8 BV</t>
  </si>
  <si>
    <t>van Amstel</t>
  </si>
  <si>
    <t>Executive Vice President of, National Accounts</t>
  </si>
  <si>
    <t>Valori AM</t>
  </si>
  <si>
    <t>Fabiola</t>
  </si>
  <si>
    <t>Banfi</t>
  </si>
  <si>
    <t>ValueAct Capital</t>
  </si>
  <si>
    <t>Value Partners</t>
  </si>
  <si>
    <t>Deputy CEO Head Of Sales</t>
  </si>
  <si>
    <t>Vandham Securities</t>
  </si>
  <si>
    <t>Acting CIO Consultant</t>
  </si>
  <si>
    <t>Silberstein</t>
  </si>
  <si>
    <t>VanKar Trading</t>
  </si>
  <si>
    <t>van Essen</t>
  </si>
  <si>
    <t>Van Lanschot</t>
  </si>
  <si>
    <t>Shelley</t>
  </si>
  <si>
    <t>Variable Investment</t>
  </si>
  <si>
    <t>CIO Asset Management</t>
  </si>
  <si>
    <t>Vega Investment</t>
  </si>
  <si>
    <t>Velanne Asset</t>
  </si>
  <si>
    <t>Venovate Marketplace</t>
  </si>
  <si>
    <t>Kat</t>
  </si>
  <si>
    <t>Vermillion Asset</t>
  </si>
  <si>
    <t>Chek</t>
  </si>
  <si>
    <t>Vernier Capital</t>
  </si>
  <si>
    <t>Versus Capital</t>
  </si>
  <si>
    <t>Vestmark Inc</t>
  </si>
  <si>
    <t>Lunny</t>
  </si>
  <si>
    <t>Victory Networks</t>
  </si>
  <si>
    <t>Victory Park</t>
  </si>
  <si>
    <t>Viet Capital</t>
  </si>
  <si>
    <t>Viewforth Investment</t>
  </si>
  <si>
    <t>Turland</t>
  </si>
  <si>
    <t>View Trade</t>
  </si>
  <si>
    <t>de Vries</t>
  </si>
  <si>
    <t>VIII Eight</t>
  </si>
  <si>
    <t>Baljeet</t>
  </si>
  <si>
    <t>Kaliravna</t>
  </si>
  <si>
    <t>CFO/Compliance</t>
  </si>
  <si>
    <t>Mcintosh</t>
  </si>
  <si>
    <t>Viking Global</t>
  </si>
  <si>
    <t>Village Capital</t>
  </si>
  <si>
    <t>Takamatsu</t>
  </si>
  <si>
    <t>Vinik Asset</t>
  </si>
  <si>
    <t>Sprofera</t>
  </si>
  <si>
    <t>Virage Capital</t>
  </si>
  <si>
    <t>Niki</t>
  </si>
  <si>
    <t>Visio Fund</t>
  </si>
  <si>
    <t>Ulrike</t>
  </si>
  <si>
    <t>Engling</t>
  </si>
  <si>
    <t>Visium Asset</t>
  </si>
  <si>
    <t>Vitalogy Capital</t>
  </si>
  <si>
    <t>Vivaldi Capital</t>
  </si>
  <si>
    <t>Eisenberg</t>
  </si>
  <si>
    <t>Vivienne Court</t>
  </si>
  <si>
    <t>Pot</t>
  </si>
  <si>
    <t>Vivienne Investissement</t>
  </si>
  <si>
    <t>Vltava Fund</t>
  </si>
  <si>
    <t>Gladis</t>
  </si>
  <si>
    <t>Voce Capital</t>
  </si>
  <si>
    <t>COO  CFO  CCO</t>
  </si>
  <si>
    <t>Ishkander</t>
  </si>
  <si>
    <t>VolantTrading</t>
  </si>
  <si>
    <t>Voleon Capital</t>
  </si>
  <si>
    <t>Lubman</t>
  </si>
  <si>
    <t>Chief Executive Hong Kong Branch, Country Executive Greater China</t>
  </si>
  <si>
    <t>Ganchev</t>
  </si>
  <si>
    <t>Cooley</t>
  </si>
  <si>
    <t>Adaptable Tools</t>
  </si>
  <si>
    <t>Mulder</t>
  </si>
  <si>
    <t>Vice President, Head of Communications &amp; Marketing</t>
  </si>
  <si>
    <t>Adhesion Wealth</t>
  </si>
  <si>
    <t>Ayers</t>
  </si>
  <si>
    <t>Senior Vice President, Chief Information Officer</t>
  </si>
  <si>
    <t>AGE Crypto Asset Investment Funds</t>
  </si>
  <si>
    <t>Vice President, Strategic Technology Initiatives</t>
  </si>
  <si>
    <t>Bohr</t>
  </si>
  <si>
    <t>Chief Investment Officer (CIO) and Chief Strategy Officer (CSO) at ALLIANZ SOLUCIONES DE INVERSION</t>
  </si>
  <si>
    <t>Hurtado</t>
  </si>
  <si>
    <t>ALTARKEYS FOOD TRADING CO (Fresha)</t>
  </si>
  <si>
    <t>Alsufiani</t>
  </si>
  <si>
    <t>Waldorf Group</t>
  </si>
  <si>
    <t>Tarle</t>
  </si>
  <si>
    <t>Walker Smith</t>
  </si>
  <si>
    <t>Worsham</t>
  </si>
  <si>
    <t>Ervin</t>
  </si>
  <si>
    <t>ARB GROUP</t>
  </si>
  <si>
    <t>Kansal</t>
  </si>
  <si>
    <t>Board Member &gt; Trading</t>
  </si>
  <si>
    <t>Senior Vice President - Derivatives Portfolio Specialist &amp; Business Development</t>
  </si>
  <si>
    <t>Founder, CIO, President</t>
  </si>
  <si>
    <t>Hadlock</t>
  </si>
  <si>
    <t>CIO - Chief Information Officer</t>
  </si>
  <si>
    <t>Nardoni</t>
  </si>
  <si>
    <t>Fayola</t>
  </si>
  <si>
    <t>Lezama</t>
  </si>
  <si>
    <t>Savvas</t>
  </si>
  <si>
    <t>Savvinidis</t>
  </si>
  <si>
    <t>Water Island</t>
  </si>
  <si>
    <t>Vice President, Application Developer</t>
  </si>
  <si>
    <t>Waverton Investment</t>
  </si>
  <si>
    <t>Credit Sanctioner - Vice President</t>
  </si>
  <si>
    <t>WealthArc</t>
  </si>
  <si>
    <t>Gogol</t>
  </si>
  <si>
    <t>Head of Credit Control Division - First Vice President</t>
  </si>
  <si>
    <t>Grittani,CQF</t>
  </si>
  <si>
    <t>Webull Financial</t>
  </si>
  <si>
    <t>Blockchain.com</t>
  </si>
  <si>
    <t>Weiser Asset</t>
  </si>
  <si>
    <t>Vice President-Equity Finance Trader</t>
  </si>
  <si>
    <t>Huntington Trust</t>
  </si>
  <si>
    <t>Westbeck Capital</t>
  </si>
  <si>
    <t>Vice President Strategic Programs &amp; Campaigns</t>
  </si>
  <si>
    <t>Bindra</t>
  </si>
  <si>
    <t>Boston Energy Trading and Marketing</t>
  </si>
  <si>
    <t>Almeidha</t>
  </si>
  <si>
    <t>Boyd Watterson Asset Management</t>
  </si>
  <si>
    <t>Vice President - Origination</t>
  </si>
  <si>
    <t>Guastella</t>
  </si>
  <si>
    <t>Vice President, Head of Sales Americas</t>
  </si>
  <si>
    <t>Miglionico</t>
  </si>
  <si>
    <t>Wexford Capital</t>
  </si>
  <si>
    <t>Domenichelli</t>
  </si>
  <si>
    <t>President - Private Equity</t>
  </si>
  <si>
    <t>Whale Rock</t>
  </si>
  <si>
    <t>Falahee</t>
  </si>
  <si>
    <t>BOUILLARD</t>
  </si>
  <si>
    <t>Whitebox Advisors</t>
  </si>
  <si>
    <t>Muqu</t>
  </si>
  <si>
    <t>Vice President, Corporate Communications</t>
  </si>
  <si>
    <t>Compton</t>
  </si>
  <si>
    <t>WHV Investment</t>
  </si>
  <si>
    <t>Chief Operating Officer (COO), Counterparty Strategy</t>
  </si>
  <si>
    <t>Ali Muddassar</t>
  </si>
  <si>
    <t>Farooqi, FCCA, AFA</t>
  </si>
  <si>
    <t>President Brokerage Services</t>
  </si>
  <si>
    <t>Assistant Vice President and Senior Analyst, Compliance Surveillance</t>
  </si>
  <si>
    <t>Ehret</t>
  </si>
  <si>
    <t>Cognitive Numerical Investment LLC</t>
  </si>
  <si>
    <t>CEO, Owner</t>
  </si>
  <si>
    <t>Martemianov</t>
  </si>
  <si>
    <t>Winona Capital</t>
  </si>
  <si>
    <t>Torshen</t>
  </si>
  <si>
    <t>Comerica Bank</t>
  </si>
  <si>
    <t>Senior Vice President, Credit Risk Applications and ALLL / CECL Manager</t>
  </si>
  <si>
    <t>Comet Trading SA</t>
  </si>
  <si>
    <t>Akiki</t>
  </si>
  <si>
    <t>Contango Markets Ltd</t>
  </si>
  <si>
    <t>Marine</t>
  </si>
  <si>
    <t>COO - Business Manager Global Market</t>
  </si>
  <si>
    <t>Homberg Flesselle</t>
  </si>
  <si>
    <t>Nicholas P.</t>
  </si>
  <si>
    <t>Vice President, Fund Financing Credit</t>
  </si>
  <si>
    <t>Yeung, CAIA</t>
  </si>
  <si>
    <t>Kingswood</t>
  </si>
  <si>
    <t>Dalio Family Office</t>
  </si>
  <si>
    <t>Lessing</t>
  </si>
  <si>
    <t>Wm Smith</t>
  </si>
  <si>
    <t>Poelma</t>
  </si>
  <si>
    <t>Malat</t>
  </si>
  <si>
    <t>Senior Manager, Advisory Alliances Chief Operating Officer</t>
  </si>
  <si>
    <t>Rodriguez Lopez</t>
  </si>
  <si>
    <t>Vice President - Functional Analyst/Application Development Manager</t>
  </si>
  <si>
    <t>Asken</t>
  </si>
  <si>
    <t>Woodson Capital</t>
  </si>
  <si>
    <t>Jephthah</t>
  </si>
  <si>
    <t>Dais</t>
  </si>
  <si>
    <t>Deputy COO, EMEA</t>
  </si>
  <si>
    <t>Mazin</t>
  </si>
  <si>
    <t>Founder &amp; CIO</t>
  </si>
  <si>
    <t>Vice President Marketing Communications</t>
  </si>
  <si>
    <t>Alicea</t>
  </si>
  <si>
    <t>Stirling</t>
  </si>
  <si>
    <t>Chief Strategy Officer / Member of the Executive Board</t>
  </si>
  <si>
    <t>Graulich</t>
  </si>
  <si>
    <t>Chief Operating Officer, Member of the Executive Board</t>
  </si>
  <si>
    <t>Janka</t>
  </si>
  <si>
    <t>Wullschleger Martinenghi</t>
  </si>
  <si>
    <t>Stefani</t>
  </si>
  <si>
    <t>Crisafulli</t>
  </si>
  <si>
    <t>Prinsloo</t>
  </si>
  <si>
    <t>XConnect Trading</t>
  </si>
  <si>
    <t>Xeqos Ltd</t>
  </si>
  <si>
    <t>Sbastien</t>
  </si>
  <si>
    <t>Global CIO and Deputy COO</t>
  </si>
  <si>
    <t>Morre</t>
  </si>
  <si>
    <t>Yarra Square</t>
  </si>
  <si>
    <t>Yaupon Capital</t>
  </si>
  <si>
    <t>Burkley</t>
  </si>
  <si>
    <t>YG Partners</t>
  </si>
  <si>
    <t>Yield Curve</t>
  </si>
  <si>
    <t>Sadr</t>
  </si>
  <si>
    <t>York Business</t>
  </si>
  <si>
    <t>Semler</t>
  </si>
  <si>
    <t>President of York not CEO</t>
  </si>
  <si>
    <t>Yorkville Advisors</t>
  </si>
  <si>
    <t>Yulan Capital</t>
  </si>
  <si>
    <t>Hyacinth</t>
  </si>
  <si>
    <t>Yunqi Capital</t>
  </si>
  <si>
    <t>Littmann</t>
  </si>
  <si>
    <t>ZAG Trader</t>
  </si>
  <si>
    <t>ZAIS Group</t>
  </si>
  <si>
    <t>Szymanski</t>
  </si>
  <si>
    <t>Zanbato ATS</t>
  </si>
  <si>
    <t>Zeal Asset</t>
  </si>
  <si>
    <t>Hilda</t>
  </si>
  <si>
    <t>Zebedee Capital</t>
  </si>
  <si>
    <t>Zebra Capital</t>
  </si>
  <si>
    <t>Chairman CIO &amp; Partner</t>
  </si>
  <si>
    <t>G. Ibbotson Ph.D.</t>
  </si>
  <si>
    <t>COO_ Director of Risk</t>
  </si>
  <si>
    <t>Vice President, Head of Digital Assets Compliance, Global Markets</t>
  </si>
  <si>
    <t>Tyrrell</t>
  </si>
  <si>
    <t>Zenyatta Capital</t>
  </si>
  <si>
    <t>Faircloth</t>
  </si>
  <si>
    <t>ZeroBeta Inc</t>
  </si>
  <si>
    <t>Varuna</t>
  </si>
  <si>
    <t>Wijesundera</t>
  </si>
  <si>
    <t>Zest SA</t>
  </si>
  <si>
    <t>Guagni</t>
  </si>
  <si>
    <t>Zevenbergen Capital</t>
  </si>
  <si>
    <t>Pressman</t>
  </si>
  <si>
    <t>ztl payment</t>
  </si>
  <si>
    <t>Gulbrandsen</t>
  </si>
  <si>
    <t>Zurcher Kantonalbank</t>
  </si>
  <si>
    <t>Haag</t>
  </si>
  <si>
    <t>ZweigDimenna Associates</t>
  </si>
  <si>
    <t>G-III Apparel Group</t>
  </si>
  <si>
    <t>Vice President of eCommerce</t>
  </si>
  <si>
    <t>Schachter</t>
  </si>
  <si>
    <t>DeKorne</t>
  </si>
  <si>
    <t>Vice President of, Etf &amp; Sma Specialist</t>
  </si>
  <si>
    <t>Vice President of  Senior Portfolio Associate</t>
  </si>
  <si>
    <t>Bouzakis</t>
  </si>
  <si>
    <t>Global Trends Investments</t>
  </si>
  <si>
    <t>Lydon</t>
  </si>
  <si>
    <t>COO Co-Founder</t>
  </si>
  <si>
    <t>CEO, CIO &amp; Portfolio manager</t>
  </si>
  <si>
    <t>Timerman</t>
  </si>
  <si>
    <t>Starwood Capital Group</t>
  </si>
  <si>
    <t>Bilz, CAIA</t>
  </si>
  <si>
    <t>Vice President of   Global Clients Division</t>
  </si>
  <si>
    <t>Jardosh</t>
  </si>
  <si>
    <t>Precision BioSciences, Inc.</t>
  </si>
  <si>
    <t>Chief of Staff to the CEO</t>
  </si>
  <si>
    <t>Vice President, Principal Analyst</t>
  </si>
  <si>
    <t>CIO MD</t>
  </si>
  <si>
    <t>Roy A.</t>
  </si>
  <si>
    <t>Vice President Global Technology Infrastructure</t>
  </si>
  <si>
    <t>Dimitar</t>
  </si>
  <si>
    <t>Management Director/Chief Investment Officer</t>
  </si>
  <si>
    <t>Hristov</t>
  </si>
  <si>
    <t>Alejo</t>
  </si>
  <si>
    <t>Orvaanos</t>
  </si>
  <si>
    <t>1875 Finance</t>
  </si>
  <si>
    <t>Senior Vice President and CIO, Global Technology &amp; Enterprise Platform</t>
  </si>
  <si>
    <t>Waypoint Capital</t>
  </si>
  <si>
    <t>Calabretta</t>
  </si>
  <si>
    <t>Chief Information Officer, Scotiabank US</t>
  </si>
  <si>
    <t>Vice President of, I Shares Institutional Bond Etf Team</t>
  </si>
  <si>
    <t>Dealflow Solutions Ltd.</t>
  </si>
  <si>
    <t>Zerbs</t>
  </si>
  <si>
    <t>Mert</t>
  </si>
  <si>
    <t>Erdo?mu?</t>
  </si>
  <si>
    <t>Vice President. Senior Investment Analyst</t>
  </si>
  <si>
    <t>Easley</t>
  </si>
  <si>
    <t>Onramp Invest</t>
  </si>
  <si>
    <t>Webs Creek</t>
  </si>
  <si>
    <t>Lusmary</t>
  </si>
  <si>
    <t>Interbolsa Futures</t>
  </si>
  <si>
    <t>COO Financial Markets</t>
  </si>
  <si>
    <t>ENACHE</t>
  </si>
  <si>
    <t>Vice President, Software Engineer: Cloud Enablement</t>
  </si>
  <si>
    <t>Fishler</t>
  </si>
  <si>
    <t>10</t>
  </si>
  <si>
    <t>Cognatio Solutions</t>
  </si>
  <si>
    <t>Simons</t>
  </si>
  <si>
    <t>ACG Advisors (UK) LLP</t>
  </si>
  <si>
    <t>Minichiello</t>
  </si>
  <si>
    <t>Monahas</t>
  </si>
  <si>
    <t>Arne Skundberg (cc for Invoicing)</t>
  </si>
  <si>
    <t>Uhar</t>
  </si>
  <si>
    <t>Head of Front-Office Technology for Fixed Income Rates &amp; Credit Flow Trading Desks, Vice-President</t>
  </si>
  <si>
    <t>Loison</t>
  </si>
  <si>
    <t>GWM COO Head Trading Platforms</t>
  </si>
  <si>
    <t>Andenmatten</t>
  </si>
  <si>
    <t>BIG SCALE Investment Management</t>
  </si>
  <si>
    <t>COO Global Electronic Trading Technology &amp; Head of CEEMEA Technology</t>
  </si>
  <si>
    <t>BCV</t>
  </si>
  <si>
    <t>Georgandas</t>
  </si>
  <si>
    <t>Jari</t>
  </si>
  <si>
    <t>Birendra</t>
  </si>
  <si>
    <t>networkgray</t>
  </si>
  <si>
    <t>UK CIO &amp; UK Head of Technology and Operations for Fixed Income, Credit &amp; Currencies</t>
  </si>
  <si>
    <t>Mcdowell</t>
  </si>
  <si>
    <t>Galinov</t>
  </si>
  <si>
    <t>Boren</t>
  </si>
  <si>
    <t>Greenwich Quant Research</t>
  </si>
  <si>
    <t>Whetstone Capital</t>
  </si>
  <si>
    <t>Partner / COO / CCO</t>
  </si>
  <si>
    <t>President - North America</t>
  </si>
  <si>
    <t>KKM Financial</t>
  </si>
  <si>
    <t>Kilburg</t>
  </si>
  <si>
    <t>Managing Director, CIO Markets Technology</t>
  </si>
  <si>
    <t>Havlicek</t>
  </si>
  <si>
    <t>Built To Evolve</t>
  </si>
  <si>
    <t>Founder &amp; CEO; Performance Advisor</t>
  </si>
  <si>
    <t>Cucchissi</t>
  </si>
  <si>
    <t>Hessam</t>
  </si>
  <si>
    <t>Chief Information Officer, Information Services</t>
  </si>
  <si>
    <t>Khoshnevisan</t>
  </si>
  <si>
    <t>Whitefort Capital</t>
  </si>
  <si>
    <t>Shaham</t>
  </si>
  <si>
    <t>Caeicola Capital</t>
  </si>
  <si>
    <t>Jure</t>
  </si>
  <si>
    <t>CEO, CIO</t>
  </si>
  <si>
    <t>Brumen</t>
  </si>
  <si>
    <t>Sustainable Capital Finance</t>
  </si>
  <si>
    <t>Varner</t>
  </si>
  <si>
    <t>Jagarlamudi</t>
  </si>
  <si>
    <t>Hodges Hays</t>
  </si>
  <si>
    <t>Sidewalk Labs</t>
  </si>
  <si>
    <t>Doctoroff</t>
  </si>
  <si>
    <t>CIO Diversified Funds</t>
  </si>
  <si>
    <t>Project and Operations Lead, CEO Office</t>
  </si>
  <si>
    <t>Clifford Capital</t>
  </si>
  <si>
    <t>Vice President of, Etf Strategist</t>
  </si>
  <si>
    <t>Clarency</t>
  </si>
  <si>
    <t>Blower</t>
  </si>
  <si>
    <t>Douglas M.</t>
  </si>
  <si>
    <t>Chief Information Officer, Executive VP and Director</t>
  </si>
  <si>
    <t>Schafer, Jr.</t>
  </si>
  <si>
    <t>Chief Investment Officer Founding Partner</t>
  </si>
  <si>
    <t>Bratton</t>
  </si>
  <si>
    <t>Naytasha</t>
  </si>
  <si>
    <t>Vice President, Product Manager - Retail FX &amp; International Payments</t>
  </si>
  <si>
    <t>Fletcher, MBA, CSPO</t>
  </si>
  <si>
    <t>Herman Global Ventures</t>
  </si>
  <si>
    <t>Fouad</t>
  </si>
  <si>
    <t>El Berkani</t>
  </si>
  <si>
    <t>Vice President [ Head of  North America futures prod support ]</t>
  </si>
  <si>
    <t>Amourdedieu</t>
  </si>
  <si>
    <t>Senior Vice President, Exchange Traded Derivatives</t>
  </si>
  <si>
    <t>Deputy Chairman of the Board</t>
  </si>
  <si>
    <t>Soerensen</t>
  </si>
  <si>
    <t>Chairman of the Board of Directors</t>
  </si>
  <si>
    <t>Creutz</t>
  </si>
  <si>
    <t>Sujay</t>
  </si>
  <si>
    <t>CIO - Agency Execution</t>
  </si>
  <si>
    <t>Telang</t>
  </si>
  <si>
    <t>Zwift</t>
  </si>
  <si>
    <t>Zooper World, Inc.</t>
  </si>
  <si>
    <t>Child</t>
  </si>
  <si>
    <t>Chief Technology Officer + Executive Vice President</t>
  </si>
  <si>
    <t>Timmeny</t>
  </si>
  <si>
    <t>Yaron</t>
  </si>
  <si>
    <t>ZETRIXWEB INFOTECH LLP</t>
  </si>
  <si>
    <t>Janakkumar</t>
  </si>
  <si>
    <t>Zenithar</t>
  </si>
  <si>
    <t>Milleer</t>
  </si>
  <si>
    <t>Yale New Haven Hospital</t>
  </si>
  <si>
    <t>Member Board Of Trustees</t>
  </si>
  <si>
    <t>van</t>
  </si>
  <si>
    <t>XMG Inc</t>
  </si>
  <si>
    <t>Xenoss</t>
  </si>
  <si>
    <t>Sverdlik</t>
  </si>
  <si>
    <t>X4 Group</t>
  </si>
  <si>
    <t>dupe_Peter</t>
  </si>
  <si>
    <t>dupe_Rabey</t>
  </si>
  <si>
    <t>WPP</t>
  </si>
  <si>
    <t>Chief Information Officer (Hogarth/SpecComs)</t>
  </si>
  <si>
    <t>Mangos</t>
  </si>
  <si>
    <t>Worksite Strategy Group</t>
  </si>
  <si>
    <t>Colrick</t>
  </si>
  <si>
    <t>Workgut Services</t>
  </si>
  <si>
    <t>Razzaq</t>
  </si>
  <si>
    <t>Wolf Pond Creative LLC</t>
  </si>
  <si>
    <t>Wipro</t>
  </si>
  <si>
    <t>Winvesta</t>
  </si>
  <si>
    <t>WeSoftYou</t>
  </si>
  <si>
    <t>Maksym</t>
  </si>
  <si>
    <t>Petruk</t>
  </si>
  <si>
    <t>Wenzhou Brilliant Vision Co., Ltd</t>
  </si>
  <si>
    <t>Wenban Advisers Inc.</t>
  </si>
  <si>
    <t>Wenban</t>
  </si>
  <si>
    <t>EVP (Executive Vice President), Head of Strategy, Digital &amp; Innovation Risk</t>
  </si>
  <si>
    <t>Vice President Head of Regulatory Operations</t>
  </si>
  <si>
    <t>Hobdy</t>
  </si>
  <si>
    <t>WCKD RZR</t>
  </si>
  <si>
    <t>Waalaxy</t>
  </si>
  <si>
    <t>G.</t>
  </si>
  <si>
    <t>Co-Founder @ COO</t>
  </si>
  <si>
    <t>Portalier</t>
  </si>
  <si>
    <t>Wrtsil</t>
  </si>
  <si>
    <t>Hanna-Maria</t>
  </si>
  <si>
    <t>Vice President, Investor Relations</t>
  </si>
  <si>
    <t>Heikkinen</t>
  </si>
  <si>
    <t>Erminio</t>
  </si>
  <si>
    <t>Executive Managing Director &amp; CEO</t>
  </si>
  <si>
    <t>Lucci</t>
  </si>
  <si>
    <t>Vola Dynamics LLC</t>
  </si>
  <si>
    <t>VOIP Networks</t>
  </si>
  <si>
    <t>Pigliacelli</t>
  </si>
  <si>
    <t>Vivid Edge Media Group</t>
  </si>
  <si>
    <t>Pakman</t>
  </si>
  <si>
    <t>Vitol Inc.</t>
  </si>
  <si>
    <t>Bulk</t>
  </si>
  <si>
    <t>Virtual PA London</t>
  </si>
  <si>
    <t>VioletX</t>
  </si>
  <si>
    <t>Fulton</t>
  </si>
  <si>
    <t>Vinter</t>
  </si>
  <si>
    <t>Chief Data Officer &amp; Senior Vice President</t>
  </si>
  <si>
    <t>Vergo</t>
  </si>
  <si>
    <t>Veraxis</t>
  </si>
  <si>
    <t>Davinder</t>
  </si>
  <si>
    <t>VegaMX Inc.</t>
  </si>
  <si>
    <t>VastSolutionsGroup.com</t>
  </si>
  <si>
    <t>Nathanael</t>
  </si>
  <si>
    <t>Various Companies</t>
  </si>
  <si>
    <t>Board Member; Chairman; Entrepreneur/co-founder, Professional Author &amp; Consultant (Technology; PE)</t>
  </si>
  <si>
    <t>Nwogugu</t>
  </si>
  <si>
    <t>Gurumurthy</t>
  </si>
  <si>
    <t>Vallum Associates Limited</t>
  </si>
  <si>
    <t>UserWay</t>
  </si>
  <si>
    <t>Kopel</t>
  </si>
  <si>
    <t>US Tech Solutions</t>
  </si>
  <si>
    <t>Upwell Finance LLC</t>
  </si>
  <si>
    <t>Babs</t>
  </si>
  <si>
    <t>Odunsi</t>
  </si>
  <si>
    <t>UPS</t>
  </si>
  <si>
    <t>Vice President Flight Operations &amp; Safety</t>
  </si>
  <si>
    <t>Upper90</t>
  </si>
  <si>
    <t>Managing Partner / CEO</t>
  </si>
  <si>
    <t>UNO Corporation</t>
  </si>
  <si>
    <t>Vice President | Business Development | Recruiting Manager | Account Manager</t>
  </si>
  <si>
    <t>Dass</t>
  </si>
  <si>
    <t>Uniphore</t>
  </si>
  <si>
    <t>Union Savings Bank - CT</t>
  </si>
  <si>
    <t>Certoma</t>
  </si>
  <si>
    <t>Jingle</t>
  </si>
  <si>
    <t>Chief Digital &amp; Information Officer</t>
  </si>
  <si>
    <t>UK Health Security Agency</t>
  </si>
  <si>
    <t>Wheelwright</t>
  </si>
  <si>
    <t>Senior Vice President - Wealth Management</t>
  </si>
  <si>
    <t>TXG Limited</t>
  </si>
  <si>
    <t>Rundell</t>
  </si>
  <si>
    <t>TS Imagine</t>
  </si>
  <si>
    <t>dupe_Abdul</t>
  </si>
  <si>
    <t>dupe_Hannan</t>
  </si>
  <si>
    <t>TruckPay Inc</t>
  </si>
  <si>
    <t>Honig</t>
  </si>
  <si>
    <t>Bowie-Britton</t>
  </si>
  <si>
    <t>TreasurySpring</t>
  </si>
  <si>
    <t>Co-founder, CEO</t>
  </si>
  <si>
    <t>Transact Campus Inc</t>
  </si>
  <si>
    <t>dupe_Pritesh</t>
  </si>
  <si>
    <t>dupe_Badiani</t>
  </si>
  <si>
    <t>TorreBlanc</t>
  </si>
  <si>
    <t>Aguilera</t>
  </si>
  <si>
    <t>Toni Lontis Enterprises</t>
  </si>
  <si>
    <t>Lontis</t>
  </si>
  <si>
    <t>TickSmith</t>
  </si>
  <si>
    <t>Founder &amp; Chairman</t>
  </si>
  <si>
    <t>Third Summit</t>
  </si>
  <si>
    <t>Moola</t>
  </si>
  <si>
    <t>The Pace Centre</t>
  </si>
  <si>
    <t>Sansbury</t>
  </si>
  <si>
    <t>The Culture Practice</t>
  </si>
  <si>
    <t>The Asset Management Services Group</t>
  </si>
  <si>
    <t>Texas Capital Bank</t>
  </si>
  <si>
    <t>Lowary</t>
  </si>
  <si>
    <t>Knape</t>
  </si>
  <si>
    <t>Teravision Technologies</t>
  </si>
  <si>
    <t>Vice President, Chief of Success</t>
  </si>
  <si>
    <t>TeneNicolePR</t>
  </si>
  <si>
    <t>Nikkia</t>
  </si>
  <si>
    <t>Tellus Products, LLC</t>
  </si>
  <si>
    <t>Asem</t>
  </si>
  <si>
    <t>Mokaddem</t>
  </si>
  <si>
    <t>Techsoftor</t>
  </si>
  <si>
    <t>Er.</t>
  </si>
  <si>
    <t>Techno Exponent</t>
  </si>
  <si>
    <t>TECEZE</t>
  </si>
  <si>
    <t>Thinesh</t>
  </si>
  <si>
    <t>Tabula Investment Management</t>
  </si>
  <si>
    <t>Systemart LLC</t>
  </si>
  <si>
    <t>System Fresh Consulting</t>
  </si>
  <si>
    <t>SysQuo Innovation Private Limited</t>
  </si>
  <si>
    <t>Chief Strategic Product Planner | Chief Technology Officer</t>
  </si>
  <si>
    <t>SyncFab</t>
  </si>
  <si>
    <t>CEO - Partner US D.O.E. Clean Energy Smart Manufacturing Innovation (CESMI)</t>
  </si>
  <si>
    <t>Vasyl</t>
  </si>
  <si>
    <t>Sunshine Profits</t>
  </si>
  <si>
    <t>CEO, Editor-in-Chief</t>
  </si>
  <si>
    <t>Sumitomo Chemical</t>
  </si>
  <si>
    <t>Subaio</t>
  </si>
  <si>
    <t>Sturm International</t>
  </si>
  <si>
    <t>Consultant to CEO</t>
  </si>
  <si>
    <t>Juskin</t>
  </si>
  <si>
    <t>SturdyBridge Consulting</t>
  </si>
  <si>
    <t>Teyssonniere</t>
  </si>
  <si>
    <t>Striim</t>
  </si>
  <si>
    <t>Vice President / General Manager - Striim EMEA</t>
  </si>
  <si>
    <t>Strategic Growth Consulting</t>
  </si>
  <si>
    <t>Storm-7 Consulting Limited</t>
  </si>
  <si>
    <t>Co-Founder, COO and Operational Director</t>
  </si>
  <si>
    <t>Zepeda</t>
  </si>
  <si>
    <t>Storm2</t>
  </si>
  <si>
    <t>STOPit Solutions</t>
  </si>
  <si>
    <t>JaiPrakash</t>
  </si>
  <si>
    <t>Pandu</t>
  </si>
  <si>
    <t>StockPick</t>
  </si>
  <si>
    <t>Scharver</t>
  </si>
  <si>
    <t>Stasher</t>
  </si>
  <si>
    <t>Wedderburn-Day</t>
  </si>
  <si>
    <t>President, Global Markets</t>
  </si>
  <si>
    <t>dupe_Kalyana</t>
  </si>
  <si>
    <t>Vice President, Technology Delivery (CCIB Client Coverage, Lending)</t>
  </si>
  <si>
    <t>dupe_Chakravarthy</t>
  </si>
  <si>
    <t>Vice President - Data Strategy and Reporting</t>
  </si>
  <si>
    <t>Senior Vice President &amp; Global Head - Client LifeCycle Management Operations</t>
  </si>
  <si>
    <t>Paidichetty</t>
  </si>
  <si>
    <t>Vice President, Financial Markets Group</t>
  </si>
  <si>
    <t>Callihan</t>
  </si>
  <si>
    <t>Spacious</t>
  </si>
  <si>
    <t>Sommsation</t>
  </si>
  <si>
    <t>Hagner</t>
  </si>
  <si>
    <t>SoluLab Inc</t>
  </si>
  <si>
    <t>Sole Stop Media</t>
  </si>
  <si>
    <t>Vice President Sales Marketing</t>
  </si>
  <si>
    <t>Lenord</t>
  </si>
  <si>
    <t>Socratic Consultancy</t>
  </si>
  <si>
    <t>Amod</t>
  </si>
  <si>
    <t>Vice President - Talent Acquisition</t>
  </si>
  <si>
    <t>SMArtX Advisory Solutions</t>
  </si>
  <si>
    <t>SmartTick Software Inc.</t>
  </si>
  <si>
    <t>Stowe</t>
  </si>
  <si>
    <t>Skylight IPV Limited</t>
  </si>
  <si>
    <t>Single family office</t>
  </si>
  <si>
    <t>SimplyNice Marketing</t>
  </si>
  <si>
    <t>Simply Organic Beauty</t>
  </si>
  <si>
    <t>SilverMaple.io</t>
  </si>
  <si>
    <t>SilkRoaD</t>
  </si>
  <si>
    <t>Utsumi</t>
  </si>
  <si>
    <t>Duru</t>
  </si>
  <si>
    <t>Shooting Star</t>
  </si>
  <si>
    <t>Shake Shack</t>
  </si>
  <si>
    <t>Fogertey</t>
  </si>
  <si>
    <t>Shabodi</t>
  </si>
  <si>
    <t>Investor / Board Observer</t>
  </si>
  <si>
    <t>Carmel</t>
  </si>
  <si>
    <t>Sernova Financial</t>
  </si>
  <si>
    <t>Executive Chairman and Co-Founder</t>
  </si>
  <si>
    <t>SeoTuners</t>
  </si>
  <si>
    <t>Weilert</t>
  </si>
  <si>
    <t>Bechdol</t>
  </si>
  <si>
    <t>Shivani</t>
  </si>
  <si>
    <t>Selective Search</t>
  </si>
  <si>
    <t>Vice President, Client Relations</t>
  </si>
  <si>
    <t>(Rutishauser)</t>
  </si>
  <si>
    <t>Selective Promo Technology</t>
  </si>
  <si>
    <t>Lakhan</t>
  </si>
  <si>
    <t>Security Traders Association</t>
  </si>
  <si>
    <t>Toes</t>
  </si>
  <si>
    <t>CFO - SVP Finance</t>
  </si>
  <si>
    <t>Brina</t>
  </si>
  <si>
    <t>Director  Strategic Initiatives  Global Finance, Office of the CFO for Scotia Capital Inc.</t>
  </si>
  <si>
    <t>Kotchoubei</t>
  </si>
  <si>
    <t>Attempting the impossible - CEO designate - audax</t>
  </si>
  <si>
    <t>Chief Executive Officer, UK</t>
  </si>
  <si>
    <t>Jesney</t>
  </si>
  <si>
    <t>SALT</t>
  </si>
  <si>
    <t>Scaramucci</t>
  </si>
  <si>
    <t>Saifr</t>
  </si>
  <si>
    <t>dupe_Vallaix</t>
  </si>
  <si>
    <t>CEO and Co-founder</t>
  </si>
  <si>
    <t>dupe_Hrard</t>
  </si>
  <si>
    <t>Saggezza</t>
  </si>
  <si>
    <t>Valsang</t>
  </si>
  <si>
    <t>SageView Advisory Group</t>
  </si>
  <si>
    <t>Bernal</t>
  </si>
  <si>
    <t>Sabio Holdings Inc. (TSXV: SBIO)</t>
  </si>
  <si>
    <t>Premji</t>
  </si>
  <si>
    <t>Vice President Customer Service</t>
  </si>
  <si>
    <t>de Rover</t>
  </si>
  <si>
    <t>Runey &amp; Associates Wealth Management</t>
  </si>
  <si>
    <t>Runey</t>
  </si>
  <si>
    <t>Robert Half Management Resources</t>
  </si>
  <si>
    <t>Assistant Vice President, Client Solutions</t>
  </si>
  <si>
    <t>Riskalyze</t>
  </si>
  <si>
    <t>Earnshaw</t>
  </si>
  <si>
    <t>Tinne</t>
  </si>
  <si>
    <t>Teugels</t>
  </si>
  <si>
    <t>Revolution Populi</t>
  </si>
  <si>
    <t>Revantage</t>
  </si>
  <si>
    <t>President and Chief Executive Officer, Global Head</t>
  </si>
  <si>
    <t>Requestum</t>
  </si>
  <si>
    <t>Butyrin</t>
  </si>
  <si>
    <t>Samira</t>
  </si>
  <si>
    <t>RecruitBot</t>
  </si>
  <si>
    <t>Recorded Future</t>
  </si>
  <si>
    <t>Chief Executive Officer/Co-Founder</t>
  </si>
  <si>
    <t>Ralabs</t>
  </si>
  <si>
    <t>CFO / Head of Finance</t>
  </si>
  <si>
    <t>Chief Operating Officer Wholesale &amp; Rural at Rabobank Group</t>
  </si>
  <si>
    <t>CEO of Rabo Securities/Head of Markets North America</t>
  </si>
  <si>
    <t>Assistant Vice President - Portfolio Management</t>
  </si>
  <si>
    <t>R&amp;K Partners</t>
  </si>
  <si>
    <t>Quinlan &amp; Associates</t>
  </si>
  <si>
    <t>CEO &amp; Managing Partner</t>
  </si>
  <si>
    <t>QuestDB</t>
  </si>
  <si>
    <t>Co-Founder, Chief Technology Officer</t>
  </si>
  <si>
    <t>Ilyushchenko</t>
  </si>
  <si>
    <t>Quantinuum</t>
  </si>
  <si>
    <t>Japan CEO &amp; Representative Director</t>
  </si>
  <si>
    <t>Kekke</t>
  </si>
  <si>
    <t>Q5 Infotech</t>
  </si>
  <si>
    <t>Prodigy Associates - http://prodigyfirst.com</t>
  </si>
  <si>
    <t>Bokul</t>
  </si>
  <si>
    <t>Bhuiya</t>
  </si>
  <si>
    <t>Private Companies</t>
  </si>
  <si>
    <t>Kulbir</t>
  </si>
  <si>
    <t>Senior CIO/CTO Advisor and Advisory Board Member</t>
  </si>
  <si>
    <t>Primary Portal</t>
  </si>
  <si>
    <t>Prestidge Group - Personal Branding &amp; PR</t>
  </si>
  <si>
    <t>Prestidge</t>
  </si>
  <si>
    <t>Prairie Payments Joint Venture</t>
  </si>
  <si>
    <t>Police &amp; Fire Federal Credit Union</t>
  </si>
  <si>
    <t>Nanssia</t>
  </si>
  <si>
    <t>Chief Operating Officer for Technology</t>
  </si>
  <si>
    <t>Fragoudaki</t>
  </si>
  <si>
    <t>Plenish Finance</t>
  </si>
  <si>
    <t>Sormeh</t>
  </si>
  <si>
    <t>Founder/CEO</t>
  </si>
  <si>
    <t>Shadbakht</t>
  </si>
  <si>
    <t>Planet Arborist</t>
  </si>
  <si>
    <t>Creaton</t>
  </si>
  <si>
    <t>Vice President / Execution Services - Middle Office</t>
  </si>
  <si>
    <t>Perimeter 81</t>
  </si>
  <si>
    <t>Bareket</t>
  </si>
  <si>
    <t>PathForce Technologies</t>
  </si>
  <si>
    <t>Partner, Chief Technology Officer (CTO) and Member of the Global Executive Board</t>
  </si>
  <si>
    <t>Schnidrig</t>
  </si>
  <si>
    <t>Parris Group, Inc.</t>
  </si>
  <si>
    <t>Tonya</t>
  </si>
  <si>
    <t>Paix Spencer Limited</t>
  </si>
  <si>
    <t>Olabamidele</t>
  </si>
  <si>
    <t>Packet Dynamics, LLC</t>
  </si>
  <si>
    <t>OYO</t>
  </si>
  <si>
    <t>Mathuria</t>
  </si>
  <si>
    <t>OutFlow</t>
  </si>
  <si>
    <t>Raveen</t>
  </si>
  <si>
    <t>Co-Chief Operating Officer</t>
  </si>
  <si>
    <t>Onkho</t>
  </si>
  <si>
    <t>Emanur</t>
  </si>
  <si>
    <t>Office Freedom</t>
  </si>
  <si>
    <t>Soffer</t>
  </si>
  <si>
    <t>Ocean Bank</t>
  </si>
  <si>
    <t>Sarit</t>
  </si>
  <si>
    <t>Vice President - Enterprise Risk Manager</t>
  </si>
  <si>
    <t>Nykredit</t>
  </si>
  <si>
    <t>Group CIO &amp; member of the Executive Committee</t>
  </si>
  <si>
    <t>NTree International</t>
  </si>
  <si>
    <t>Chief Operating Officer  Revenue Growth | Platform Design | Restructuring | Finance | Compliance</t>
  </si>
  <si>
    <t>Tirodkar</t>
  </si>
  <si>
    <t>n-Tier Financial Services</t>
  </si>
  <si>
    <t>Rabjohn</t>
  </si>
  <si>
    <t>Nozomi Infotech Ltd.</t>
  </si>
  <si>
    <t>Founder President &amp; CEO</t>
  </si>
  <si>
    <t>Vice President - Cloud and DevOps Engineering</t>
  </si>
  <si>
    <t>Norhurst, Inc.</t>
  </si>
  <si>
    <t>dupe_Arvid</t>
  </si>
  <si>
    <t>dupe_Krnmark</t>
  </si>
  <si>
    <t>Pressil</t>
  </si>
  <si>
    <t>Corporate Vice President - Head of Business - Technology Engagement Strategy</t>
  </si>
  <si>
    <t>New Project Media</t>
  </si>
  <si>
    <t>New Gen Guru Pvt Ltd</t>
  </si>
  <si>
    <t>NestEdge</t>
  </si>
  <si>
    <t>Gluck</t>
  </si>
  <si>
    <t>Neptune Networks Ltd.</t>
  </si>
  <si>
    <t>Carreno</t>
  </si>
  <si>
    <t>Jugal</t>
  </si>
  <si>
    <t>Reza</t>
  </si>
  <si>
    <t>Executive Director, COO &amp; IT Strategy and Governance</t>
  </si>
  <si>
    <t>Hemendra</t>
  </si>
  <si>
    <t>Vice President, Business Analyst, Market Risk IT</t>
  </si>
  <si>
    <t>Napier AI</t>
  </si>
  <si>
    <t>Chief Operating Officer and Board Member</t>
  </si>
  <si>
    <t>MV</t>
  </si>
  <si>
    <t>multiply.ai</t>
  </si>
  <si>
    <t>Cofounder and CEO</t>
  </si>
  <si>
    <t>Madlani</t>
  </si>
  <si>
    <t>Technical Vice President Regulatory and Risk Reporting Data Governance</t>
  </si>
  <si>
    <t>Vetere</t>
  </si>
  <si>
    <t>Flyn</t>
  </si>
  <si>
    <t>MTO Financial Services</t>
  </si>
  <si>
    <t>Showell</t>
  </si>
  <si>
    <t>MorganMayfair</t>
  </si>
  <si>
    <t>CEO, EMEA and Asia-Pacific</t>
  </si>
  <si>
    <t>von</t>
  </si>
  <si>
    <t>Harithan</t>
  </si>
  <si>
    <t>Vice President - Investment Management ESG Technology</t>
  </si>
  <si>
    <t>Ashraphijuo</t>
  </si>
  <si>
    <t>dupe_Ana</t>
  </si>
  <si>
    <t>Vice President - Enterprise Risk And Governance</t>
  </si>
  <si>
    <t>dupe_Berezner</t>
  </si>
  <si>
    <t>Senior Vice President, Head of Risk Analytics and Reporting, Operational Risk Management</t>
  </si>
  <si>
    <t>Managing Director, Distribution &amp; Media Solutions/President Acquire Media LLC &amp; UK LTD</t>
  </si>
  <si>
    <t>Salk</t>
  </si>
  <si>
    <t>Mnemo.ai</t>
  </si>
  <si>
    <t>Hanrahan</t>
  </si>
  <si>
    <t>Mesprosoft</t>
  </si>
  <si>
    <t>Machani</t>
  </si>
  <si>
    <t>MedSec</t>
  </si>
  <si>
    <t>Beaudin</t>
  </si>
  <si>
    <t>Maximum Effort Holdings</t>
  </si>
  <si>
    <t>dupe_Christopher</t>
  </si>
  <si>
    <t>dupe_Blum</t>
  </si>
  <si>
    <t>Vice President of Engineering, Investment Banking</t>
  </si>
  <si>
    <t>Kanchibhatta</t>
  </si>
  <si>
    <t>Max Life Insurance Company Limited</t>
  </si>
  <si>
    <t>Vice President - Head of Quality Engineering &amp; Intelligent Automation</t>
  </si>
  <si>
    <t>Senior Vice President - Energy, Power &amp; Renewables</t>
  </si>
  <si>
    <t>Piliego</t>
  </si>
  <si>
    <t>Marketvibes.net</t>
  </si>
  <si>
    <t>dupe_Anthony</t>
  </si>
  <si>
    <t>Vice President / Senior Managing Director - Global Wealth and Asset Management Technology</t>
  </si>
  <si>
    <t>ManekTech</t>
  </si>
  <si>
    <t>Devubha</t>
  </si>
  <si>
    <t>Director (Senior Vice President), Principal Investments</t>
  </si>
  <si>
    <t>Gujadhur</t>
  </si>
  <si>
    <t>dupe_Jyotish</t>
  </si>
  <si>
    <t>dupe_Ghosal</t>
  </si>
  <si>
    <t>Wahaidi</t>
  </si>
  <si>
    <t>M1</t>
  </si>
  <si>
    <t>Chwick</t>
  </si>
  <si>
    <t>Lutheran Church Extension Fund, LCEF</t>
  </si>
  <si>
    <t>Durkan</t>
  </si>
  <si>
    <t>Senior Vice President | Business Reinvention CoE &amp; Continuous Improvement</t>
  </si>
  <si>
    <t>Chief Operating Officer &amp; Head of Integration</t>
  </si>
  <si>
    <t>Shalders</t>
  </si>
  <si>
    <t>Liquid Meta</t>
  </si>
  <si>
    <t>Opperman</t>
  </si>
  <si>
    <t>Lincoln Financial</t>
  </si>
  <si>
    <t>Vice President, Healthcare</t>
  </si>
  <si>
    <t>"LIMITED LIABILITY COMPANY ""RUFIEGANNEFTEGAZ"" "</t>
  </si>
  <si>
    <t>Shuvalov</t>
  </si>
  <si>
    <t>Nikolaevich</t>
  </si>
  <si>
    <t>CEO &amp; co-founder</t>
  </si>
  <si>
    <t>Frst</t>
  </si>
  <si>
    <t>Avanade</t>
  </si>
  <si>
    <t>LessTests</t>
  </si>
  <si>
    <t>Polachek</t>
  </si>
  <si>
    <t>Lead IT Firm</t>
  </si>
  <si>
    <t>Shihanur</t>
  </si>
  <si>
    <t>Lakestar</t>
  </si>
  <si>
    <t>Investment Partner &amp; Chief Technology Officer</t>
  </si>
  <si>
    <t>Laina Recruitment, Inc.</t>
  </si>
  <si>
    <t>CIO / CISO</t>
  </si>
  <si>
    <t>Kruze</t>
  </si>
  <si>
    <t>Orn</t>
  </si>
  <si>
    <t>Vice President, EMEA</t>
  </si>
  <si>
    <t>Giblin</t>
  </si>
  <si>
    <t>Kissell Research Group</t>
  </si>
  <si>
    <t>Kin + Carta Europe</t>
  </si>
  <si>
    <t>Jules</t>
  </si>
  <si>
    <t>Subah</t>
  </si>
  <si>
    <t>dupe_Sofia</t>
  </si>
  <si>
    <t>dupe_Kotsou</t>
  </si>
  <si>
    <t>Nettey</t>
  </si>
  <si>
    <t>Vice President, CTO Office - Advisor &amp; Investments Technology</t>
  </si>
  <si>
    <t>Aristomene</t>
  </si>
  <si>
    <t>Vice President - Global Custody Services</t>
  </si>
  <si>
    <t>thompson</t>
  </si>
  <si>
    <t>Indrajit</t>
  </si>
  <si>
    <t>Vice President - Application Development</t>
  </si>
  <si>
    <t>Vice President | Senior Architect</t>
  </si>
  <si>
    <t>Vice President, Industrial Services</t>
  </si>
  <si>
    <t>Etten</t>
  </si>
  <si>
    <t>JJCFinTech</t>
  </si>
  <si>
    <t>Jets Provider</t>
  </si>
  <si>
    <t>Jamaica Public Service Company Limited</t>
  </si>
  <si>
    <t>Gantois</t>
  </si>
  <si>
    <t>Vespa</t>
  </si>
  <si>
    <t>ISDA</t>
  </si>
  <si>
    <t>Krens</t>
  </si>
  <si>
    <t>Intuitio Labs</t>
  </si>
  <si>
    <t>Kalina</t>
  </si>
  <si>
    <t>Intimate Details Inc dba Iconique Life</t>
  </si>
  <si>
    <t>Intimate</t>
  </si>
  <si>
    <t>Pinnacle Industries Holdings</t>
  </si>
  <si>
    <t>Interlaken Advisors</t>
  </si>
  <si>
    <t>Intellect Data</t>
  </si>
  <si>
    <t>INSART</t>
  </si>
  <si>
    <t>Soloshchuk</t>
  </si>
  <si>
    <t>Narula</t>
  </si>
  <si>
    <t>Ingram Micro</t>
  </si>
  <si>
    <t>Executive Vice President and Chief Digital Officer</t>
  </si>
  <si>
    <t>Associate Vice President &amp; Client Partner</t>
  </si>
  <si>
    <t>Infostream Technology</t>
  </si>
  <si>
    <t>Inform Your Community</t>
  </si>
  <si>
    <t>Anastacia</t>
  </si>
  <si>
    <t>Kurylo</t>
  </si>
  <si>
    <t>Infinite Computer Solutions</t>
  </si>
  <si>
    <t>Jalen</t>
  </si>
  <si>
    <t>Vice President - Sales, BCM and Manufacturing at Infinite</t>
  </si>
  <si>
    <t>Sannshetty</t>
  </si>
  <si>
    <t>Senior Vice President, Global Corporate &amp; Institutional Bank</t>
  </si>
  <si>
    <t>dupe_Sren</t>
  </si>
  <si>
    <t>President, CEO, Owner  Subject Matter Expert, Business Consultant</t>
  </si>
  <si>
    <t>IMATMI</t>
  </si>
  <si>
    <t>Founder, CEO</t>
  </si>
  <si>
    <t>Iceberg (Cyber Security)</t>
  </si>
  <si>
    <t>Vice President - Corporate Development</t>
  </si>
  <si>
    <t>McEntee</t>
  </si>
  <si>
    <t>Vice President - React/Typescript/Node</t>
  </si>
  <si>
    <t>Samal</t>
  </si>
  <si>
    <t>Hydra Host</t>
  </si>
  <si>
    <t>Dursey</t>
  </si>
  <si>
    <t>HTF Group</t>
  </si>
  <si>
    <t>Kates</t>
  </si>
  <si>
    <t>HQLA</t>
  </si>
  <si>
    <t>Howard Trading Limited</t>
  </si>
  <si>
    <t>Homewood Group</t>
  </si>
  <si>
    <t>High Frequency Trading</t>
  </si>
  <si>
    <t>Vice President &amp; Head, Data Engineering and Research</t>
  </si>
  <si>
    <t>Hepta Software Solutions</t>
  </si>
  <si>
    <t>Harrington Starr</t>
  </si>
  <si>
    <t>Babb</t>
  </si>
  <si>
    <t>Hali Teknoloji</t>
  </si>
  <si>
    <t>Founding Partner / CEO</t>
  </si>
  <si>
    <t>pl</t>
  </si>
  <si>
    <t>GXS</t>
  </si>
  <si>
    <t>MD, Chief Financial Officer, Digibank</t>
  </si>
  <si>
    <t>Partner, Head of CIO (Technology, Data &amp; Digital) Search &amp; Financial Services Industry Lead</t>
  </si>
  <si>
    <t>Manuj</t>
  </si>
  <si>
    <t>Sarpal</t>
  </si>
  <si>
    <t>Grandline Technologies</t>
  </si>
  <si>
    <t>Lianxin</t>
  </si>
  <si>
    <t>Graduation Source/Avanti Systems</t>
  </si>
  <si>
    <t>CIO/COO</t>
  </si>
  <si>
    <t>Vice President, Head of Retail Credit Review</t>
  </si>
  <si>
    <t>Bhandare</t>
  </si>
  <si>
    <t>Gangadat</t>
  </si>
  <si>
    <t>GoDocs</t>
  </si>
  <si>
    <t>Glocomms</t>
  </si>
  <si>
    <t>Agni</t>
  </si>
  <si>
    <t>Doruk</t>
  </si>
  <si>
    <t>Vice President Online Platforms Software Development</t>
  </si>
  <si>
    <t>Kantarcigil</t>
  </si>
  <si>
    <t>Global Technology Solutions</t>
  </si>
  <si>
    <t>Deepankar</t>
  </si>
  <si>
    <t>Global Peer Financing Association (GPFA)</t>
  </si>
  <si>
    <t>Chair Of The Board Of Directors</t>
  </si>
  <si>
    <t>Goobie</t>
  </si>
  <si>
    <t>Global FPO (A unit of VADS Consulting Private Limited)</t>
  </si>
  <si>
    <t>Expert Consultant (CEO- Board Member)</t>
  </si>
  <si>
    <t>Beraldo</t>
  </si>
  <si>
    <t>President/ Sr Technical/ Quantitative/ Strategist Recruiter</t>
  </si>
  <si>
    <t>Front Lines Media</t>
  </si>
  <si>
    <t>Stapper</t>
  </si>
  <si>
    <t>From Old To Bold</t>
  </si>
  <si>
    <t>Joint CEO, COO and Head of Marketing</t>
  </si>
  <si>
    <t>Freetrade Europa AB</t>
  </si>
  <si>
    <t>Torbjrn</t>
  </si>
  <si>
    <t>Aktu?</t>
  </si>
  <si>
    <t>CFO COO CIO; Compliance Officer</t>
  </si>
  <si>
    <t>Alimo?lu</t>
  </si>
  <si>
    <t>Robinson-Duff</t>
  </si>
  <si>
    <t>Financial Services Company</t>
  </si>
  <si>
    <t>Financial Machines</t>
  </si>
  <si>
    <t>Bertani</t>
  </si>
  <si>
    <t>Senior Vice President, Head of Domestic Markets  Markets Group</t>
  </si>
  <si>
    <t>Wuerffel</t>
  </si>
  <si>
    <t>Faster Than Light</t>
  </si>
  <si>
    <t>Yakovenko</t>
  </si>
  <si>
    <t>Fama Technologies Inc.</t>
  </si>
  <si>
    <t>ExeQutionAnalytics</t>
  </si>
  <si>
    <t>Excellent Freelance Outsourcing Company</t>
  </si>
  <si>
    <t>dupe_Sara</t>
  </si>
  <si>
    <t>dupe_Ann</t>
  </si>
  <si>
    <t>Ethos Consulting</t>
  </si>
  <si>
    <t>CEO | Founder</t>
  </si>
  <si>
    <t>Equifax</t>
  </si>
  <si>
    <t>EntTelligence</t>
  </si>
  <si>
    <t>English Discovery</t>
  </si>
  <si>
    <t>Tanmoy</t>
  </si>
  <si>
    <t>CEO of English Dicovery</t>
  </si>
  <si>
    <t>Ahammed</t>
  </si>
  <si>
    <t>Encore</t>
  </si>
  <si>
    <t>Empaxis Data Management, Inc.</t>
  </si>
  <si>
    <t>Sanjeeb</t>
  </si>
  <si>
    <t>Chief Revenue Officer and Member of the Board of Directors</t>
  </si>
  <si>
    <t>Empauwer | AI for Neurodiversity inclusion in the workplace</t>
  </si>
  <si>
    <t>Charania</t>
  </si>
  <si>
    <t>Emergn</t>
  </si>
  <si>
    <t>Martin-Romani</t>
  </si>
  <si>
    <t>ElligencIA</t>
  </si>
  <si>
    <t>ELSA</t>
  </si>
  <si>
    <t>Co-Founder and Chief Executive Officer</t>
  </si>
  <si>
    <t>VANDE</t>
  </si>
  <si>
    <t>Vice President, Senior Base metal sales</t>
  </si>
  <si>
    <t>Ease Tax Solutions (ETS)</t>
  </si>
  <si>
    <t>Charis</t>
  </si>
  <si>
    <t>Founder &amp; Global CEO</t>
  </si>
  <si>
    <t>DTSQUARED</t>
  </si>
  <si>
    <t>Co-Founder - Board Director</t>
  </si>
  <si>
    <t>Dream Exchange</t>
  </si>
  <si>
    <t>Wiegers</t>
  </si>
  <si>
    <t>DiversyFund, Inc.</t>
  </si>
  <si>
    <t>Cecilio</t>
  </si>
  <si>
    <t>Distinguished Search</t>
  </si>
  <si>
    <t>Somer</t>
  </si>
  <si>
    <t>Hackley</t>
  </si>
  <si>
    <t>Disent</t>
  </si>
  <si>
    <t>Malizzio</t>
  </si>
  <si>
    <t>DiligenceVault</t>
  </si>
  <si>
    <t>Zimberg</t>
  </si>
  <si>
    <t>Chief Executive - Digital Isle of Man Executive Agency</t>
  </si>
  <si>
    <t>Wraxall</t>
  </si>
  <si>
    <t>Destination Imagination</t>
  </si>
  <si>
    <t>Lerman</t>
  </si>
  <si>
    <t>Deployed</t>
  </si>
  <si>
    <t>CEO &amp; Co Founder</t>
  </si>
  <si>
    <t>Decimal</t>
  </si>
  <si>
    <t>Data Gallery LLC</t>
  </si>
  <si>
    <t>Lukasiak</t>
  </si>
  <si>
    <t>Dare</t>
  </si>
  <si>
    <t>Currensea</t>
  </si>
  <si>
    <t>Co-Founder / Co-CEO</t>
  </si>
  <si>
    <t>C-Suite IMPACT</t>
  </si>
  <si>
    <t>CrossTower</t>
  </si>
  <si>
    <t>Boggiano</t>
  </si>
  <si>
    <t>Maung</t>
  </si>
  <si>
    <t>Vice President, Corporate Derivative Sales</t>
  </si>
  <si>
    <t>Allerton</t>
  </si>
  <si>
    <t>President, Global Capital Markets</t>
  </si>
  <si>
    <t>Columbia Technology</t>
  </si>
  <si>
    <t>Vitiello</t>
  </si>
  <si>
    <t>McClean</t>
  </si>
  <si>
    <t>Senior Vice President and Global Chief Procurement Officer</t>
  </si>
  <si>
    <t>Coach Caroline Doyle</t>
  </si>
  <si>
    <t>President and Coach of Coach Caroline Doyle Inc.</t>
  </si>
  <si>
    <t>cmorq</t>
  </si>
  <si>
    <t>Azari</t>
  </si>
  <si>
    <t>Cloud Vision Technologies</t>
  </si>
  <si>
    <t>Solutions Architect - President</t>
  </si>
  <si>
    <t>Elsayed</t>
  </si>
  <si>
    <t>Claro Money</t>
  </si>
  <si>
    <t>City CV Ltd</t>
  </si>
  <si>
    <t>Vice President at COO Group</t>
  </si>
  <si>
    <t>Orlandi</t>
  </si>
  <si>
    <t>Director / Senior Vice President</t>
  </si>
  <si>
    <t>Vajpayee</t>
  </si>
  <si>
    <t>WMR Capital</t>
  </si>
  <si>
    <t>Catizone</t>
  </si>
  <si>
    <t>Managing Director - Chief Operating Officer</t>
  </si>
  <si>
    <t>Orion Portfolio Solutions</t>
  </si>
  <si>
    <t>Senior Vice President Consulting Services</t>
  </si>
  <si>
    <t>Manta</t>
  </si>
  <si>
    <t>Gooley</t>
  </si>
  <si>
    <t>Cervin Blanc</t>
  </si>
  <si>
    <t>Sherjeel</t>
  </si>
  <si>
    <t>CEIBA HEALTH</t>
  </si>
  <si>
    <t>Cedar Kite Strategies</t>
  </si>
  <si>
    <t>Carnera</t>
  </si>
  <si>
    <t>Azhar</t>
  </si>
  <si>
    <t>Capnote</t>
  </si>
  <si>
    <t>Ikenna</t>
  </si>
  <si>
    <t>Founder &amp; CEO, Capnote</t>
  </si>
  <si>
    <t>Ene</t>
  </si>
  <si>
    <t>Kalra</t>
  </si>
  <si>
    <t>Vice President - Commodities &amp; Logistics</t>
  </si>
  <si>
    <t>Troderman</t>
  </si>
  <si>
    <t>Bragit</t>
  </si>
  <si>
    <t>Sasneh</t>
  </si>
  <si>
    <t>Bouge ta Boite</t>
  </si>
  <si>
    <t>Kinneret Group</t>
  </si>
  <si>
    <t>Laakko</t>
  </si>
  <si>
    <t>dupe_Benjamin</t>
  </si>
  <si>
    <t>Vice President - PS&amp;F Product Development</t>
  </si>
  <si>
    <t>dupe_Blankenship</t>
  </si>
  <si>
    <t>dupe_Vitor</t>
  </si>
  <si>
    <t>dupe_Frana</t>
  </si>
  <si>
    <t>Vice President, Delta One Trading (ETF &amp; Index Products)</t>
  </si>
  <si>
    <t>Shnaidman</t>
  </si>
  <si>
    <t>Batts</t>
  </si>
  <si>
    <t>BlueCrest Recovery Center</t>
  </si>
  <si>
    <t>Hession</t>
  </si>
  <si>
    <t>Blue Sky Thinking</t>
  </si>
  <si>
    <t>Founder | Board Advisor | GTM | Product Advisory | Capital Raising | M&amp;A</t>
  </si>
  <si>
    <t>Chief Executive Officer/President</t>
  </si>
  <si>
    <t>Division CFO | Core Products</t>
  </si>
  <si>
    <t>Blockchain-Ads</t>
  </si>
  <si>
    <t>Chejkov</t>
  </si>
  <si>
    <t>Blockchain Incubator Lab</t>
  </si>
  <si>
    <t>Andonis</t>
  </si>
  <si>
    <t>Sakatis</t>
  </si>
  <si>
    <t>Best WP Developer</t>
  </si>
  <si>
    <t>Tariqul</t>
  </si>
  <si>
    <t>Mikail</t>
  </si>
  <si>
    <t>BCC Group International</t>
  </si>
  <si>
    <t>Bierds</t>
  </si>
  <si>
    <t>BCB Group</t>
  </si>
  <si>
    <t>Crook</t>
  </si>
  <si>
    <t>Battea</t>
  </si>
  <si>
    <t>Vice President, Senior Innovation Product Manager</t>
  </si>
  <si>
    <t>Vice President - Wealth Management</t>
  </si>
  <si>
    <t>Sindhwani</t>
  </si>
  <si>
    <t>Vice President, Senior Commercial Underwriter</t>
  </si>
  <si>
    <t>Jahanzeb</t>
  </si>
  <si>
    <t>Vice President - Global Banking &amp; Markets</t>
  </si>
  <si>
    <t>Athi</t>
  </si>
  <si>
    <t>Senior Vice President - Chief Operating Officer - Digital Solutions and Automation Service</t>
  </si>
  <si>
    <t>Ciarciello</t>
  </si>
  <si>
    <t>Bajeed</t>
  </si>
  <si>
    <t>CEO  Axis Realty Group</t>
  </si>
  <si>
    <t>Pattan</t>
  </si>
  <si>
    <t>AutoTrieve.com</t>
  </si>
  <si>
    <t>Manista</t>
  </si>
  <si>
    <t>Au Management</t>
  </si>
  <si>
    <t>rni</t>
  </si>
  <si>
    <t>Hauksson</t>
  </si>
  <si>
    <t>Attica Executives Ltd</t>
  </si>
  <si>
    <t>dupe_Dan</t>
  </si>
  <si>
    <t>dupe_White</t>
  </si>
  <si>
    <t>Ambreen</t>
  </si>
  <si>
    <t>EVP, Chief Technology Officer</t>
  </si>
  <si>
    <t>Aspec Scire, Inc.</t>
  </si>
  <si>
    <t>Ashford Creative</t>
  </si>
  <si>
    <t>Delalat</t>
  </si>
  <si>
    <t>ARIUM</t>
  </si>
  <si>
    <t>Stornelli</t>
  </si>
  <si>
    <t>Aristek Systems</t>
  </si>
  <si>
    <t>Tolkachev</t>
  </si>
  <si>
    <t>Prabir</t>
  </si>
  <si>
    <t>dupe_Susan</t>
  </si>
  <si>
    <t>COO of Credit Finance</t>
  </si>
  <si>
    <t>dupe_Burt</t>
  </si>
  <si>
    <t>Aozora Aviation</t>
  </si>
  <si>
    <t>Anthemis Group</t>
  </si>
  <si>
    <t>Vice President - Enterprise Platforms - Sales and Marketing</t>
  </si>
  <si>
    <t>Semegran</t>
  </si>
  <si>
    <t>EVP &amp; Chief Technology Officer</t>
  </si>
  <si>
    <t>Packer</t>
  </si>
  <si>
    <t>AMBITIONX</t>
  </si>
  <si>
    <t>ALPS Leadership</t>
  </si>
  <si>
    <t>CEO &amp; Founder ALPS Leadership - Advanced Leadership Performance Systems, Inc.</t>
  </si>
  <si>
    <t>Vice President, Consulting</t>
  </si>
  <si>
    <t>(Brown)</t>
  </si>
  <si>
    <t>COO - AlphaGrep UK</t>
  </si>
  <si>
    <t>Norskov</t>
  </si>
  <si>
    <t>Alpha Insight</t>
  </si>
  <si>
    <t>CIO - Investment Sciences and Insights</t>
  </si>
  <si>
    <t>Cretu</t>
  </si>
  <si>
    <t>ALFO Deeptech</t>
  </si>
  <si>
    <t>Co-founder and CIO</t>
  </si>
  <si>
    <t>ALEPH ONE</t>
  </si>
  <si>
    <t>Synko</t>
  </si>
  <si>
    <t>Aldermore Bank</t>
  </si>
  <si>
    <t>Chief Technology and Information Officer, Aldermore Group</t>
  </si>
  <si>
    <t>Chief Technology Officer - US</t>
  </si>
  <si>
    <t>Whitear</t>
  </si>
  <si>
    <t>Vice President, Head of Finance - Group Retirement</t>
  </si>
  <si>
    <t>Aharonovich Management Limited</t>
  </si>
  <si>
    <t>Aharonovich</t>
  </si>
  <si>
    <t>adMarketplace</t>
  </si>
  <si>
    <t>ACI Financial Markets Association</t>
  </si>
  <si>
    <t>Accumulate</t>
  </si>
  <si>
    <t>President, Defi Devs</t>
  </si>
  <si>
    <t>Accelex</t>
  </si>
  <si>
    <t>Vialaron</t>
  </si>
  <si>
    <t>21.co</t>
  </si>
  <si>
    <t>Crossinvest SA</t>
  </si>
  <si>
    <t>Vice President Buttonwood Portfolio Management</t>
  </si>
  <si>
    <t>Vice President B&amp;I Advisors</t>
  </si>
  <si>
    <t>Rademacher</t>
  </si>
  <si>
    <t>Rubens</t>
  </si>
  <si>
    <t>Diretor Geral | CEO</t>
  </si>
  <si>
    <t>Hoeing</t>
  </si>
  <si>
    <t>KPS Global</t>
  </si>
  <si>
    <t>Emeric</t>
  </si>
  <si>
    <t>Botar</t>
  </si>
  <si>
    <t>Kemler</t>
  </si>
  <si>
    <t>Woodmont Investment</t>
  </si>
  <si>
    <t>Kopinski</t>
  </si>
  <si>
    <t>Anant</t>
  </si>
  <si>
    <t>Peide</t>
  </si>
  <si>
    <t>CBOE Digital (FKA ErisX)</t>
  </si>
  <si>
    <t>Nemt Platform</t>
  </si>
  <si>
    <t>Founder and COO</t>
  </si>
  <si>
    <t>SYED</t>
  </si>
  <si>
    <t>Betz</t>
  </si>
  <si>
    <t>Chio Garrido</t>
  </si>
  <si>
    <t>10 Star</t>
  </si>
  <si>
    <t>Mazere</t>
  </si>
  <si>
    <t>Cheran</t>
  </si>
  <si>
    <t>Kromer</t>
  </si>
  <si>
    <t>Vice President - Technology Solutions</t>
  </si>
  <si>
    <t>Rieder</t>
  </si>
  <si>
    <t>Lesmes Celorrio Juan</t>
  </si>
  <si>
    <t>CIO Consumer Finance</t>
  </si>
  <si>
    <t>Laug</t>
  </si>
  <si>
    <t>Michael D.</t>
  </si>
  <si>
    <t>Mainwald</t>
  </si>
  <si>
    <t>Tradeview Ltd</t>
  </si>
  <si>
    <t>Sadgrove</t>
  </si>
  <si>
    <t>Public</t>
  </si>
  <si>
    <t>Sikes</t>
  </si>
  <si>
    <t>Leprechaun</t>
  </si>
  <si>
    <t>Boxman</t>
  </si>
  <si>
    <t>Mcgrail</t>
  </si>
  <si>
    <t>DELIVER EXCHANGE LLC</t>
  </si>
  <si>
    <t>Wasif</t>
  </si>
  <si>
    <t>Root</t>
  </si>
  <si>
    <t>COO Fixed Income Trading</t>
  </si>
  <si>
    <t>Moertel</t>
  </si>
  <si>
    <t>Przydrozny</t>
  </si>
  <si>
    <t>Pekelis</t>
  </si>
  <si>
    <t>Gaumont Prat</t>
  </si>
  <si>
    <t>Daviau</t>
  </si>
  <si>
    <t>Djoric</t>
  </si>
  <si>
    <t>Barse</t>
  </si>
  <si>
    <t>Zhechao</t>
  </si>
  <si>
    <t>Cryder Capital</t>
  </si>
  <si>
    <t>Senior Vice President of Business Development</t>
  </si>
  <si>
    <t>Kozak Halloran</t>
  </si>
  <si>
    <t>Chief Information and Technology Officer</t>
  </si>
  <si>
    <t>NG</t>
  </si>
  <si>
    <t>Coeli Asset</t>
  </si>
  <si>
    <t>LSL Partners</t>
  </si>
  <si>
    <t>Vice President of   Hedge Fund Distribution</t>
  </si>
  <si>
    <t>Scott-Kunkel</t>
  </si>
  <si>
    <t>CTO and Executive Vice President</t>
  </si>
  <si>
    <t>Amador</t>
  </si>
  <si>
    <t>Global Payments</t>
  </si>
  <si>
    <t>CIO &amp; Senior EVP</t>
  </si>
  <si>
    <t>Concklin</t>
  </si>
  <si>
    <t>Birenbaum</t>
  </si>
  <si>
    <t>DataBP</t>
  </si>
  <si>
    <t>Schaedel</t>
  </si>
  <si>
    <t>CSO Capital</t>
  </si>
  <si>
    <t>Moskal</t>
  </si>
  <si>
    <t>EVP &amp; CIO - Head of Engineering &amp; Operations</t>
  </si>
  <si>
    <t>Armada ETF Advisors</t>
  </si>
  <si>
    <t>Coghill Capital</t>
  </si>
  <si>
    <t>Coghill</t>
  </si>
  <si>
    <t>Vice President, Fixed Income Trading</t>
  </si>
  <si>
    <t>W Qazi</t>
  </si>
  <si>
    <t>Divita</t>
  </si>
  <si>
    <t>Vice President, Pricing and Funding, Prime Brokerage Business, Global Markets Divison</t>
  </si>
  <si>
    <t>Brisebois, CFA</t>
  </si>
  <si>
    <t>MARCOMBES</t>
  </si>
  <si>
    <t>CTO/CIO</t>
  </si>
  <si>
    <t>Bartlomiej</t>
  </si>
  <si>
    <t>Vice President Development Lead</t>
  </si>
  <si>
    <t>Zawadka</t>
  </si>
  <si>
    <t>Thomas White International LTD</t>
  </si>
  <si>
    <t>NYC Investment Bank</t>
  </si>
  <si>
    <t>Neelima</t>
  </si>
  <si>
    <t>Coppin Collings</t>
  </si>
  <si>
    <t>Akopian</t>
  </si>
  <si>
    <t>Seton Hall University</t>
  </si>
  <si>
    <t>Herrmann, MBA</t>
  </si>
  <si>
    <t>Aliche</t>
  </si>
  <si>
    <t>Lefler</t>
  </si>
  <si>
    <t>Briancon</t>
  </si>
  <si>
    <t>CIO, Director of IT Operations</t>
  </si>
  <si>
    <t>Miras</t>
  </si>
  <si>
    <t>Vice President Financial Futures &amp; Options Technology at Bank of America</t>
  </si>
  <si>
    <t>Global Head, Securities Services Technology / CIO, London</t>
  </si>
  <si>
    <t>Manwaring</t>
  </si>
  <si>
    <t>Vice President Of Product Management</t>
  </si>
  <si>
    <t>CEO, Futu Clearing Inc</t>
  </si>
  <si>
    <t>Dhumane</t>
  </si>
  <si>
    <t>OANDA</t>
  </si>
  <si>
    <t>Vice President, Head of Americas Futures &amp; Options Connectivity and Execution Product</t>
  </si>
  <si>
    <t>Red Deer</t>
  </si>
  <si>
    <t>CTO - Chief Technology Officer</t>
  </si>
  <si>
    <t>Gerbosi</t>
  </si>
  <si>
    <t>Executive Vice Chairman</t>
  </si>
  <si>
    <t>Vice President, Global BCP</t>
  </si>
  <si>
    <t>VCT Technologies, LLC</t>
  </si>
  <si>
    <t>Jaffery</t>
  </si>
  <si>
    <t>Xinthesys</t>
  </si>
  <si>
    <t>Chambers Street Capital Management</t>
  </si>
  <si>
    <t>The Arkin Group LLC</t>
  </si>
  <si>
    <t>Founding Partner &amp; President</t>
  </si>
  <si>
    <t>EVP - Global Chief Investment Officer (SSGA)</t>
  </si>
  <si>
    <t>Heinel</t>
  </si>
  <si>
    <t>CIB CIO AMERICAS</t>
  </si>
  <si>
    <t>Skoczen</t>
  </si>
  <si>
    <t>Watane</t>
  </si>
  <si>
    <t>Aditya Birla Finance Limited</t>
  </si>
  <si>
    <t>Mallya</t>
  </si>
  <si>
    <t>Aimcast</t>
  </si>
  <si>
    <t>Rimland</t>
  </si>
  <si>
    <t>AIRBPO</t>
  </si>
  <si>
    <t>Apolidorio</t>
  </si>
  <si>
    <t>Algorithmic Traders Association</t>
  </si>
  <si>
    <t>Yarsky</t>
  </si>
  <si>
    <t>Laxmikant</t>
  </si>
  <si>
    <t>Amplexd Therapeutics</t>
  </si>
  <si>
    <t>Ansatz Capital</t>
  </si>
  <si>
    <t>Shiyang</t>
  </si>
  <si>
    <t>AP Outsourcing Group</t>
  </si>
  <si>
    <t>Chief Operating Officer &amp; Data Processing Advisory</t>
  </si>
  <si>
    <t>Audiience</t>
  </si>
  <si>
    <t>Emmy</t>
  </si>
  <si>
    <t>Sobieski CFA</t>
  </si>
  <si>
    <t>Senior Vice President, Global Cybersecurity Lead (Cloud, App &amp; Data Security)</t>
  </si>
  <si>
    <t>Agarwaal</t>
  </si>
  <si>
    <t>Bassuk</t>
  </si>
  <si>
    <t>Barigui Asset Management</t>
  </si>
  <si>
    <t>BNF Bank p.l.c.</t>
  </si>
  <si>
    <t>Cutajar</t>
  </si>
  <si>
    <t>Chief Risk and Information Security Officer (CRO/CISO)</t>
  </si>
  <si>
    <t>Alano</t>
  </si>
  <si>
    <t>brain in spa</t>
  </si>
  <si>
    <t>Burst Digital</t>
  </si>
  <si>
    <t>Jaspar</t>
  </si>
  <si>
    <t>Carmichael-Jack</t>
  </si>
  <si>
    <t>Cardknox</t>
  </si>
  <si>
    <t>Senior Vice President of Sales</t>
  </si>
  <si>
    <t>Paley, MBA</t>
  </si>
  <si>
    <t>CDS Global, Inc.</t>
  </si>
  <si>
    <t>Shashvat</t>
  </si>
  <si>
    <t>Senior Vice President, Product &amp; Technology</t>
  </si>
  <si>
    <t>CESSON</t>
  </si>
  <si>
    <t>Cesson</t>
  </si>
  <si>
    <t>CJC Ltd</t>
  </si>
  <si>
    <t>Williams, FIA</t>
  </si>
  <si>
    <t>Cognitive Crypto</t>
  </si>
  <si>
    <t>Matthew M.</t>
  </si>
  <si>
    <t>Cozzolino</t>
  </si>
  <si>
    <t>Vice President | BFS Consulting Lead | Global Growth Markets</t>
  </si>
  <si>
    <t>Meere</t>
  </si>
  <si>
    <t>Cohere Cyber Secure</t>
  </si>
  <si>
    <t>Chairman of the Board of Directors, Chief Executive Officer &amp; President</t>
  </si>
  <si>
    <t>ComicConnect/Metropolis Comics</t>
  </si>
  <si>
    <t>Contigo Capital</t>
  </si>
  <si>
    <t>Credible Digital Security Private Limited</t>
  </si>
  <si>
    <t>Tej Singh</t>
  </si>
  <si>
    <t>CRYPTO EXPO GREECE</t>
  </si>
  <si>
    <t>Ntertilis</t>
  </si>
  <si>
    <t>Wolfskehl</t>
  </si>
  <si>
    <t>Bhanu</t>
  </si>
  <si>
    <t>Immedisetty</t>
  </si>
  <si>
    <t>Digital Monetary Fund</t>
  </si>
  <si>
    <t>Edgytal Fintech Investment Services</t>
  </si>
  <si>
    <t>Dr. Anna</t>
  </si>
  <si>
    <t>Sendriy</t>
  </si>
  <si>
    <t>Vice President, Global Head of Sell Side Partnerships</t>
  </si>
  <si>
    <t>CIO of ENGIE Entreprises &amp; Collectivits and Global Head of Technology for ENGIE B2B Energy Supply</t>
  </si>
  <si>
    <t>Zimero</t>
  </si>
  <si>
    <t>Enrake</t>
  </si>
  <si>
    <t>Sagara</t>
  </si>
  <si>
    <t>Wijetunga</t>
  </si>
  <si>
    <t>Exchange Income Corporation</t>
  </si>
  <si>
    <t>Factors Platform Pte Ltd</t>
  </si>
  <si>
    <t>Zaw</t>
  </si>
  <si>
    <t>CEO and Managing Partner</t>
  </si>
  <si>
    <t>Sailor</t>
  </si>
  <si>
    <t>Flairr Labs</t>
  </si>
  <si>
    <t>Aria - PhD, PMP, CSS</t>
  </si>
  <si>
    <t>FlowChat</t>
  </si>
  <si>
    <t>CEO / Co-Founder</t>
  </si>
  <si>
    <t>Baden</t>
  </si>
  <si>
    <t>foliumpx.com</t>
  </si>
  <si>
    <t>Babry</t>
  </si>
  <si>
    <t>Adballa</t>
  </si>
  <si>
    <t>Senior Business Consultant/Chief Financial Officer</t>
  </si>
  <si>
    <t>Almarzooqi</t>
  </si>
  <si>
    <t>Simic</t>
  </si>
  <si>
    <t>Fundacin 3CIN</t>
  </si>
  <si>
    <t>Sylla John</t>
  </si>
  <si>
    <t>Lerro Taves</t>
  </si>
  <si>
    <t>George C Chambers</t>
  </si>
  <si>
    <t>Get Web Builder</t>
  </si>
  <si>
    <t>GITH</t>
  </si>
  <si>
    <t>COO &amp; Chief Markets Officer</t>
  </si>
  <si>
    <t>Saurav</t>
  </si>
  <si>
    <t>Assistant Vice President - Strategy and Solution at Global FPO</t>
  </si>
  <si>
    <t>GoDay Capital</t>
  </si>
  <si>
    <t>GR33NJAVA DOT COM, LLC</t>
  </si>
  <si>
    <t>Algenaun</t>
  </si>
  <si>
    <t>Benham</t>
  </si>
  <si>
    <t>Chief Technology Officer and Information Risk for Consumer &amp; Community Banking</t>
  </si>
  <si>
    <t>Graphicsnext</t>
  </si>
  <si>
    <t>RH</t>
  </si>
  <si>
    <t>Rokib</t>
  </si>
  <si>
    <t>GREEN BYTE WEB PVT LTD</t>
  </si>
  <si>
    <t>Green Resources</t>
  </si>
  <si>
    <t>Dhayatker</t>
  </si>
  <si>
    <t>Humble Technology</t>
  </si>
  <si>
    <t>Hypernix Sdn Bhd</t>
  </si>
  <si>
    <t>CEO Hypernix Sdn Bhd</t>
  </si>
  <si>
    <t>Influence Podium</t>
  </si>
  <si>
    <t>Marti</t>
  </si>
  <si>
    <t>InfoNoesisLtd</t>
  </si>
  <si>
    <t>Chief Information Technology Officer</t>
  </si>
  <si>
    <t>Antikatzidis CITP MBCS</t>
  </si>
  <si>
    <t>Informed Technology Business Solutions LLC</t>
  </si>
  <si>
    <t>Shalandra</t>
  </si>
  <si>
    <t>Israel Securities Authority</t>
  </si>
  <si>
    <t>Chief Information Officer - CIO</t>
  </si>
  <si>
    <t>Hershcovitz</t>
  </si>
  <si>
    <t>J.H Tech</t>
  </si>
  <si>
    <t>Samina</t>
  </si>
  <si>
    <t>Jonathan Flaks Coaching Associates, Inc.</t>
  </si>
  <si>
    <t>President / Leadership Coach</t>
  </si>
  <si>
    <t>Flaks</t>
  </si>
  <si>
    <t>Lapetitepaire</t>
  </si>
  <si>
    <t>Cherchab</t>
  </si>
  <si>
    <t>Layer One</t>
  </si>
  <si>
    <t>Perfetuo</t>
  </si>
  <si>
    <t>Shuvalov Sergey</t>
  </si>
  <si>
    <t>Linon Iv International Ltd</t>
  </si>
  <si>
    <t>Nuton</t>
  </si>
  <si>
    <t>Lomix Technologies</t>
  </si>
  <si>
    <t>Loyalty Alliance, Inc.</t>
  </si>
  <si>
    <t>Marketing, Sales and Business Development Consultant</t>
  </si>
  <si>
    <t>M.C.A. Consulting Services - President/CEO, Independent Consultant</t>
  </si>
  <si>
    <t>Amplo</t>
  </si>
  <si>
    <t>Basab</t>
  </si>
  <si>
    <t>Pranat</t>
  </si>
  <si>
    <t>CIO Europe, Global Head of FIC &amp; Risk Technology</t>
  </si>
  <si>
    <t>Executive VIce President, Head of Technology</t>
  </si>
  <si>
    <t>Marootian</t>
  </si>
  <si>
    <t>Vice President (Engineering Lead for Interest Rates Trading Platform)</t>
  </si>
  <si>
    <t>Neuroblastoma UK</t>
  </si>
  <si>
    <t>Advisor to The Board - Digital</t>
  </si>
  <si>
    <t>Hilmar</t>
  </si>
  <si>
    <t>Off Madison Ave</t>
  </si>
  <si>
    <t>Troncale</t>
  </si>
  <si>
    <t>Mahnoor</t>
  </si>
  <si>
    <t>Paradiso LMS</t>
  </si>
  <si>
    <t>Patriot Bank, N.A.</t>
  </si>
  <si>
    <t>EVP and CIO</t>
  </si>
  <si>
    <t>Grunblatt, CBSM</t>
  </si>
  <si>
    <t>Paydit: Automated Debt Negotiation</t>
  </si>
  <si>
    <t>Founder/President</t>
  </si>
  <si>
    <t>Pratasenia</t>
  </si>
  <si>
    <t>Peaccce</t>
  </si>
  <si>
    <t>PIFOR</t>
  </si>
  <si>
    <t>Makris</t>
  </si>
  <si>
    <t>Plum Tree Consulting LLC</t>
  </si>
  <si>
    <t>Zwetchkenbaum</t>
  </si>
  <si>
    <t>Dusan</t>
  </si>
  <si>
    <t>proarea.com</t>
  </si>
  <si>
    <t>Aksonenko</t>
  </si>
  <si>
    <t>Quest CE</t>
  </si>
  <si>
    <t>Chairman &amp; Owner</t>
  </si>
  <si>
    <t>Krenke</t>
  </si>
  <si>
    <t>RightDirection Technology Solutions, LLC</t>
  </si>
  <si>
    <t>RightWork</t>
  </si>
  <si>
    <t>Roc Nation</t>
  </si>
  <si>
    <t>Co-Founder &amp; President at ARRIVE, a Roc Nation company</t>
  </si>
  <si>
    <t>Sirni</t>
  </si>
  <si>
    <t>Rondeivu</t>
  </si>
  <si>
    <t>Khanahmadi</t>
  </si>
  <si>
    <t>Royce Brook Media</t>
  </si>
  <si>
    <t>Sporn</t>
  </si>
  <si>
    <t>RueOne Investments</t>
  </si>
  <si>
    <t>RunningAlpha.com Capital Markets</t>
  </si>
  <si>
    <t>Efrem</t>
  </si>
  <si>
    <t>Vallaix</t>
  </si>
  <si>
    <t>Hrard</t>
  </si>
  <si>
    <t>Sattrix Information Security</t>
  </si>
  <si>
    <t>Sachhin</t>
  </si>
  <si>
    <t>Group CEO &amp; Founder</t>
  </si>
  <si>
    <t>GAJJAER</t>
  </si>
  <si>
    <t>Saudi Tadawul Group Holding</t>
  </si>
  <si>
    <t>Abdulrahman</t>
  </si>
  <si>
    <t>Chief of Information Technology at Saudi Tadawul Group</t>
  </si>
  <si>
    <t>AlMushayqih</t>
  </si>
  <si>
    <t>SDLC</t>
  </si>
  <si>
    <t>Mehraj</t>
  </si>
  <si>
    <t>Jukan</t>
  </si>
  <si>
    <t>Shannon Talbot Coaching &amp; Consulting</t>
  </si>
  <si>
    <t>CEO &amp; Founder | Corporate Wellness Consultant | Performance Coach | Speaker | Author</t>
  </si>
  <si>
    <t>dupe_Coach</t>
  </si>
  <si>
    <t>dupe_Duru</t>
  </si>
  <si>
    <t>SME Bank</t>
  </si>
  <si>
    <t>Monck</t>
  </si>
  <si>
    <t>SocialJack</t>
  </si>
  <si>
    <t>Triazine Software Pvt. Ltd.</t>
  </si>
  <si>
    <t>Stake</t>
  </si>
  <si>
    <t>Larish</t>
  </si>
  <si>
    <t>dupe_Nielsen</t>
  </si>
  <si>
    <t>Owner / Founder / CEO</t>
  </si>
  <si>
    <t>Swastika Investmart Limited</t>
  </si>
  <si>
    <t>Nyati</t>
  </si>
  <si>
    <t>Founder and CEO - Business Management Consultant</t>
  </si>
  <si>
    <t>Abdul-Karim</t>
  </si>
  <si>
    <t>Er. Sanjay</t>
  </si>
  <si>
    <t>Teleglobal International</t>
  </si>
  <si>
    <t>KAMLESH</t>
  </si>
  <si>
    <t>The B2B Link</t>
  </si>
  <si>
    <t>The CFO Center Limited</t>
  </si>
  <si>
    <t>Regional Director - The CFO Center</t>
  </si>
  <si>
    <t>Walerstein</t>
  </si>
  <si>
    <t>The Minimal LLC</t>
  </si>
  <si>
    <t>Trofymov</t>
  </si>
  <si>
    <t>Group Chief Executive Officer (CEO)</t>
  </si>
  <si>
    <t>Magan</t>
  </si>
  <si>
    <t>Troubleshooter</t>
  </si>
  <si>
    <t>Tyler Capital</t>
  </si>
  <si>
    <t>CEO at Tyler Capital</t>
  </si>
  <si>
    <t>Bushore</t>
  </si>
  <si>
    <t>Typeqast</t>
  </si>
  <si>
    <t>Meijerink</t>
  </si>
  <si>
    <t>Tyzoom Digital</t>
  </si>
  <si>
    <t>Ambika</t>
  </si>
  <si>
    <t>UK Bond Co.</t>
  </si>
  <si>
    <t>Chief Executive Officer (CEO)</t>
  </si>
  <si>
    <t>PMO leader - Vice President</t>
  </si>
  <si>
    <t>Al-Zain (PMP, Price2 Practitioner, ITIL)</t>
  </si>
  <si>
    <t>Vistage International</t>
  </si>
  <si>
    <t>Vistage Master Chair | CEO Peer Advisory Group Facilitator | CEO Advisor | Growth Consultant</t>
  </si>
  <si>
    <t>Levitt</t>
  </si>
  <si>
    <t>VNDIRECT Securities Corporation</t>
  </si>
  <si>
    <t>Quyet</t>
  </si>
  <si>
    <t>Watchroom</t>
  </si>
  <si>
    <t>Co-Founder President</t>
  </si>
  <si>
    <t>Mohammad Junaid</t>
  </si>
  <si>
    <t>Kunjar</t>
  </si>
  <si>
    <t>WorkSocial | Shared Office Space | Enterprise Coworking (TM)</t>
  </si>
  <si>
    <t>Rabey</t>
  </si>
  <si>
    <t>Xpats. Live Borderless</t>
  </si>
  <si>
    <t>Monturiol</t>
  </si>
  <si>
    <t>Yeda - Technology Transfer Company of Weizmann Institute of Science</t>
  </si>
  <si>
    <t>Huberman</t>
  </si>
  <si>
    <t>Skalabrin</t>
  </si>
  <si>
    <t>Zenfinex</t>
  </si>
  <si>
    <t>Scanz Technolgies</t>
  </si>
  <si>
    <t>Touizer</t>
  </si>
  <si>
    <t>Rapeport</t>
  </si>
  <si>
    <t>Crowell</t>
  </si>
  <si>
    <t>Miami Holdings</t>
  </si>
  <si>
    <t>Senior IT (CIO)</t>
  </si>
  <si>
    <t>Giegerich</t>
  </si>
  <si>
    <t>Jarl</t>
  </si>
  <si>
    <t>Smidt-Olsen</t>
  </si>
  <si>
    <t>Bodinger</t>
  </si>
  <si>
    <t>Bolaji</t>
  </si>
  <si>
    <t>CFO of Brands - Kenmore &amp; Diehard at Transformco</t>
  </si>
  <si>
    <t>Milam</t>
  </si>
  <si>
    <t>Ovenden</t>
  </si>
  <si>
    <t>Custable</t>
  </si>
  <si>
    <t>CEO &amp; Head of CIB, Nordic Region</t>
  </si>
  <si>
    <t>Luming</t>
  </si>
  <si>
    <t>Assistant COO</t>
  </si>
  <si>
    <t>Colchester Global</t>
  </si>
  <si>
    <t>J. Fox</t>
  </si>
  <si>
    <t>Swaak</t>
  </si>
  <si>
    <t>Adalian</t>
  </si>
  <si>
    <t>J. Wood Capital Advisors LLC</t>
  </si>
  <si>
    <t>Rialto Markets</t>
  </si>
  <si>
    <t>de Bruyn</t>
  </si>
  <si>
    <t>Joint Head of Commodities, Head of Equity Derivatives, Head of Futures &amp; Clearing, CIO Asia Pacific</t>
  </si>
  <si>
    <t>Vice Chairman Board Directors</t>
  </si>
  <si>
    <t>Genc</t>
  </si>
  <si>
    <t>Chavi</t>
  </si>
  <si>
    <t>MANAGING DIRECTOR- Global FX Product Manager - Chief Operating Officer (COO)</t>
  </si>
  <si>
    <t>Baker ??? ? ?</t>
  </si>
  <si>
    <t>Senior Vice President, Tribe lead for Markets Analytics Platform, Head of Markets Quants CoE ? LC&amp;I</t>
  </si>
  <si>
    <t>Scavenius</t>
  </si>
  <si>
    <t>VP IT-PAAS (Platform as a Service),S.R.E, DevOps, Core Banking/Databases, ITSM, CIO Office, Tech PMO</t>
  </si>
  <si>
    <t>Chief Information Officer, ING Americas</t>
  </si>
  <si>
    <t>Houben</t>
  </si>
  <si>
    <t>Ayobami</t>
  </si>
  <si>
    <t>Alabi</t>
  </si>
  <si>
    <t>CIO UBank &amp; Enabling Units</t>
  </si>
  <si>
    <t>CIO, Koncerndirekt??r</t>
  </si>
  <si>
    <t>Tj??rntved Davidsen</t>
  </si>
  <si>
    <t>Ben M'Barek</t>
  </si>
  <si>
    <t>CIO Luxembourg and Head of IT Asset Servicing</t>
  </si>
  <si>
    <t>Haslund</t>
  </si>
  <si>
    <t>CIO I Chief Information Officer</t>
  </si>
  <si>
    <t>Galho</t>
  </si>
  <si>
    <t>Global COO &amp; Head of Product, ForexClear</t>
  </si>
  <si>
    <t>Varde Partners</t>
  </si>
  <si>
    <t>Albee</t>
  </si>
  <si>
    <t>Gentzel</t>
  </si>
  <si>
    <t>SMD-  Head of Macquarie Asset Management Technology and Macquarie Group Americas CIO</t>
  </si>
  <si>
    <t>Coleman Street</t>
  </si>
  <si>
    <t>Tridentetf</t>
  </si>
  <si>
    <t>Sudipta</t>
  </si>
  <si>
    <t>Bandyopadhyaya</t>
  </si>
  <si>
    <t>Vice President N.A</t>
  </si>
  <si>
    <t>Partner/CEO</t>
  </si>
  <si>
    <t>Lorenzen</t>
  </si>
  <si>
    <t>Collaboration Capital</t>
  </si>
  <si>
    <t>Elaoufi</t>
  </si>
  <si>
    <t>Lawin</t>
  </si>
  <si>
    <t>Vice President (Global QA Project Manager for Client Connectivity)</t>
  </si>
  <si>
    <t>Collabroative Financial</t>
  </si>
  <si>
    <t>Partner - CIO</t>
  </si>
  <si>
    <t>CEO of The RFQ-hub Consortium</t>
  </si>
  <si>
    <t>Pettorsson</t>
  </si>
  <si>
    <t>Associate Vice President, Market Data</t>
  </si>
  <si>
    <t>President and Managing Partner</t>
  </si>
  <si>
    <t>Sheftic, MBA</t>
  </si>
  <si>
    <t>Vice President, Software Development Manager</t>
  </si>
  <si>
    <t>SVP/Group Head, Product and Engineering (Employer Services Business Unit)Senior Vice President/Group Head, Product and Engineering (Employer Services Business Unit)</t>
  </si>
  <si>
    <t>Mudduluri</t>
  </si>
  <si>
    <t>DePalma</t>
  </si>
  <si>
    <t>COO/CRO  AB India</t>
  </si>
  <si>
    <t>CEO BMO Financial</t>
  </si>
  <si>
    <t>Downe</t>
  </si>
  <si>
    <t>Vice President, Client Connectivity</t>
  </si>
  <si>
    <t>Hallac</t>
  </si>
  <si>
    <t>CIO North Americas</t>
  </si>
  <si>
    <t>be.comply</t>
  </si>
  <si>
    <t>Petherbridge</t>
  </si>
  <si>
    <t>Vice President, Head of Content Strategy for Advisor Center</t>
  </si>
  <si>
    <t>Roazen</t>
  </si>
  <si>
    <t>Vive President</t>
  </si>
  <si>
    <t>Valentine</t>
  </si>
  <si>
    <t>Majajan</t>
  </si>
  <si>
    <t>Vice President, Head of Global Performance, Analytics and Reporting</t>
  </si>
  <si>
    <t>President-Europe</t>
  </si>
  <si>
    <t>Huey Evans</t>
  </si>
  <si>
    <t>Agarwal--Laid Off</t>
  </si>
  <si>
    <t>FIX Client On Boarding Manager</t>
  </si>
  <si>
    <t>Thurman</t>
  </si>
  <si>
    <t>COO - Rates Technology</t>
  </si>
  <si>
    <t>Karmazin</t>
  </si>
  <si>
    <t>Head, Wealth Management and Advisory and President, Fidelity Institutional Wealth Advisor (FIWA)</t>
  </si>
  <si>
    <t>Newfield</t>
  </si>
  <si>
    <t>B2Bgmp</t>
  </si>
  <si>
    <t>Watershed Tech</t>
  </si>
  <si>
    <t>Jevon</t>
  </si>
  <si>
    <t>Virginia National Bank</t>
  </si>
  <si>
    <t>Sr. Vice President - Head of Global Trading and Trading Operations Officer at VNB</t>
  </si>
  <si>
    <t>Starsia</t>
  </si>
  <si>
    <t>Senior Vice President and CIO</t>
  </si>
  <si>
    <t>Head of Sales, Co Founder &amp; COO</t>
  </si>
  <si>
    <t>Jer</t>
  </si>
  <si>
    <t>Senior Vice President, Technology,</t>
  </si>
  <si>
    <t>Vice-President Applications Services Capital Markets</t>
  </si>
  <si>
    <t>Beaulieu</t>
  </si>
  <si>
    <t>COO, Head of Product Development, Americas Execution Services</t>
  </si>
  <si>
    <t>Cristoforo</t>
  </si>
  <si>
    <t>Managing Director, CTO/CIO</t>
  </si>
  <si>
    <t>Tumasz</t>
  </si>
  <si>
    <t>Koeling</t>
  </si>
  <si>
    <t>Cdric</t>
  </si>
  <si>
    <t>Sun Life</t>
  </si>
  <si>
    <t>XTB</t>
  </si>
  <si>
    <t>BlockTower Capital</t>
  </si>
  <si>
    <t>CIO, Managing Partner</t>
  </si>
  <si>
    <t>Chief Information and Operations Officer Capital Markets</t>
  </si>
  <si>
    <t>Novillo Suarez</t>
  </si>
  <si>
    <t>Sreenadh</t>
  </si>
  <si>
    <t>Sankunni</t>
  </si>
  <si>
    <t>Global Bank Group</t>
  </si>
  <si>
    <t>The Chairman of the Board of Governors and President of Global Bank Group</t>
  </si>
  <si>
    <t>Nechemia</t>
  </si>
  <si>
    <t>Lotta</t>
  </si>
  <si>
    <t>VP CFO &amp; Head of Strategy Market Technology</t>
  </si>
  <si>
    <t>Wikner</t>
  </si>
  <si>
    <t>Chief Information Officer, US NatWest Markets</t>
  </si>
  <si>
    <t>Podniesinski</t>
  </si>
  <si>
    <t>Neptune Mutual</t>
  </si>
  <si>
    <t>Nirvan</t>
  </si>
  <si>
    <t>Pearl River Capital, LLC</t>
  </si>
  <si>
    <t>Managing Director, Chief  Information Security Officer</t>
  </si>
  <si>
    <t>Klement</t>
  </si>
  <si>
    <t>Askechov</t>
  </si>
  <si>
    <t>Founder, Chief Technology Officer</t>
  </si>
  <si>
    <t>CEO Asia Pacific at Societe Generale</t>
  </si>
  <si>
    <t>Bartenieff</t>
  </si>
  <si>
    <t>Ludmila</t>
  </si>
  <si>
    <t>Savelyeva</t>
  </si>
  <si>
    <t>Bryl</t>
  </si>
  <si>
    <t>Chief Executive, Managing Director and Head of Trading</t>
  </si>
  <si>
    <t>Rostum</t>
  </si>
  <si>
    <t>CEO of Fimatrade</t>
  </si>
  <si>
    <t>Madan Mohan</t>
  </si>
  <si>
    <t>Vice President - Electronic Trading</t>
  </si>
  <si>
    <t>Fearnside</t>
  </si>
  <si>
    <t>New Energy</t>
  </si>
  <si>
    <t>President &amp; Owner</t>
  </si>
  <si>
    <t>CFO&amp; Treasurer</t>
  </si>
  <si>
    <t>Kajee</t>
  </si>
  <si>
    <t>Ajeya</t>
  </si>
  <si>
    <t>Member Of The Management Board</t>
  </si>
  <si>
    <t>Kaczmarzyk</t>
  </si>
  <si>
    <t>XiGlobal.io</t>
  </si>
  <si>
    <t>MALI</t>
  </si>
  <si>
    <t>CEO /CTO Founder</t>
  </si>
  <si>
    <t>MARAFINI</t>
  </si>
  <si>
    <t>Hyzer</t>
  </si>
  <si>
    <t>Senior Vice President - Head of Commercial Digital Channels</t>
  </si>
  <si>
    <t>Forman</t>
  </si>
  <si>
    <t>Dirawong</t>
  </si>
  <si>
    <t>Founder / Co-CEO</t>
  </si>
  <si>
    <t>Maben</t>
  </si>
  <si>
    <t>Schlanger</t>
  </si>
  <si>
    <t>Rosensweig</t>
  </si>
  <si>
    <t>Global Head of SS Technology Engagement and Implementation, Asia Head of SS Technology (CIO), MD</t>
  </si>
  <si>
    <t>Head of Product &amp; COO for Technology Infrastructure</t>
  </si>
  <si>
    <t>Peze</t>
  </si>
  <si>
    <t>11 Capital</t>
  </si>
  <si>
    <t>Fieber</t>
  </si>
  <si>
    <t>Vice President, Head of Retail Business</t>
  </si>
  <si>
    <t>NSE India</t>
  </si>
  <si>
    <t>Head Of Product Development. Vice President - Index Development &amp; Research. Bond Analytics. ESG. AIF</t>
  </si>
  <si>
    <t>Singhania</t>
  </si>
  <si>
    <t>Mariles</t>
  </si>
  <si>
    <t>Vice President Securities Country Manager Global Transaction Services</t>
  </si>
  <si>
    <t>Delfin</t>
  </si>
  <si>
    <t>Senior Vice President - Head of Distribution Services</t>
  </si>
  <si>
    <t>Michaelson</t>
  </si>
  <si>
    <t>Askew</t>
  </si>
  <si>
    <t>GF/CEO</t>
  </si>
  <si>
    <t>Schoenwaelder</t>
  </si>
  <si>
    <t>ABI Lab</t>
  </si>
  <si>
    <t>Vice President - CORE, Technical Operations</t>
  </si>
  <si>
    <t>Zomchek</t>
  </si>
  <si>
    <t>Vice President, Global Head of Digital Operations</t>
  </si>
  <si>
    <t>Assistant Vice President Securities Services Mexico &amp; Latam Global Transaction Services</t>
  </si>
  <si>
    <t>Cerda</t>
  </si>
  <si>
    <t>3 PTS</t>
  </si>
  <si>
    <t>Mauck</t>
  </si>
  <si>
    <t>Nilton Lucas</t>
  </si>
  <si>
    <t>President - Simon Finance and Investment Club</t>
  </si>
  <si>
    <t>Jer??nimo</t>
  </si>
  <si>
    <t>4TPM</t>
  </si>
  <si>
    <t>Degagny</t>
  </si>
  <si>
    <t>Vice President, Citigroup - ICG Markets, Futures E-Trading Sales</t>
  </si>
  <si>
    <t>Mimi</t>
  </si>
  <si>
    <t>TREBEL Music</t>
  </si>
  <si>
    <t>Founding CFO and Head of Revenue</t>
  </si>
  <si>
    <t>Vanech</t>
  </si>
  <si>
    <t>Shyamkiran</t>
  </si>
  <si>
    <t>Sr Vice President, Quantitative Strategies</t>
  </si>
  <si>
    <t>Boreham</t>
  </si>
  <si>
    <t>Chief of Staff - COO Office, Head of Service Management, Projects, Business Support, EUC and RPA</t>
  </si>
  <si>
    <t>Chheda</t>
  </si>
  <si>
    <t>FABIAN</t>
  </si>
  <si>
    <t>BOUZON</t>
  </si>
  <si>
    <t>AAAQuants</t>
  </si>
  <si>
    <t>Starke</t>
  </si>
  <si>
    <t>Aarna Capital</t>
  </si>
  <si>
    <t>Craog</t>
  </si>
  <si>
    <t>ABACO</t>
  </si>
  <si>
    <t>Abalone AM</t>
  </si>
  <si>
    <t>Teodori</t>
  </si>
  <si>
    <t>Chief of Staff to the Chairman and CEO</t>
  </si>
  <si>
    <t>Vice President - Public Cloud Engineering</t>
  </si>
  <si>
    <t>Kaneria</t>
  </si>
  <si>
    <t>Johnson Dallett</t>
  </si>
  <si>
    <t>Exec Officer/CEO</t>
  </si>
  <si>
    <t>Vogelzang</t>
  </si>
  <si>
    <t>Garani</t>
  </si>
  <si>
    <t>Yemets</t>
  </si>
  <si>
    <t>Roopa</t>
  </si>
  <si>
    <t>Executive Director - Chief Tech Office Big Data Platforms</t>
  </si>
  <si>
    <t>Mindy</t>
  </si>
  <si>
    <t>Vice President Of Operations</t>
  </si>
  <si>
    <t>Karl Berglund</t>
  </si>
  <si>
    <t>COO - Sales</t>
  </si>
  <si>
    <t>Bopalkar</t>
  </si>
  <si>
    <t>Cairoli</t>
  </si>
  <si>
    <t>Vice President, CIB Technology at JPMorgan Chase &amp; Co.</t>
  </si>
  <si>
    <t>Nadimpally</t>
  </si>
  <si>
    <t>Vice President, Operations Client Relationship Manager</t>
  </si>
  <si>
    <t>Abingworth</t>
  </si>
  <si>
    <t>Barbra</t>
  </si>
  <si>
    <t>Dotti</t>
  </si>
  <si>
    <t>Gorodetsky</t>
  </si>
  <si>
    <t>Shehryar</t>
  </si>
  <si>
    <t>Assistant Vice President Client Engagement and Strategy</t>
  </si>
  <si>
    <t>Vice President, Futures and Operations Manager</t>
  </si>
  <si>
    <t>Roelofs</t>
  </si>
  <si>
    <t>CEO &amp; CoFounder</t>
  </si>
  <si>
    <t>Viriato</t>
  </si>
  <si>
    <t>Zenus Bank</t>
  </si>
  <si>
    <t>Head of Risk &amp; Chief Investment Officer</t>
  </si>
  <si>
    <t>Ferro-Villani</t>
  </si>
  <si>
    <t>Senior Vice President - Portfolio Solutions Group</t>
  </si>
  <si>
    <t>Byrne,CFA</t>
  </si>
  <si>
    <t>LeeAnn</t>
  </si>
  <si>
    <t>CIO /SVP Investment Division Technology</t>
  </si>
  <si>
    <t>Founder, Chief Operating Officer</t>
  </si>
  <si>
    <t>Stem Lending, Inc.</t>
  </si>
  <si>
    <t>Chief Executive - Hosted Service</t>
  </si>
  <si>
    <t>Jm</t>
  </si>
  <si>
    <t>Shohat</t>
  </si>
  <si>
    <t>Gaspich</t>
  </si>
  <si>
    <t>Kinga</t>
  </si>
  <si>
    <t>Active Alts</t>
  </si>
  <si>
    <t>Active Ownership</t>
  </si>
  <si>
    <t>Klopp</t>
  </si>
  <si>
    <t>deputy COO</t>
  </si>
  <si>
    <t>Bouniol</t>
  </si>
  <si>
    <t>Acumen Capital</t>
  </si>
  <si>
    <t>Myja</t>
  </si>
  <si>
    <t>CCO COO CFO</t>
  </si>
  <si>
    <t>Lehan</t>
  </si>
  <si>
    <t>Hightower Advisors</t>
  </si>
  <si>
    <t>Sproehnle, CFA</t>
  </si>
  <si>
    <t>Vice President - Strategy, Global WealthandAsset Management Technology</t>
  </si>
  <si>
    <t>Schreitmueller</t>
  </si>
  <si>
    <t>Addison Clark</t>
  </si>
  <si>
    <t>Vice President, Technology Risk Officer, Wealth Management Technology</t>
  </si>
  <si>
    <t>Celestin</t>
  </si>
  <si>
    <t>Senior MD &amp; Chief Information Officer</t>
  </si>
  <si>
    <t>Capela</t>
  </si>
  <si>
    <t>Vice President of Talent Acquisition</t>
  </si>
  <si>
    <t>Kuehner</t>
  </si>
  <si>
    <t>24 Exchange</t>
  </si>
  <si>
    <t>Senior Vice President Information Systems</t>
  </si>
  <si>
    <t>McHenney</t>
  </si>
  <si>
    <t>Alun -Jones</t>
  </si>
  <si>
    <t>Partner + COO</t>
  </si>
  <si>
    <t>Vice President Project Management</t>
  </si>
  <si>
    <t>Levine, MBA, MAT</t>
  </si>
  <si>
    <t>Project Veritas</t>
  </si>
  <si>
    <t>Advanced Technology</t>
  </si>
  <si>
    <t>PMV Capital</t>
  </si>
  <si>
    <t>Snover</t>
  </si>
  <si>
    <t>Aesir Capital</t>
  </si>
  <si>
    <t>Venable</t>
  </si>
  <si>
    <t>Coppejans</t>
  </si>
  <si>
    <t>Boers</t>
  </si>
  <si>
    <t>COO + CCO</t>
  </si>
  <si>
    <t>Chief Executive Officer and Co-Founder</t>
  </si>
  <si>
    <t>Vice President Engineering &amp; Delivery</t>
  </si>
  <si>
    <t>Biagi</t>
  </si>
  <si>
    <t>Chief Commercial Officer, Board of Management</t>
  </si>
  <si>
    <t>Agrica Epargne</t>
  </si>
  <si>
    <t>Terris</t>
  </si>
  <si>
    <t>Tanriover</t>
  </si>
  <si>
    <t>prabhat</t>
  </si>
  <si>
    <t>tripathi</t>
  </si>
  <si>
    <t>Christodoulou</t>
  </si>
  <si>
    <t>Patricia J.</t>
  </si>
  <si>
    <t>Vice President |  FX &amp; Fixed Income | Americas Head of eClient Services</t>
  </si>
  <si>
    <t>Ciuzio, MBA</t>
  </si>
  <si>
    <t>CEO - Perpetua Investment Group</t>
  </si>
  <si>
    <t>El Jazouli</t>
  </si>
  <si>
    <t>Hefron</t>
  </si>
  <si>
    <t>Fintek Digital</t>
  </si>
  <si>
    <t>Vice President at State Street - FX Product Management(Currenex)</t>
  </si>
  <si>
    <t>AISquared Management</t>
  </si>
  <si>
    <t>BrainGu</t>
  </si>
  <si>
    <t>Vice President, Product</t>
  </si>
  <si>
    <t>Doull</t>
  </si>
  <si>
    <t>Organic</t>
  </si>
  <si>
    <t>Shameel</t>
  </si>
  <si>
    <t>Private Investor and Advisor</t>
  </si>
  <si>
    <t>Senior Financial Markets Executive,  Former CEO  and Private Investor</t>
  </si>
  <si>
    <t>Chief Information Officer, Europe</t>
  </si>
  <si>
    <t>Tideway Investment Partners LLP</t>
  </si>
  <si>
    <t>Croxford</t>
  </si>
  <si>
    <t>Sector3 Appraisals</t>
  </si>
  <si>
    <t>Hazelton</t>
  </si>
  <si>
    <t>Vice President - Relationship Managment</t>
  </si>
  <si>
    <t>Mahwish</t>
  </si>
  <si>
    <t>Vice President Market Manager II / Market Business development</t>
  </si>
  <si>
    <t>Motlin</t>
  </si>
  <si>
    <t>Asilis</t>
  </si>
  <si>
    <t>Ne?e Pelin</t>
  </si>
  <si>
    <t>Derivatives Vice President</t>
  </si>
  <si>
    <t>Ximenez de Embun</t>
  </si>
  <si>
    <t>Counsel, Board of Veterans Appeals</t>
  </si>
  <si>
    <t>ALARIC SECURITIES</t>
  </si>
  <si>
    <t>Panayotov</t>
  </si>
  <si>
    <t>Alasia SA</t>
  </si>
  <si>
    <t>COO - PKB</t>
  </si>
  <si>
    <t>Laforgia</t>
  </si>
  <si>
    <t>Delotto</t>
  </si>
  <si>
    <t>Director, Capital Markets Financing COO</t>
  </si>
  <si>
    <t>Albert Bridge</t>
  </si>
  <si>
    <t>Doriana</t>
  </si>
  <si>
    <t>Pavlicu</t>
  </si>
  <si>
    <t>Rubich</t>
  </si>
  <si>
    <t>Poran</t>
  </si>
  <si>
    <t>Hanglow</t>
  </si>
  <si>
    <t>Norddeutsche Landesbank</t>
  </si>
  <si>
    <t>UKG</t>
  </si>
  <si>
    <t>Vice President - Talent Acquisition - Wells Fargo Technology</t>
  </si>
  <si>
    <t>Maryala,</t>
  </si>
  <si>
    <t>Golubchik</t>
  </si>
  <si>
    <t>Vice President / Technical Product Manager</t>
  </si>
  <si>
    <t>Bejasa</t>
  </si>
  <si>
    <t>CEO UK</t>
  </si>
  <si>
    <t>Roache</t>
  </si>
  <si>
    <t>Firla</t>
  </si>
  <si>
    <t>Sivananda</t>
  </si>
  <si>
    <t>Minnam</t>
  </si>
  <si>
    <t>CTO &amp; President</t>
  </si>
  <si>
    <t>Ebersole</t>
  </si>
  <si>
    <t>Vice President Clearing</t>
  </si>
  <si>
    <t>Paschal</t>
  </si>
  <si>
    <t>Akachat</t>
  </si>
  <si>
    <t>Gillotti</t>
  </si>
  <si>
    <t>Yogeeshwaran</t>
  </si>
  <si>
    <t>Jayabaskar</t>
  </si>
  <si>
    <t>Allan Gray</t>
  </si>
  <si>
    <t>Formby</t>
  </si>
  <si>
    <t>Artus</t>
  </si>
  <si>
    <t>Allegheny Financial</t>
  </si>
  <si>
    <t>Thacik</t>
  </si>
  <si>
    <t>Chief Executive Officer, ION Corporates</t>
  </si>
  <si>
    <t>Executive Vice President &amp; CIO</t>
  </si>
  <si>
    <t>Enbani</t>
  </si>
  <si>
    <t>Vice President, Platform Solutions</t>
  </si>
  <si>
    <t>CEXIO</t>
  </si>
  <si>
    <t>Hepsworth</t>
  </si>
  <si>
    <t>FIX Client On Boarding Specialist - Equities Technology</t>
  </si>
  <si>
    <t>Atrish</t>
  </si>
  <si>
    <t>FinTech Board Member</t>
  </si>
  <si>
    <t>Column Park</t>
  </si>
  <si>
    <t>Satz</t>
  </si>
  <si>
    <t>Gilmour</t>
  </si>
  <si>
    <t>Esselstein</t>
  </si>
  <si>
    <t>CIO - Invesrment Fun Services</t>
  </si>
  <si>
    <t>CWF Managers</t>
  </si>
  <si>
    <t>Brull</t>
  </si>
  <si>
    <t>Epixoo</t>
  </si>
  <si>
    <t>Takas</t>
  </si>
  <si>
    <t>CIO/PM</t>
  </si>
  <si>
    <t>Gass</t>
  </si>
  <si>
    <t>Senior Vice President Client Connectivity</t>
  </si>
  <si>
    <t>Chatillon</t>
  </si>
  <si>
    <t>Canonical</t>
  </si>
  <si>
    <t>Managing Director - CIO, Global Head of Technology &amp; Operations</t>
  </si>
  <si>
    <t>Vice President, Head of Futures eTrading Technology APAC</t>
  </si>
  <si>
    <t>Colman Wealth Management @Financial Leaders IL</t>
  </si>
  <si>
    <t>Liran</t>
  </si>
  <si>
    <t>CIO - Chief Investment Officer</t>
  </si>
  <si>
    <t>Karan Singh</t>
  </si>
  <si>
    <t>Assistant Vice President, Corporate Treasury</t>
  </si>
  <si>
    <t>Director - Buy-side Trading, CEO &amp; Managing Principal - REDI</t>
  </si>
  <si>
    <t>SSI Securities Corporation</t>
  </si>
  <si>
    <t>Deeptesh</t>
  </si>
  <si>
    <t>Senior Vice President, Fixed Income and Commodities, Credit Derivatives</t>
  </si>
  <si>
    <t>Chande</t>
  </si>
  <si>
    <t>Inlow</t>
  </si>
  <si>
    <t>Chief Operating Officer, Asia</t>
  </si>
  <si>
    <t>Cadavid</t>
  </si>
  <si>
    <t>Senior Financial Advisor, Senior Vice President</t>
  </si>
  <si>
    <t>nbkc Bank</t>
  </si>
  <si>
    <t>Vice President - Equity Portfolio Manager</t>
  </si>
  <si>
    <t>Daraius</t>
  </si>
  <si>
    <t>Keeka</t>
  </si>
  <si>
    <t>Head of Strategy, Senior Vice President</t>
  </si>
  <si>
    <t>Convector Capital</t>
  </si>
  <si>
    <t>Wilkens</t>
  </si>
  <si>
    <t>Head of APAC Markets Trade, Fixed Income and Credit Technology; CIO Singapore &amp; Australia</t>
  </si>
  <si>
    <t>Vice President - Division Manager</t>
  </si>
  <si>
    <t>IFM Investors</t>
  </si>
  <si>
    <t>Vice President, Global Relationship Group</t>
  </si>
  <si>
    <t>Bowlus</t>
  </si>
  <si>
    <t>Javier Ramirez</t>
  </si>
  <si>
    <t>Talisman Group</t>
  </si>
  <si>
    <t>Vice President, Global Head of Marketing</t>
  </si>
  <si>
    <t>Roknabadi</t>
  </si>
  <si>
    <t>Cabanado</t>
  </si>
  <si>
    <t>Cihan</t>
  </si>
  <si>
    <t>Vice President, Head of Global Middle Office</t>
  </si>
  <si>
    <t>Kasikara</t>
  </si>
  <si>
    <t>GreyCliff Digital Asset Group</t>
  </si>
  <si>
    <t>FX EMEA COO</t>
  </si>
  <si>
    <t>Keohane</t>
  </si>
  <si>
    <t>dupe_Sheldon</t>
  </si>
  <si>
    <t>William K.</t>
  </si>
  <si>
    <t>frelancing acadami</t>
  </si>
  <si>
    <t>Raihan</t>
  </si>
  <si>
    <t>Cappy</t>
  </si>
  <si>
    <t>Commodities COO</t>
  </si>
  <si>
    <t>Radia</t>
  </si>
  <si>
    <t>Chenavari</t>
  </si>
  <si>
    <t>Fery</t>
  </si>
  <si>
    <t>Assistant Vice President, Information Technology Project,Bank of New York Mellon</t>
  </si>
  <si>
    <t>Isaacoff</t>
  </si>
  <si>
    <t>Chairman, Chief Executive Officer</t>
  </si>
  <si>
    <t>Richelle</t>
  </si>
  <si>
    <t>Chief Executive Officer/President, The Bank of New York Mellon</t>
  </si>
  <si>
    <t>Vible</t>
  </si>
  <si>
    <t>Coaction Global Inc</t>
  </si>
  <si>
    <t>Board Chair</t>
  </si>
  <si>
    <t>Galanski</t>
  </si>
  <si>
    <t>Vice President Of Electronic Trading Compliance</t>
  </si>
  <si>
    <t>Haubner</t>
  </si>
  <si>
    <t>Alhajjeh</t>
  </si>
  <si>
    <t>European Insurance Consolidation Group (EICG)</t>
  </si>
  <si>
    <t>Aoun</t>
  </si>
  <si>
    <t>Taylor Asset</t>
  </si>
  <si>
    <t>CFO and COO</t>
  </si>
  <si>
    <t>Polymer Capital</t>
  </si>
  <si>
    <t>Trivella</t>
  </si>
  <si>
    <t>Vice President-Chief Technology Officer-Systems Development</t>
  </si>
  <si>
    <t>Morrill</t>
  </si>
  <si>
    <t>Weiwei</t>
  </si>
  <si>
    <t>Nealon</t>
  </si>
  <si>
    <t>Vita</t>
  </si>
  <si>
    <t>Nandapurkar</t>
  </si>
  <si>
    <t>Vice President, Head of Japan SPDR ETF Business</t>
  </si>
  <si>
    <t>Human Resources Business Partner - Vice President</t>
  </si>
  <si>
    <t>CSNYC - NYC Foundation for Computer Science Education</t>
  </si>
  <si>
    <t>Joseph "Joe"</t>
  </si>
  <si>
    <t>Baturalp</t>
  </si>
  <si>
    <t>Candemir</t>
  </si>
  <si>
    <t>Vice President - OpenBanking / API</t>
  </si>
  <si>
    <t>Jaggi</t>
  </si>
  <si>
    <t>EDnF MAN</t>
  </si>
  <si>
    <t>fineqia</t>
  </si>
  <si>
    <t>Eggleton</t>
  </si>
  <si>
    <t>COO Electronic Trading</t>
  </si>
  <si>
    <t>Vice President of, Head of Distribution Intelligence</t>
  </si>
  <si>
    <t>Bicks</t>
  </si>
  <si>
    <t>President International Division</t>
  </si>
  <si>
    <t>Tiefenbrun</t>
  </si>
  <si>
    <t>Founder and Former CEO  - Financial Markets, Artificial Intelligence and Market Data</t>
  </si>
  <si>
    <t>dos Reis Vilela</t>
  </si>
  <si>
    <t>Vice President - Execution Service</t>
  </si>
  <si>
    <t>Zubaite</t>
  </si>
  <si>
    <t>Vice President - Client Implementation Manager</t>
  </si>
  <si>
    <t>Ankora</t>
  </si>
  <si>
    <t>Moody's</t>
  </si>
  <si>
    <t>VP of  Senior Vice President</t>
  </si>
  <si>
    <t>Deluz</t>
  </si>
  <si>
    <t>Vice President - Prime Services</t>
  </si>
  <si>
    <t>Hartwell</t>
  </si>
  <si>
    <t>Second Vice President - Trading</t>
  </si>
  <si>
    <t>Viener</t>
  </si>
  <si>
    <t>Orlowski</t>
  </si>
  <si>
    <t>Kippy</t>
  </si>
  <si>
    <t>Dimatteo</t>
  </si>
  <si>
    <t>Vision 4 Fund Distributors</t>
  </si>
  <si>
    <t>President CEO</t>
  </si>
  <si>
    <t>Alagheband</t>
  </si>
  <si>
    <t>Husnik</t>
  </si>
  <si>
    <t>Telly</t>
  </si>
  <si>
    <t>Theodoropoulos</t>
  </si>
  <si>
    <t>CIO - Wholesale Division</t>
  </si>
  <si>
    <t>Bilbao</t>
  </si>
  <si>
    <t>Vice President - Transformation Program</t>
  </si>
  <si>
    <t>ZengMing</t>
  </si>
  <si>
    <t>Concentric Capital</t>
  </si>
  <si>
    <t>seth</t>
  </si>
  <si>
    <t>turkeltaub</t>
  </si>
  <si>
    <t>Vice President, COO</t>
  </si>
  <si>
    <t>Villanueva, MSGF</t>
  </si>
  <si>
    <t>Reuss Private</t>
  </si>
  <si>
    <t>Mennuni</t>
  </si>
  <si>
    <t>Mer Qube</t>
  </si>
  <si>
    <t>Europe Head &amp; Uk Board Member At Mer Qube</t>
  </si>
  <si>
    <t>Darren W.</t>
  </si>
  <si>
    <t>Senior Vice President, Asset Services</t>
  </si>
  <si>
    <t>"John ""Morgan"""</t>
  </si>
  <si>
    <t>Corner Banca</t>
  </si>
  <si>
    <t>Seralvo</t>
  </si>
  <si>
    <t>Seppe</t>
  </si>
  <si>
    <t>Katalin</t>
  </si>
  <si>
    <t>Head of Experienced Recruitment - Vice President</t>
  </si>
  <si>
    <t>Dravucz</t>
  </si>
  <si>
    <t>Fludzinski</t>
  </si>
  <si>
    <t>Salters</t>
  </si>
  <si>
    <t>Vice President, Post Trade Product Management</t>
  </si>
  <si>
    <t>Siaz</t>
  </si>
  <si>
    <t>Thaddee</t>
  </si>
  <si>
    <t>Chairman (+co-founder)</t>
  </si>
  <si>
    <t>Tyl</t>
  </si>
  <si>
    <t>CELMACON</t>
  </si>
  <si>
    <t>Elefteriadis</t>
  </si>
  <si>
    <t>Uday Kiran</t>
  </si>
  <si>
    <t>Vice President, Global Middle Office</t>
  </si>
  <si>
    <t>Bolusani</t>
  </si>
  <si>
    <t>Crescent Pharmacy</t>
  </si>
  <si>
    <t>Jaffery, PharmD</t>
  </si>
  <si>
    <t>AlIssa</t>
  </si>
  <si>
    <t>The Cypress</t>
  </si>
  <si>
    <t>Nip</t>
  </si>
  <si>
    <t>Vice President in BBH Infomediary</t>
  </si>
  <si>
    <t>Borghi</t>
  </si>
  <si>
    <t>Decotelli</t>
  </si>
  <si>
    <t>Garchik</t>
  </si>
  <si>
    <t>Leser</t>
  </si>
  <si>
    <t>Chief Operating Officer, Global Internal Audit, Asia Pacific</t>
  </si>
  <si>
    <t>Rekhi</t>
  </si>
  <si>
    <t>The Dermott</t>
  </si>
  <si>
    <t>Dermott</t>
  </si>
  <si>
    <t>Cormack</t>
  </si>
  <si>
    <t>National Bank of OMAN</t>
  </si>
  <si>
    <t>Investment Bank of Greece</t>
  </si>
  <si>
    <t>Capitec</t>
  </si>
  <si>
    <t>milestone</t>
  </si>
  <si>
    <t>lastStageChangedAt</t>
  </si>
  <si>
    <t>Campaign</t>
  </si>
  <si>
    <t>11 - Won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</si>
  <si>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</si>
  <si>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</si>
  <si>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</si>
  <si>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</si>
  <si>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</si>
  <si>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</si>
  <si>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</si>
  <si>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</si>
  <si>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</si>
  <si>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2023-</t>
  </si>
  <si>
    <t>2022-</t>
  </si>
  <si>
    <t>product</t>
  </si>
  <si>
    <t>https://www.veloxfintech.com/datafiles</t>
  </si>
  <si>
    <t>query</t>
  </si>
  <si>
    <t>equities_csuite_senior_midlevel</t>
  </si>
  <si>
    <t>equities_csuite_senior_midlevel                     2023-12-28_01-56-37   443</t>
  </si>
  <si>
    <t>entries_meetings</t>
  </si>
  <si>
    <t>entries_meetings                                    2023-12-28_01-56-42   201</t>
  </si>
  <si>
    <t>cleared_derivs_csuite_senior_midlevel</t>
  </si>
  <si>
    <t>cleared_derivs_csuite_senior_midlevel               2023-12-28_01-57-19   355</t>
  </si>
  <si>
    <t>test_organisation</t>
  </si>
  <si>
    <t>test_organisation                                   2023-12-28_01-57-25   73</t>
  </si>
  <si>
    <t>test_join</t>
  </si>
  <si>
    <t>test_join                                           2023-12-28_01-58-03   6566</t>
  </si>
  <si>
    <t>data</t>
  </si>
  <si>
    <t>organisation                                        2023-12-28_01-52-07   11119</t>
  </si>
  <si>
    <t>entries</t>
  </si>
  <si>
    <t>entries                                             2023-12-28_01-52-10   6814</t>
  </si>
  <si>
    <t>opportunities</t>
  </si>
  <si>
    <t>opportunities                                       2023-12-28_01-52-12   1216</t>
  </si>
  <si>
    <t>person                                              2023-12-28_01-53-08   65277</t>
  </si>
  <si>
    <t>join</t>
  </si>
  <si>
    <t>join                                                2023-12-28_01-54-22   65276</t>
  </si>
  <si>
    <t>Kaalund Retbll</t>
  </si>
  <si>
    <t>Snnerlid</t>
  </si>
  <si>
    <t>Gza</t>
  </si>
  <si>
    <t>Rner</t>
  </si>
  <si>
    <t>Duruz</t>
  </si>
  <si>
    <t>Kostyl</t>
  </si>
  <si>
    <t>rdal</t>
  </si>
  <si>
    <t>Agncia Estado</t>
  </si>
  <si>
    <t>Jean-Franois</t>
  </si>
  <si>
    <t>Mose</t>
  </si>
  <si>
    <t>Hansjrg</t>
  </si>
  <si>
    <t>AtonR Partners</t>
  </si>
  <si>
    <t>Hlne</t>
  </si>
  <si>
    <t>Clartan Associs</t>
  </si>
  <si>
    <t>Amlie</t>
  </si>
  <si>
    <t>OToole</t>
  </si>
  <si>
    <t>Financire d'Uzs</t>
  </si>
  <si>
    <t>Klu</t>
  </si>
  <si>
    <t>-1</t>
  </si>
  <si>
    <t>qvist</t>
  </si>
  <si>
    <t>Vtor</t>
  </si>
  <si>
    <t>Ucha Nunes</t>
  </si>
  <si>
    <t>Tammerlv</t>
  </si>
  <si>
    <t>Napolon Capital</t>
  </si>
  <si>
    <t>Lars-ke</t>
  </si>
  <si>
    <t>Thorbjrn</t>
  </si>
  <si>
    <t>mer</t>
  </si>
  <si>
    <t>Osmanl? Portfy</t>
  </si>
  <si>
    <t>Stb</t>
  </si>
  <si>
    <t>Hvard</t>
  </si>
  <si>
    <t>ONeill</t>
  </si>
  <si>
    <t>Jaffrs</t>
  </si>
  <si>
    <t>BRDGroupe Socit</t>
  </si>
  <si>
    <t>Aliz Trading</t>
  </si>
  <si>
    <t>Jrgen</t>
  </si>
  <si>
    <t>zmen</t>
  </si>
  <si>
    <t>TEST_JOIN</t>
  </si>
  <si>
    <t>NAME</t>
  </si>
  <si>
    <t>FIRSTNAME</t>
  </si>
  <si>
    <t>LASTNAME</t>
  </si>
  <si>
    <t>JOBTITLE</t>
  </si>
  <si>
    <t>TEST_ORGANISATION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</si>
</sst>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Border="1"/>
    <xf numFmtId="0" fontId="0" fillId="0" borderId="1" xfId="0" applyBorder="1"/>
    <xf numFmtId="0" fontId="2" fillId="0" borderId="0" xfId="0" applyFont="1"/>
    <xf numFmtId="0" fontId="3" fillId="2" borderId="0" xfId="0" applyFont="1" applyFill="1"/>
    <xf numFmtId="0" fontId="0" fillId="0" borderId="0" xfId="0" applyAlignment="1">
      <alignment wrapText="1"/>
    </xf>
    <xf numFmtId="0" fontId="3" fillId="2" borderId="0" xfId="0" applyFont="1" applyFill="1" applyAlignment="1">
      <alignment wrapText="1"/>
    </xf>
    <xf numFmtId="9" fontId="0" fillId="0" borderId="0" xfId="1" applyFont="1"/>
    <xf numFmtId="0" fontId="3" fillId="3" borderId="0" xfId="0" applyFont="1" applyFill="1"/>
    <xf numFmtId="0" fontId="3" fillId="3" borderId="0" xfId="0" quotePrefix="1" applyFont="1" applyFill="1"/>
    <xf numFmtId="0" fontId="0" fillId="0" borderId="2" xfId="0" applyBorder="1"/>
    <xf numFmtId="0" fontId="4" fillId="0" borderId="0" xfId="2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6" borderId="0" xfId="0" applyFont="1" applyFill="1"/>
    <xf numFmtId="0" fontId="0" fillId="7" borderId="0" xfId="0" applyFill="1"/>
    <xf numFmtId="0" fontId="2" fillId="4" borderId="1" xfId="0" applyFont="1" applyFill="1" applyBorder="1"/>
    <xf numFmtId="22" fontId="0" fillId="4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EB0B0"/>
      <color rgb="FFFD67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veloxfintech.com/datafil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3AB77-2D75-43AE-9F58-EB3DEC52F126}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1F89-6436-4B1A-B4B5-2808F3573821}">
  <sheetPr codeName="Sheet15"/>
  <dimension ref="A1:B20"/>
  <sheetViews>
    <sheetView workbookViewId="0">
      <selection activeCell="D8" sqref="D8"/>
    </sheetView>
  </sheetViews>
  <sheetFormatPr defaultRowHeight="14.4" x14ac:dyDescent="0.3"/>
  <cols>
    <col min="1" max="1" width="19" bestFit="1" customWidth="1"/>
    <col min="2" max="2" width="14.6640625" bestFit="1" customWidth="1"/>
  </cols>
  <sheetData>
    <row r="1" spans="1:2" x14ac:dyDescent="0.3">
      <c r="A1" s="12" t="s">
        <v>13080</v>
      </c>
      <c r="B1" s="18"/>
    </row>
    <row r="2" spans="1:2" x14ac:dyDescent="0.3">
      <c r="A2" s="12" t="s">
        <v>13085</v>
      </c>
      <c r="B2" s="18">
        <v>45288.385092592594</v>
      </c>
    </row>
    <row r="3" spans="1:2" x14ac:dyDescent="0.3">
      <c r="A3" s="12"/>
      <c r="B3" s="12"/>
    </row>
    <row r="4" spans="1:2" x14ac:dyDescent="0.3">
      <c r="A4" s="12"/>
      <c r="B4" s="12"/>
    </row>
    <row r="5" spans="1:2" x14ac:dyDescent="0.3">
      <c r="A5" s="12"/>
      <c r="B5" s="12"/>
    </row>
    <row r="6" spans="1:2" x14ac:dyDescent="0.3">
      <c r="A6" s="12"/>
      <c r="B6" s="12"/>
    </row>
    <row r="7" spans="1:2" x14ac:dyDescent="0.3">
      <c r="A7" s="12"/>
      <c r="B7" s="12"/>
    </row>
    <row r="8" spans="1:2" x14ac:dyDescent="0.3">
      <c r="A8" s="12"/>
      <c r="B8" s="12"/>
    </row>
    <row r="9" spans="1:2" x14ac:dyDescent="0.3">
      <c r="A9" s="12"/>
      <c r="B9" s="12"/>
    </row>
    <row r="10" spans="1:2" x14ac:dyDescent="0.3">
      <c r="A10" s="12"/>
      <c r="B10" s="12"/>
    </row>
    <row r="11" spans="1:2" x14ac:dyDescent="0.3">
      <c r="A11" s="12"/>
      <c r="B11" s="12"/>
    </row>
    <row r="12" spans="1:2" x14ac:dyDescent="0.3">
      <c r="A12" s="12"/>
      <c r="B12" s="12"/>
    </row>
    <row r="13" spans="1:2" x14ac:dyDescent="0.3">
      <c r="A13" s="12"/>
      <c r="B13" s="12"/>
    </row>
    <row r="14" spans="1:2" x14ac:dyDescent="0.3">
      <c r="A14" s="12"/>
      <c r="B14" s="12"/>
    </row>
    <row r="15" spans="1:2" x14ac:dyDescent="0.3">
      <c r="A15" s="12"/>
      <c r="B15" s="12"/>
    </row>
    <row r="16" spans="1:2" x14ac:dyDescent="0.3">
      <c r="A16" s="12"/>
      <c r="B16" s="12"/>
    </row>
    <row r="17" spans="1:2" x14ac:dyDescent="0.3">
      <c r="A17" s="12"/>
      <c r="B17" s="12"/>
    </row>
    <row r="18" spans="1:2" x14ac:dyDescent="0.3">
      <c r="A18" s="12"/>
      <c r="B18" s="12"/>
    </row>
    <row r="19" spans="1:2" x14ac:dyDescent="0.3">
      <c r="A19" s="12"/>
      <c r="B19" s="12"/>
    </row>
    <row r="20" spans="1:2" x14ac:dyDescent="0.3">
      <c r="A20" s="12"/>
      <c r="B2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DAD1D-F7AD-4E66-949D-2F96832BFAC4}">
  <sheetPr codeName="Sheet6"/>
  <dimension ref="A1:C10"/>
  <sheetViews>
    <sheetView showFormulas="1" workbookViewId="0">
      <selection sqref="A1:C10"/>
    </sheetView>
  </sheetViews>
  <sheetFormatPr defaultRowHeight="14.4" x14ac:dyDescent="0.3"/>
  <sheetData>
    <row r="1" spans="1:3" x14ac:dyDescent="0.3">
      <c r="A1" t="s">
        <v>13024</v>
      </c>
      <c r="B1" t="s">
        <v>13025</v>
      </c>
      <c r="C1" t="s">
        <v>13026</v>
      </c>
    </row>
    <row r="2" spans="1:3" x14ac:dyDescent="0.3">
      <c r="A2" t="s">
        <v>13024</v>
      </c>
      <c r="B2" t="s">
        <v>13031</v>
      </c>
      <c r="C2" t="s">
        <v>13032</v>
      </c>
    </row>
    <row r="3" spans="1:3" x14ac:dyDescent="0.3">
      <c r="A3" t="s">
        <v>13024</v>
      </c>
      <c r="B3" t="s">
        <v>13033</v>
      </c>
      <c r="C3" t="s">
        <v>13034</v>
      </c>
    </row>
    <row r="4" spans="1:3" x14ac:dyDescent="0.3">
      <c r="A4" t="s">
        <v>13035</v>
      </c>
      <c r="B4" t="s">
        <v>6405</v>
      </c>
      <c r="C4" t="s">
        <v>13041</v>
      </c>
    </row>
    <row r="5" spans="1:3" x14ac:dyDescent="0.3">
      <c r="A5" t="s">
        <v>13035</v>
      </c>
      <c r="B5" t="s">
        <v>735</v>
      </c>
      <c r="C5" t="s">
        <v>13036</v>
      </c>
    </row>
    <row r="6" spans="1:3" x14ac:dyDescent="0.3">
      <c r="A6" t="s">
        <v>13035</v>
      </c>
      <c r="B6" t="s">
        <v>13039</v>
      </c>
      <c r="C6" t="s">
        <v>13040</v>
      </c>
    </row>
    <row r="7" spans="1:3" x14ac:dyDescent="0.3">
      <c r="A7" t="s">
        <v>13035</v>
      </c>
      <c r="B7" t="s">
        <v>13042</v>
      </c>
      <c r="C7" t="s">
        <v>13043</v>
      </c>
    </row>
    <row r="8" spans="1:3" x14ac:dyDescent="0.3">
      <c r="A8" t="s">
        <v>13024</v>
      </c>
      <c r="B8" t="s">
        <v>13027</v>
      </c>
      <c r="C8" t="s">
        <v>13028</v>
      </c>
    </row>
    <row r="9" spans="1:3" x14ac:dyDescent="0.3">
      <c r="A9" t="s">
        <v>13035</v>
      </c>
      <c r="B9" t="s">
        <v>13037</v>
      </c>
      <c r="C9" t="s">
        <v>13038</v>
      </c>
    </row>
    <row r="10" spans="1:3" x14ac:dyDescent="0.3">
      <c r="A10" t="s">
        <v>13024</v>
      </c>
      <c r="B10" t="s">
        <v>13029</v>
      </c>
      <c r="C10" t="s">
        <v>13030</v>
      </c>
    </row>
  </sheetData>
  <sortState xmlns:xlrd2="http://schemas.microsoft.com/office/spreadsheetml/2017/richdata2" ref="A2:C12">
    <sortCondition descending="1" ref="B1:B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424E9-96B9-48A3-B89C-CDF5219283E9}">
  <sheetPr codeName="Sheet5"/>
  <dimension ref="G6:G8"/>
  <sheetViews>
    <sheetView workbookViewId="0">
      <selection activeCell="L13" sqref="L13"/>
    </sheetView>
  </sheetViews>
  <sheetFormatPr defaultRowHeight="14.4" x14ac:dyDescent="0.3"/>
  <sheetData>
    <row r="6" spans="7:7" x14ac:dyDescent="0.3">
      <c r="G6">
        <v>1503790843504</v>
      </c>
    </row>
    <row r="8" spans="7:7" x14ac:dyDescent="0.3">
      <c r="G8" s="11" t="s">
        <v>13023</v>
      </c>
    </row>
  </sheetData>
  <hyperlinks>
    <hyperlink ref="G8" r:id="rId1" xr:uid="{D3783B23-2137-4E61-865C-08E549452BC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FFFA9-486F-407F-936C-79DB0BCB8A5E}">
  <sheetPr codeName="Sheet8"/>
  <dimension ref="A1:F312"/>
  <sheetViews>
    <sheetView workbookViewId="0"/>
  </sheetViews>
  <sheetFormatPr defaultRowHeight="14.4" x14ac:dyDescent="0.3"/>
  <sheetData>
    <row r="1" spans="1:6" x14ac:dyDescent="0.3">
      <c r="A1" t="s">
        <v>730</v>
      </c>
      <c r="B1" t="s">
        <v>731</v>
      </c>
      <c r="C1" t="s">
        <v>732</v>
      </c>
      <c r="D1" t="s">
        <v>733</v>
      </c>
      <c r="E1" t="s">
        <v>734</v>
      </c>
      <c r="F1" t="s">
        <v>499</v>
      </c>
    </row>
    <row r="2" spans="1:6" x14ac:dyDescent="0.3">
      <c r="A2" t="s">
        <v>9</v>
      </c>
      <c r="B2" t="s">
        <v>25</v>
      </c>
      <c r="C2" t="s">
        <v>447</v>
      </c>
      <c r="D2" t="s">
        <v>448</v>
      </c>
      <c r="E2" t="s">
        <v>449</v>
      </c>
    </row>
    <row r="3" spans="1:6" x14ac:dyDescent="0.3">
      <c r="A3" t="s">
        <v>9</v>
      </c>
      <c r="B3" t="s">
        <v>25</v>
      </c>
      <c r="C3" t="s">
        <v>447</v>
      </c>
      <c r="D3" t="s">
        <v>450</v>
      </c>
      <c r="E3" t="s">
        <v>449</v>
      </c>
    </row>
    <row r="4" spans="1:6" x14ac:dyDescent="0.3">
      <c r="A4" t="s">
        <v>9</v>
      </c>
      <c r="B4" t="s">
        <v>25</v>
      </c>
      <c r="C4" t="s">
        <v>447</v>
      </c>
      <c r="D4" t="s">
        <v>451</v>
      </c>
      <c r="E4" t="s">
        <v>449</v>
      </c>
    </row>
    <row r="5" spans="1:6" x14ac:dyDescent="0.3">
      <c r="A5" t="s">
        <v>9</v>
      </c>
      <c r="B5" t="s">
        <v>25</v>
      </c>
      <c r="C5" t="s">
        <v>447</v>
      </c>
      <c r="D5" t="s">
        <v>452</v>
      </c>
      <c r="E5" t="s">
        <v>453</v>
      </c>
    </row>
    <row r="6" spans="1:6" x14ac:dyDescent="0.3">
      <c r="A6" t="s">
        <v>9</v>
      </c>
      <c r="B6" t="s">
        <v>25</v>
      </c>
      <c r="C6" t="s">
        <v>447</v>
      </c>
      <c r="D6" t="s">
        <v>454</v>
      </c>
      <c r="E6" t="s">
        <v>453</v>
      </c>
    </row>
    <row r="7" spans="1:6" x14ac:dyDescent="0.3">
      <c r="A7" t="s">
        <v>9</v>
      </c>
      <c r="B7" t="s">
        <v>25</v>
      </c>
      <c r="C7" t="s">
        <v>447</v>
      </c>
      <c r="D7" t="s">
        <v>455</v>
      </c>
      <c r="E7" t="s">
        <v>449</v>
      </c>
    </row>
    <row r="8" spans="1:6" x14ac:dyDescent="0.3">
      <c r="A8" t="s">
        <v>9</v>
      </c>
      <c r="B8" t="s">
        <v>25</v>
      </c>
      <c r="C8" t="s">
        <v>447</v>
      </c>
      <c r="D8" t="s">
        <v>456</v>
      </c>
      <c r="E8" t="s">
        <v>449</v>
      </c>
    </row>
    <row r="9" spans="1:6" x14ac:dyDescent="0.3">
      <c r="A9" t="s">
        <v>9</v>
      </c>
      <c r="B9" t="s">
        <v>25</v>
      </c>
      <c r="C9" t="s">
        <v>447</v>
      </c>
      <c r="D9" t="s">
        <v>457</v>
      </c>
      <c r="E9" t="s">
        <v>449</v>
      </c>
    </row>
    <row r="10" spans="1:6" x14ac:dyDescent="0.3">
      <c r="A10" t="s">
        <v>9</v>
      </c>
      <c r="B10" t="s">
        <v>25</v>
      </c>
      <c r="C10" t="s">
        <v>447</v>
      </c>
      <c r="D10" t="s">
        <v>458</v>
      </c>
      <c r="E10" t="s">
        <v>449</v>
      </c>
    </row>
    <row r="11" spans="1:6" x14ac:dyDescent="0.3">
      <c r="A11" t="s">
        <v>9</v>
      </c>
      <c r="B11" t="s">
        <v>25</v>
      </c>
      <c r="C11" t="s">
        <v>447</v>
      </c>
      <c r="D11" t="s">
        <v>459</v>
      </c>
      <c r="E11" t="s">
        <v>449</v>
      </c>
    </row>
    <row r="12" spans="1:6" x14ac:dyDescent="0.3">
      <c r="A12" t="s">
        <v>9</v>
      </c>
      <c r="B12" t="s">
        <v>25</v>
      </c>
      <c r="C12" t="s">
        <v>447</v>
      </c>
      <c r="D12" t="s">
        <v>460</v>
      </c>
      <c r="E12" t="s">
        <v>449</v>
      </c>
    </row>
    <row r="13" spans="1:6" x14ac:dyDescent="0.3">
      <c r="A13" t="s">
        <v>9</v>
      </c>
      <c r="B13" t="s">
        <v>25</v>
      </c>
      <c r="C13" t="s">
        <v>447</v>
      </c>
      <c r="D13" t="s">
        <v>461</v>
      </c>
      <c r="E13" t="s">
        <v>449</v>
      </c>
    </row>
    <row r="14" spans="1:6" x14ac:dyDescent="0.3">
      <c r="A14" t="s">
        <v>9</v>
      </c>
      <c r="B14" t="s">
        <v>25</v>
      </c>
      <c r="C14" t="s">
        <v>447</v>
      </c>
      <c r="D14" t="s">
        <v>462</v>
      </c>
      <c r="E14" t="s">
        <v>449</v>
      </c>
    </row>
    <row r="15" spans="1:6" x14ac:dyDescent="0.3">
      <c r="A15" t="s">
        <v>9</v>
      </c>
      <c r="B15" t="s">
        <v>25</v>
      </c>
      <c r="C15" t="s">
        <v>447</v>
      </c>
      <c r="D15" t="s">
        <v>451</v>
      </c>
      <c r="E15" t="s">
        <v>449</v>
      </c>
    </row>
    <row r="16" spans="1:6" x14ac:dyDescent="0.3">
      <c r="A16" t="s">
        <v>9</v>
      </c>
      <c r="B16" t="s">
        <v>15</v>
      </c>
      <c r="C16" t="s">
        <v>447</v>
      </c>
      <c r="D16" t="s">
        <v>463</v>
      </c>
      <c r="E16" t="s">
        <v>453</v>
      </c>
    </row>
    <row r="17" spans="1:5" x14ac:dyDescent="0.3">
      <c r="A17" t="s">
        <v>9</v>
      </c>
      <c r="B17" t="s">
        <v>15</v>
      </c>
      <c r="C17" t="s">
        <v>447</v>
      </c>
      <c r="D17" t="s">
        <v>464</v>
      </c>
      <c r="E17" t="s">
        <v>453</v>
      </c>
    </row>
    <row r="18" spans="1:5" x14ac:dyDescent="0.3">
      <c r="A18" t="s">
        <v>9</v>
      </c>
      <c r="B18" t="s">
        <v>15</v>
      </c>
      <c r="C18" t="s">
        <v>447</v>
      </c>
      <c r="D18" t="s">
        <v>465</v>
      </c>
      <c r="E18" t="s">
        <v>453</v>
      </c>
    </row>
    <row r="19" spans="1:5" x14ac:dyDescent="0.3">
      <c r="A19" t="s">
        <v>9</v>
      </c>
      <c r="B19" t="s">
        <v>15</v>
      </c>
      <c r="C19" t="s">
        <v>447</v>
      </c>
      <c r="D19" t="s">
        <v>466</v>
      </c>
      <c r="E19" t="s">
        <v>453</v>
      </c>
    </row>
    <row r="20" spans="1:5" x14ac:dyDescent="0.3">
      <c r="A20" t="s">
        <v>9</v>
      </c>
      <c r="B20" t="s">
        <v>25</v>
      </c>
      <c r="C20" t="s">
        <v>447</v>
      </c>
      <c r="D20" t="s">
        <v>467</v>
      </c>
      <c r="E20" t="s">
        <v>453</v>
      </c>
    </row>
    <row r="21" spans="1:5" x14ac:dyDescent="0.3">
      <c r="A21" t="s">
        <v>9</v>
      </c>
      <c r="B21" t="s">
        <v>15</v>
      </c>
      <c r="C21" t="s">
        <v>447</v>
      </c>
      <c r="D21" t="s">
        <v>468</v>
      </c>
      <c r="E21" t="s">
        <v>453</v>
      </c>
    </row>
    <row r="22" spans="1:5" x14ac:dyDescent="0.3">
      <c r="A22" t="s">
        <v>9</v>
      </c>
      <c r="B22" t="s">
        <v>15</v>
      </c>
      <c r="C22" t="s">
        <v>447</v>
      </c>
      <c r="D22" t="s">
        <v>469</v>
      </c>
      <c r="E22" t="s">
        <v>453</v>
      </c>
    </row>
    <row r="23" spans="1:5" x14ac:dyDescent="0.3">
      <c r="A23" t="s">
        <v>9</v>
      </c>
      <c r="B23" t="s">
        <v>15</v>
      </c>
      <c r="C23" t="s">
        <v>447</v>
      </c>
      <c r="D23" t="s">
        <v>470</v>
      </c>
      <c r="E23" t="s">
        <v>453</v>
      </c>
    </row>
    <row r="24" spans="1:5" x14ac:dyDescent="0.3">
      <c r="A24" t="s">
        <v>9</v>
      </c>
      <c r="B24" t="s">
        <v>15</v>
      </c>
      <c r="C24" t="s">
        <v>447</v>
      </c>
      <c r="D24" t="s">
        <v>471</v>
      </c>
      <c r="E24" t="s">
        <v>453</v>
      </c>
    </row>
    <row r="25" spans="1:5" x14ac:dyDescent="0.3">
      <c r="A25" t="s">
        <v>9</v>
      </c>
      <c r="B25" t="s">
        <v>15</v>
      </c>
      <c r="C25" t="s">
        <v>447</v>
      </c>
      <c r="D25" t="s">
        <v>472</v>
      </c>
      <c r="E25" t="s">
        <v>453</v>
      </c>
    </row>
    <row r="26" spans="1:5" x14ac:dyDescent="0.3">
      <c r="A26" t="s">
        <v>9</v>
      </c>
      <c r="B26" t="s">
        <v>15</v>
      </c>
      <c r="C26" t="s">
        <v>447</v>
      </c>
      <c r="D26" t="s">
        <v>473</v>
      </c>
      <c r="E26" t="s">
        <v>453</v>
      </c>
    </row>
    <row r="27" spans="1:5" x14ac:dyDescent="0.3">
      <c r="A27" t="s">
        <v>9</v>
      </c>
      <c r="B27" t="s">
        <v>15</v>
      </c>
      <c r="C27" t="s">
        <v>447</v>
      </c>
      <c r="D27" t="s">
        <v>474</v>
      </c>
      <c r="E27" t="s">
        <v>453</v>
      </c>
    </row>
    <row r="28" spans="1:5" x14ac:dyDescent="0.3">
      <c r="A28" t="s">
        <v>9</v>
      </c>
      <c r="B28" t="s">
        <v>15</v>
      </c>
      <c r="C28" t="s">
        <v>447</v>
      </c>
      <c r="D28" t="s">
        <v>475</v>
      </c>
      <c r="E28" t="s">
        <v>453</v>
      </c>
    </row>
    <row r="29" spans="1:5" x14ac:dyDescent="0.3">
      <c r="A29" t="s">
        <v>9</v>
      </c>
      <c r="B29" t="s">
        <v>15</v>
      </c>
      <c r="C29" t="s">
        <v>447</v>
      </c>
      <c r="D29" t="s">
        <v>476</v>
      </c>
      <c r="E29" t="s">
        <v>453</v>
      </c>
    </row>
    <row r="30" spans="1:5" x14ac:dyDescent="0.3">
      <c r="A30" t="s">
        <v>9</v>
      </c>
      <c r="B30" t="s">
        <v>15</v>
      </c>
      <c r="C30" t="s">
        <v>447</v>
      </c>
      <c r="D30" t="s">
        <v>477</v>
      </c>
      <c r="E30" t="s">
        <v>453</v>
      </c>
    </row>
    <row r="31" spans="1:5" x14ac:dyDescent="0.3">
      <c r="A31" t="s">
        <v>9</v>
      </c>
      <c r="B31" t="s">
        <v>15</v>
      </c>
      <c r="C31" t="s">
        <v>447</v>
      </c>
      <c r="D31" t="s">
        <v>478</v>
      </c>
      <c r="E31" t="s">
        <v>453</v>
      </c>
    </row>
    <row r="32" spans="1:5" x14ac:dyDescent="0.3">
      <c r="A32" t="s">
        <v>9</v>
      </c>
      <c r="B32" t="s">
        <v>15</v>
      </c>
      <c r="C32" t="s">
        <v>447</v>
      </c>
      <c r="D32" t="s">
        <v>479</v>
      </c>
      <c r="E32" t="s">
        <v>453</v>
      </c>
    </row>
    <row r="33" spans="1:5" x14ac:dyDescent="0.3">
      <c r="A33" t="s">
        <v>9</v>
      </c>
      <c r="B33" t="s">
        <v>480</v>
      </c>
      <c r="C33" t="s">
        <v>447</v>
      </c>
      <c r="D33" t="s">
        <v>481</v>
      </c>
      <c r="E33" t="s">
        <v>482</v>
      </c>
    </row>
    <row r="34" spans="1:5" x14ac:dyDescent="0.3">
      <c r="A34" t="s">
        <v>9</v>
      </c>
      <c r="B34" t="s">
        <v>480</v>
      </c>
      <c r="C34" t="s">
        <v>447</v>
      </c>
      <c r="D34" t="s">
        <v>483</v>
      </c>
      <c r="E34" t="s">
        <v>482</v>
      </c>
    </row>
    <row r="35" spans="1:5" x14ac:dyDescent="0.3">
      <c r="A35" t="s">
        <v>9</v>
      </c>
      <c r="B35" t="s">
        <v>480</v>
      </c>
      <c r="C35" t="s">
        <v>447</v>
      </c>
      <c r="D35" t="s">
        <v>484</v>
      </c>
      <c r="E35" t="s">
        <v>482</v>
      </c>
    </row>
    <row r="36" spans="1:5" x14ac:dyDescent="0.3">
      <c r="A36" t="s">
        <v>9</v>
      </c>
      <c r="B36" t="s">
        <v>480</v>
      </c>
      <c r="C36" t="s">
        <v>447</v>
      </c>
      <c r="D36" t="s">
        <v>485</v>
      </c>
      <c r="E36" t="s">
        <v>482</v>
      </c>
    </row>
    <row r="37" spans="1:5" x14ac:dyDescent="0.3">
      <c r="A37" t="s">
        <v>9</v>
      </c>
      <c r="B37" t="s">
        <v>480</v>
      </c>
      <c r="C37" t="s">
        <v>447</v>
      </c>
      <c r="D37" t="s">
        <v>486</v>
      </c>
      <c r="E37" t="s">
        <v>482</v>
      </c>
    </row>
    <row r="38" spans="1:5" x14ac:dyDescent="0.3">
      <c r="A38" t="s">
        <v>9</v>
      </c>
      <c r="B38" t="s">
        <v>480</v>
      </c>
      <c r="C38" t="s">
        <v>447</v>
      </c>
      <c r="D38" t="s">
        <v>487</v>
      </c>
      <c r="E38" t="s">
        <v>482</v>
      </c>
    </row>
    <row r="39" spans="1:5" x14ac:dyDescent="0.3">
      <c r="A39" t="s">
        <v>9</v>
      </c>
      <c r="B39" t="s">
        <v>480</v>
      </c>
      <c r="C39" t="s">
        <v>447</v>
      </c>
      <c r="D39" t="s">
        <v>488</v>
      </c>
      <c r="E39" t="s">
        <v>482</v>
      </c>
    </row>
    <row r="40" spans="1:5" x14ac:dyDescent="0.3">
      <c r="A40" t="s">
        <v>9</v>
      </c>
      <c r="B40" t="s">
        <v>480</v>
      </c>
      <c r="C40" t="s">
        <v>447</v>
      </c>
      <c r="D40" t="s">
        <v>489</v>
      </c>
      <c r="E40" t="s">
        <v>482</v>
      </c>
    </row>
    <row r="41" spans="1:5" x14ac:dyDescent="0.3">
      <c r="A41" t="s">
        <v>9</v>
      </c>
      <c r="B41" t="s">
        <v>480</v>
      </c>
      <c r="C41" t="s">
        <v>447</v>
      </c>
      <c r="D41" t="s">
        <v>490</v>
      </c>
      <c r="E41" t="s">
        <v>491</v>
      </c>
    </row>
    <row r="42" spans="1:5" x14ac:dyDescent="0.3">
      <c r="A42" t="s">
        <v>9</v>
      </c>
      <c r="B42" t="s">
        <v>480</v>
      </c>
      <c r="C42" t="s">
        <v>447</v>
      </c>
      <c r="D42" t="s">
        <v>492</v>
      </c>
      <c r="E42" t="s">
        <v>491</v>
      </c>
    </row>
    <row r="43" spans="1:5" x14ac:dyDescent="0.3">
      <c r="A43" t="s">
        <v>9</v>
      </c>
      <c r="B43" t="s">
        <v>480</v>
      </c>
      <c r="C43" t="s">
        <v>447</v>
      </c>
      <c r="D43" t="s">
        <v>493</v>
      </c>
      <c r="E43" t="s">
        <v>491</v>
      </c>
    </row>
    <row r="44" spans="1:5" x14ac:dyDescent="0.3">
      <c r="A44" t="s">
        <v>9</v>
      </c>
      <c r="B44" t="s">
        <v>480</v>
      </c>
      <c r="C44" t="s">
        <v>447</v>
      </c>
      <c r="D44" t="s">
        <v>494</v>
      </c>
      <c r="E44" t="s">
        <v>491</v>
      </c>
    </row>
    <row r="45" spans="1:5" x14ac:dyDescent="0.3">
      <c r="A45" t="s">
        <v>9</v>
      </c>
      <c r="B45" t="s">
        <v>480</v>
      </c>
      <c r="C45" t="s">
        <v>447</v>
      </c>
      <c r="D45" t="s">
        <v>495</v>
      </c>
      <c r="E45" t="s">
        <v>482</v>
      </c>
    </row>
    <row r="46" spans="1:5" x14ac:dyDescent="0.3">
      <c r="A46" t="s">
        <v>9</v>
      </c>
      <c r="B46" t="s">
        <v>496</v>
      </c>
      <c r="C46" t="s">
        <v>447</v>
      </c>
      <c r="D46" t="s">
        <v>497</v>
      </c>
      <c r="E46" t="s">
        <v>491</v>
      </c>
    </row>
    <row r="47" spans="1:5" x14ac:dyDescent="0.3">
      <c r="A47" t="s">
        <v>9</v>
      </c>
      <c r="B47" t="s">
        <v>496</v>
      </c>
      <c r="C47" t="s">
        <v>447</v>
      </c>
      <c r="D47" t="s">
        <v>498</v>
      </c>
      <c r="E47" t="s">
        <v>499</v>
      </c>
    </row>
    <row r="48" spans="1:5" x14ac:dyDescent="0.3">
      <c r="A48" t="s">
        <v>9</v>
      </c>
      <c r="B48" t="s">
        <v>496</v>
      </c>
      <c r="C48" t="s">
        <v>447</v>
      </c>
      <c r="D48" t="s">
        <v>500</v>
      </c>
      <c r="E48" t="s">
        <v>491</v>
      </c>
    </row>
    <row r="49" spans="1:5" x14ac:dyDescent="0.3">
      <c r="A49" t="s">
        <v>9</v>
      </c>
      <c r="B49" t="s">
        <v>496</v>
      </c>
      <c r="C49" t="s">
        <v>447</v>
      </c>
      <c r="D49" t="s">
        <v>501</v>
      </c>
      <c r="E49" t="s">
        <v>491</v>
      </c>
    </row>
    <row r="50" spans="1:5" x14ac:dyDescent="0.3">
      <c r="A50" t="s">
        <v>9</v>
      </c>
      <c r="B50" t="s">
        <v>496</v>
      </c>
      <c r="C50" t="s">
        <v>447</v>
      </c>
      <c r="D50" t="s">
        <v>502</v>
      </c>
      <c r="E50" t="s">
        <v>491</v>
      </c>
    </row>
    <row r="51" spans="1:5" x14ac:dyDescent="0.3">
      <c r="A51" t="s">
        <v>9</v>
      </c>
      <c r="B51" t="s">
        <v>496</v>
      </c>
      <c r="C51" t="s">
        <v>447</v>
      </c>
      <c r="D51" t="s">
        <v>503</v>
      </c>
      <c r="E51" t="s">
        <v>491</v>
      </c>
    </row>
    <row r="52" spans="1:5" x14ac:dyDescent="0.3">
      <c r="A52" t="s">
        <v>9</v>
      </c>
      <c r="B52" t="s">
        <v>496</v>
      </c>
      <c r="C52" t="s">
        <v>447</v>
      </c>
      <c r="D52" t="s">
        <v>504</v>
      </c>
      <c r="E52" t="s">
        <v>491</v>
      </c>
    </row>
    <row r="53" spans="1:5" x14ac:dyDescent="0.3">
      <c r="A53" t="s">
        <v>9</v>
      </c>
      <c r="B53" t="s">
        <v>496</v>
      </c>
      <c r="C53" t="s">
        <v>447</v>
      </c>
      <c r="D53" t="s">
        <v>505</v>
      </c>
      <c r="E53" t="s">
        <v>491</v>
      </c>
    </row>
    <row r="54" spans="1:5" x14ac:dyDescent="0.3">
      <c r="A54" t="s">
        <v>9</v>
      </c>
      <c r="B54" t="s">
        <v>496</v>
      </c>
      <c r="C54" t="s">
        <v>447</v>
      </c>
      <c r="D54" t="s">
        <v>506</v>
      </c>
      <c r="E54" t="s">
        <v>491</v>
      </c>
    </row>
    <row r="55" spans="1:5" x14ac:dyDescent="0.3">
      <c r="A55" t="s">
        <v>9</v>
      </c>
      <c r="B55" t="s">
        <v>496</v>
      </c>
      <c r="C55" t="s">
        <v>447</v>
      </c>
      <c r="D55" t="s">
        <v>507</v>
      </c>
      <c r="E55" t="s">
        <v>491</v>
      </c>
    </row>
    <row r="56" spans="1:5" x14ac:dyDescent="0.3">
      <c r="A56" t="s">
        <v>9</v>
      </c>
      <c r="B56" t="s">
        <v>496</v>
      </c>
      <c r="C56" t="s">
        <v>447</v>
      </c>
      <c r="D56" t="s">
        <v>508</v>
      </c>
      <c r="E56" t="s">
        <v>491</v>
      </c>
    </row>
    <row r="57" spans="1:5" x14ac:dyDescent="0.3">
      <c r="A57" t="s">
        <v>9</v>
      </c>
      <c r="B57" t="s">
        <v>496</v>
      </c>
      <c r="C57" t="s">
        <v>447</v>
      </c>
      <c r="D57" t="s">
        <v>509</v>
      </c>
      <c r="E57" t="s">
        <v>491</v>
      </c>
    </row>
    <row r="58" spans="1:5" x14ac:dyDescent="0.3">
      <c r="A58" t="s">
        <v>9</v>
      </c>
      <c r="B58" t="s">
        <v>496</v>
      </c>
      <c r="C58" t="s">
        <v>447</v>
      </c>
      <c r="D58" t="s">
        <v>510</v>
      </c>
      <c r="E58" t="s">
        <v>491</v>
      </c>
    </row>
    <row r="59" spans="1:5" x14ac:dyDescent="0.3">
      <c r="A59" t="s">
        <v>9</v>
      </c>
      <c r="B59" t="s">
        <v>496</v>
      </c>
      <c r="C59" t="s">
        <v>447</v>
      </c>
      <c r="D59" t="s">
        <v>511</v>
      </c>
      <c r="E59" t="s">
        <v>491</v>
      </c>
    </row>
    <row r="60" spans="1:5" x14ac:dyDescent="0.3">
      <c r="A60" t="s">
        <v>9</v>
      </c>
      <c r="B60" t="s">
        <v>512</v>
      </c>
      <c r="C60" t="s">
        <v>447</v>
      </c>
      <c r="D60" t="s">
        <v>513</v>
      </c>
      <c r="E60" t="s">
        <v>514</v>
      </c>
    </row>
    <row r="61" spans="1:5" x14ac:dyDescent="0.3">
      <c r="A61" t="s">
        <v>11</v>
      </c>
      <c r="B61" t="s">
        <v>26</v>
      </c>
      <c r="C61" t="s">
        <v>447</v>
      </c>
      <c r="D61" t="s">
        <v>515</v>
      </c>
      <c r="E61" t="s">
        <v>449</v>
      </c>
    </row>
    <row r="62" spans="1:5" x14ac:dyDescent="0.3">
      <c r="A62" t="s">
        <v>11</v>
      </c>
      <c r="B62" t="s">
        <v>26</v>
      </c>
      <c r="C62" t="s">
        <v>447</v>
      </c>
      <c r="D62" t="s">
        <v>516</v>
      </c>
      <c r="E62" t="s">
        <v>449</v>
      </c>
    </row>
    <row r="63" spans="1:5" x14ac:dyDescent="0.3">
      <c r="A63" t="s">
        <v>11</v>
      </c>
      <c r="B63" t="s">
        <v>26</v>
      </c>
      <c r="C63" t="s">
        <v>447</v>
      </c>
      <c r="D63" t="s">
        <v>517</v>
      </c>
      <c r="E63" t="s">
        <v>449</v>
      </c>
    </row>
    <row r="64" spans="1:5" x14ac:dyDescent="0.3">
      <c r="A64" t="s">
        <v>11</v>
      </c>
      <c r="B64" t="s">
        <v>26</v>
      </c>
      <c r="C64" t="s">
        <v>447</v>
      </c>
      <c r="D64" t="s">
        <v>468</v>
      </c>
      <c r="E64" t="s">
        <v>449</v>
      </c>
    </row>
    <row r="65" spans="1:5" x14ac:dyDescent="0.3">
      <c r="A65" t="s">
        <v>11</v>
      </c>
      <c r="B65" t="s">
        <v>26</v>
      </c>
      <c r="C65" t="s">
        <v>447</v>
      </c>
      <c r="D65" t="s">
        <v>518</v>
      </c>
      <c r="E65" t="s">
        <v>449</v>
      </c>
    </row>
    <row r="66" spans="1:5" x14ac:dyDescent="0.3">
      <c r="A66" t="s">
        <v>11</v>
      </c>
      <c r="B66" t="s">
        <v>26</v>
      </c>
      <c r="C66" t="s">
        <v>447</v>
      </c>
      <c r="D66" t="s">
        <v>475</v>
      </c>
      <c r="E66" t="s">
        <v>449</v>
      </c>
    </row>
    <row r="67" spans="1:5" x14ac:dyDescent="0.3">
      <c r="A67" t="s">
        <v>11</v>
      </c>
      <c r="B67" t="s">
        <v>26</v>
      </c>
      <c r="C67" t="s">
        <v>447</v>
      </c>
      <c r="D67" t="s">
        <v>476</v>
      </c>
      <c r="E67" t="s">
        <v>449</v>
      </c>
    </row>
    <row r="68" spans="1:5" x14ac:dyDescent="0.3">
      <c r="A68" t="s">
        <v>11</v>
      </c>
      <c r="B68" t="s">
        <v>26</v>
      </c>
      <c r="C68" t="s">
        <v>447</v>
      </c>
      <c r="D68" t="s">
        <v>462</v>
      </c>
      <c r="E68" t="s">
        <v>449</v>
      </c>
    </row>
    <row r="69" spans="1:5" x14ac:dyDescent="0.3">
      <c r="A69" t="s">
        <v>11</v>
      </c>
      <c r="B69" t="s">
        <v>26</v>
      </c>
      <c r="C69" t="s">
        <v>447</v>
      </c>
      <c r="D69" t="s">
        <v>519</v>
      </c>
      <c r="E69" t="s">
        <v>449</v>
      </c>
    </row>
    <row r="70" spans="1:5" x14ac:dyDescent="0.3">
      <c r="A70" t="s">
        <v>11</v>
      </c>
      <c r="B70" t="s">
        <v>26</v>
      </c>
      <c r="C70" t="s">
        <v>447</v>
      </c>
      <c r="D70" t="s">
        <v>465</v>
      </c>
      <c r="E70" t="s">
        <v>449</v>
      </c>
    </row>
    <row r="71" spans="1:5" x14ac:dyDescent="0.3">
      <c r="A71" t="s">
        <v>11</v>
      </c>
      <c r="B71" t="s">
        <v>26</v>
      </c>
      <c r="C71" t="s">
        <v>447</v>
      </c>
      <c r="D71" t="s">
        <v>464</v>
      </c>
      <c r="E71" t="s">
        <v>449</v>
      </c>
    </row>
    <row r="72" spans="1:5" x14ac:dyDescent="0.3">
      <c r="A72" t="s">
        <v>11</v>
      </c>
      <c r="B72" t="s">
        <v>26</v>
      </c>
      <c r="C72" t="s">
        <v>447</v>
      </c>
      <c r="D72" t="s">
        <v>457</v>
      </c>
      <c r="E72" t="s">
        <v>449</v>
      </c>
    </row>
    <row r="73" spans="1:5" x14ac:dyDescent="0.3">
      <c r="A73" t="s">
        <v>11</v>
      </c>
      <c r="B73" t="s">
        <v>26</v>
      </c>
      <c r="C73" t="s">
        <v>447</v>
      </c>
      <c r="D73" t="s">
        <v>459</v>
      </c>
      <c r="E73" t="s">
        <v>449</v>
      </c>
    </row>
    <row r="74" spans="1:5" x14ac:dyDescent="0.3">
      <c r="A74" t="s">
        <v>11</v>
      </c>
      <c r="B74" t="s">
        <v>26</v>
      </c>
      <c r="C74" t="s">
        <v>447</v>
      </c>
      <c r="D74" t="s">
        <v>467</v>
      </c>
      <c r="E74" t="s">
        <v>449</v>
      </c>
    </row>
    <row r="75" spans="1:5" x14ac:dyDescent="0.3">
      <c r="A75" t="s">
        <v>11</v>
      </c>
      <c r="B75" t="s">
        <v>26</v>
      </c>
      <c r="C75" t="s">
        <v>447</v>
      </c>
      <c r="D75" t="s">
        <v>460</v>
      </c>
      <c r="E75" t="s">
        <v>449</v>
      </c>
    </row>
    <row r="76" spans="1:5" x14ac:dyDescent="0.3">
      <c r="A76" t="s">
        <v>11</v>
      </c>
      <c r="B76" t="s">
        <v>26</v>
      </c>
      <c r="C76" t="s">
        <v>447</v>
      </c>
      <c r="D76" t="s">
        <v>461</v>
      </c>
      <c r="E76" t="s">
        <v>449</v>
      </c>
    </row>
    <row r="77" spans="1:5" x14ac:dyDescent="0.3">
      <c r="A77" t="s">
        <v>11</v>
      </c>
      <c r="B77" t="s">
        <v>26</v>
      </c>
      <c r="C77" t="s">
        <v>447</v>
      </c>
      <c r="D77" t="s">
        <v>463</v>
      </c>
      <c r="E77" t="s">
        <v>449</v>
      </c>
    </row>
    <row r="78" spans="1:5" x14ac:dyDescent="0.3">
      <c r="A78" t="s">
        <v>11</v>
      </c>
      <c r="B78" t="s">
        <v>17</v>
      </c>
      <c r="C78" t="s">
        <v>447</v>
      </c>
      <c r="D78" t="s">
        <v>520</v>
      </c>
      <c r="E78" t="s">
        <v>453</v>
      </c>
    </row>
    <row r="79" spans="1:5" x14ac:dyDescent="0.3">
      <c r="A79" t="s">
        <v>11</v>
      </c>
      <c r="B79" t="s">
        <v>17</v>
      </c>
      <c r="C79" t="s">
        <v>447</v>
      </c>
      <c r="D79" t="s">
        <v>490</v>
      </c>
      <c r="E79" t="s">
        <v>453</v>
      </c>
    </row>
    <row r="80" spans="1:5" x14ac:dyDescent="0.3">
      <c r="A80" t="s">
        <v>11</v>
      </c>
      <c r="B80" t="s">
        <v>17</v>
      </c>
      <c r="C80" t="s">
        <v>447</v>
      </c>
      <c r="D80" t="s">
        <v>492</v>
      </c>
      <c r="E80" t="s">
        <v>453</v>
      </c>
    </row>
    <row r="81" spans="1:5" x14ac:dyDescent="0.3">
      <c r="A81" t="s">
        <v>11</v>
      </c>
      <c r="B81" t="s">
        <v>17</v>
      </c>
      <c r="C81" t="s">
        <v>447</v>
      </c>
      <c r="D81" t="s">
        <v>521</v>
      </c>
      <c r="E81" t="s">
        <v>453</v>
      </c>
    </row>
    <row r="82" spans="1:5" x14ac:dyDescent="0.3">
      <c r="A82" t="s">
        <v>11</v>
      </c>
      <c r="B82" t="s">
        <v>17</v>
      </c>
      <c r="C82" t="s">
        <v>447</v>
      </c>
      <c r="D82" t="s">
        <v>494</v>
      </c>
      <c r="E82" t="s">
        <v>453</v>
      </c>
    </row>
    <row r="83" spans="1:5" x14ac:dyDescent="0.3">
      <c r="A83" t="s">
        <v>11</v>
      </c>
      <c r="B83" t="s">
        <v>17</v>
      </c>
      <c r="C83" t="s">
        <v>447</v>
      </c>
      <c r="D83" t="s">
        <v>522</v>
      </c>
      <c r="E83" t="s">
        <v>453</v>
      </c>
    </row>
    <row r="84" spans="1:5" x14ac:dyDescent="0.3">
      <c r="A84" t="s">
        <v>11</v>
      </c>
      <c r="B84" t="s">
        <v>17</v>
      </c>
      <c r="C84" t="s">
        <v>447</v>
      </c>
      <c r="D84" t="s">
        <v>523</v>
      </c>
      <c r="E84" t="s">
        <v>453</v>
      </c>
    </row>
    <row r="85" spans="1:5" x14ac:dyDescent="0.3">
      <c r="A85" t="s">
        <v>11</v>
      </c>
      <c r="B85" t="s">
        <v>17</v>
      </c>
      <c r="C85" t="s">
        <v>447</v>
      </c>
      <c r="D85" t="s">
        <v>524</v>
      </c>
      <c r="E85" t="s">
        <v>453</v>
      </c>
    </row>
    <row r="86" spans="1:5" x14ac:dyDescent="0.3">
      <c r="A86" t="s">
        <v>11</v>
      </c>
      <c r="B86" t="s">
        <v>17</v>
      </c>
      <c r="C86" t="s">
        <v>447</v>
      </c>
      <c r="D86" t="s">
        <v>525</v>
      </c>
      <c r="E86" t="s">
        <v>453</v>
      </c>
    </row>
    <row r="87" spans="1:5" x14ac:dyDescent="0.3">
      <c r="A87" t="s">
        <v>11</v>
      </c>
      <c r="B87" t="s">
        <v>17</v>
      </c>
      <c r="C87" t="s">
        <v>447</v>
      </c>
      <c r="D87" t="s">
        <v>526</v>
      </c>
      <c r="E87" t="s">
        <v>453</v>
      </c>
    </row>
    <row r="88" spans="1:5" x14ac:dyDescent="0.3">
      <c r="A88" t="s">
        <v>11</v>
      </c>
      <c r="B88" t="s">
        <v>88</v>
      </c>
      <c r="C88" t="s">
        <v>447</v>
      </c>
      <c r="D88" t="s">
        <v>527</v>
      </c>
      <c r="E88" t="s">
        <v>482</v>
      </c>
    </row>
    <row r="89" spans="1:5" x14ac:dyDescent="0.3">
      <c r="A89" t="s">
        <v>11</v>
      </c>
      <c r="B89" t="s">
        <v>88</v>
      </c>
      <c r="C89" t="s">
        <v>447</v>
      </c>
      <c r="D89" t="s">
        <v>528</v>
      </c>
      <c r="E89" t="s">
        <v>491</v>
      </c>
    </row>
    <row r="90" spans="1:5" x14ac:dyDescent="0.3">
      <c r="A90" t="s">
        <v>11</v>
      </c>
      <c r="B90" t="s">
        <v>88</v>
      </c>
      <c r="C90" t="s">
        <v>447</v>
      </c>
      <c r="D90" t="s">
        <v>506</v>
      </c>
      <c r="E90" t="s">
        <v>482</v>
      </c>
    </row>
    <row r="91" spans="1:5" x14ac:dyDescent="0.3">
      <c r="A91" t="s">
        <v>11</v>
      </c>
      <c r="B91" t="s">
        <v>529</v>
      </c>
      <c r="C91" t="s">
        <v>447</v>
      </c>
      <c r="D91" t="s">
        <v>530</v>
      </c>
      <c r="E91" t="s">
        <v>491</v>
      </c>
    </row>
    <row r="92" spans="1:5" x14ac:dyDescent="0.3">
      <c r="A92" t="s">
        <v>11</v>
      </c>
      <c r="B92" t="s">
        <v>529</v>
      </c>
      <c r="C92" t="s">
        <v>447</v>
      </c>
      <c r="D92" t="s">
        <v>531</v>
      </c>
      <c r="E92" t="s">
        <v>491</v>
      </c>
    </row>
    <row r="93" spans="1:5" x14ac:dyDescent="0.3">
      <c r="A93" t="s">
        <v>11</v>
      </c>
      <c r="B93" t="s">
        <v>529</v>
      </c>
      <c r="C93" t="s">
        <v>447</v>
      </c>
      <c r="D93" t="s">
        <v>532</v>
      </c>
      <c r="E93" t="s">
        <v>491</v>
      </c>
    </row>
    <row r="94" spans="1:5" x14ac:dyDescent="0.3">
      <c r="A94" t="s">
        <v>11</v>
      </c>
      <c r="B94" t="s">
        <v>529</v>
      </c>
      <c r="C94" t="s">
        <v>447</v>
      </c>
      <c r="D94" t="s">
        <v>533</v>
      </c>
      <c r="E94" t="s">
        <v>491</v>
      </c>
    </row>
    <row r="95" spans="1:5" x14ac:dyDescent="0.3">
      <c r="A95" t="s">
        <v>11</v>
      </c>
      <c r="B95" t="s">
        <v>534</v>
      </c>
      <c r="C95" t="s">
        <v>447</v>
      </c>
      <c r="D95" t="s">
        <v>535</v>
      </c>
      <c r="E95" t="s">
        <v>491</v>
      </c>
    </row>
    <row r="96" spans="1:5" x14ac:dyDescent="0.3">
      <c r="A96" t="s">
        <v>11</v>
      </c>
      <c r="B96" t="s">
        <v>534</v>
      </c>
      <c r="C96" t="s">
        <v>447</v>
      </c>
      <c r="D96" t="s">
        <v>536</v>
      </c>
      <c r="E96" t="s">
        <v>491</v>
      </c>
    </row>
    <row r="97" spans="1:5" x14ac:dyDescent="0.3">
      <c r="A97" t="s">
        <v>11</v>
      </c>
      <c r="B97" t="s">
        <v>534</v>
      </c>
      <c r="C97" t="s">
        <v>447</v>
      </c>
      <c r="D97" t="s">
        <v>537</v>
      </c>
      <c r="E97" t="s">
        <v>491</v>
      </c>
    </row>
    <row r="98" spans="1:5" x14ac:dyDescent="0.3">
      <c r="A98" t="s">
        <v>11</v>
      </c>
      <c r="B98" t="s">
        <v>534</v>
      </c>
      <c r="C98" t="s">
        <v>447</v>
      </c>
      <c r="D98" t="s">
        <v>538</v>
      </c>
      <c r="E98" t="s">
        <v>491</v>
      </c>
    </row>
    <row r="99" spans="1:5" x14ac:dyDescent="0.3">
      <c r="A99" t="s">
        <v>11</v>
      </c>
      <c r="B99" t="s">
        <v>539</v>
      </c>
      <c r="C99" t="s">
        <v>447</v>
      </c>
      <c r="D99" t="s">
        <v>511</v>
      </c>
      <c r="E99" t="s">
        <v>491</v>
      </c>
    </row>
    <row r="100" spans="1:5" x14ac:dyDescent="0.3">
      <c r="A100" t="s">
        <v>11</v>
      </c>
      <c r="B100" t="s">
        <v>539</v>
      </c>
      <c r="C100" t="s">
        <v>447</v>
      </c>
      <c r="D100" t="s">
        <v>503</v>
      </c>
      <c r="E100" t="s">
        <v>491</v>
      </c>
    </row>
    <row r="101" spans="1:5" x14ac:dyDescent="0.3">
      <c r="A101" t="s">
        <v>11</v>
      </c>
      <c r="B101" t="s">
        <v>539</v>
      </c>
      <c r="C101" t="s">
        <v>447</v>
      </c>
      <c r="D101" t="s">
        <v>505</v>
      </c>
      <c r="E101" t="s">
        <v>491</v>
      </c>
    </row>
    <row r="102" spans="1:5" x14ac:dyDescent="0.3">
      <c r="A102" t="s">
        <v>11</v>
      </c>
      <c r="B102" t="s">
        <v>539</v>
      </c>
      <c r="C102" t="s">
        <v>447</v>
      </c>
      <c r="D102" t="s">
        <v>509</v>
      </c>
      <c r="E102" t="s">
        <v>491</v>
      </c>
    </row>
    <row r="103" spans="1:5" x14ac:dyDescent="0.3">
      <c r="A103" t="s">
        <v>11</v>
      </c>
      <c r="B103" t="s">
        <v>412</v>
      </c>
      <c r="C103" t="s">
        <v>447</v>
      </c>
      <c r="D103" t="s">
        <v>502</v>
      </c>
      <c r="E103" t="s">
        <v>453</v>
      </c>
    </row>
    <row r="104" spans="1:5" x14ac:dyDescent="0.3">
      <c r="A104" t="s">
        <v>11</v>
      </c>
      <c r="B104" t="s">
        <v>412</v>
      </c>
      <c r="C104" t="s">
        <v>447</v>
      </c>
      <c r="D104" t="s">
        <v>501</v>
      </c>
      <c r="E104" t="s">
        <v>453</v>
      </c>
    </row>
    <row r="105" spans="1:5" x14ac:dyDescent="0.3">
      <c r="A105" t="s">
        <v>11</v>
      </c>
      <c r="B105" t="s">
        <v>412</v>
      </c>
      <c r="C105" t="s">
        <v>447</v>
      </c>
      <c r="D105" t="s">
        <v>540</v>
      </c>
      <c r="E105" t="s">
        <v>453</v>
      </c>
    </row>
    <row r="106" spans="1:5" x14ac:dyDescent="0.3">
      <c r="A106" t="s">
        <v>11</v>
      </c>
      <c r="B106" t="s">
        <v>412</v>
      </c>
      <c r="C106" t="s">
        <v>447</v>
      </c>
      <c r="D106" t="s">
        <v>541</v>
      </c>
      <c r="E106" t="s">
        <v>453</v>
      </c>
    </row>
    <row r="107" spans="1:5" x14ac:dyDescent="0.3">
      <c r="A107" t="s">
        <v>11</v>
      </c>
      <c r="B107" t="s">
        <v>412</v>
      </c>
      <c r="C107" t="s">
        <v>447</v>
      </c>
      <c r="D107" t="s">
        <v>508</v>
      </c>
      <c r="E107" t="s">
        <v>453</v>
      </c>
    </row>
    <row r="108" spans="1:5" x14ac:dyDescent="0.3">
      <c r="A108" t="s">
        <v>11</v>
      </c>
      <c r="B108" t="s">
        <v>542</v>
      </c>
      <c r="C108" t="s">
        <v>447</v>
      </c>
      <c r="D108" t="s">
        <v>543</v>
      </c>
      <c r="E108" t="s">
        <v>491</v>
      </c>
    </row>
    <row r="109" spans="1:5" x14ac:dyDescent="0.3">
      <c r="A109" t="s">
        <v>11</v>
      </c>
      <c r="B109" t="s">
        <v>544</v>
      </c>
      <c r="C109" t="s">
        <v>447</v>
      </c>
      <c r="D109" t="s">
        <v>513</v>
      </c>
      <c r="E109" t="s">
        <v>514</v>
      </c>
    </row>
    <row r="110" spans="1:5" x14ac:dyDescent="0.3">
      <c r="A110" t="s">
        <v>12</v>
      </c>
      <c r="B110" t="s">
        <v>403</v>
      </c>
      <c r="C110" t="s">
        <v>447</v>
      </c>
      <c r="D110" t="s">
        <v>545</v>
      </c>
      <c r="E110" t="s">
        <v>453</v>
      </c>
    </row>
    <row r="111" spans="1:5" x14ac:dyDescent="0.3">
      <c r="A111" t="s">
        <v>12</v>
      </c>
      <c r="B111" t="s">
        <v>403</v>
      </c>
      <c r="C111" t="s">
        <v>447</v>
      </c>
      <c r="D111" t="s">
        <v>546</v>
      </c>
      <c r="E111" t="s">
        <v>453</v>
      </c>
    </row>
    <row r="112" spans="1:5" x14ac:dyDescent="0.3">
      <c r="A112" t="s">
        <v>12</v>
      </c>
      <c r="B112" t="s">
        <v>403</v>
      </c>
      <c r="C112" t="s">
        <v>447</v>
      </c>
      <c r="D112" t="s">
        <v>547</v>
      </c>
      <c r="E112" t="s">
        <v>453</v>
      </c>
    </row>
    <row r="113" spans="1:5" x14ac:dyDescent="0.3">
      <c r="A113" t="s">
        <v>12</v>
      </c>
      <c r="B113" t="s">
        <v>548</v>
      </c>
      <c r="C113" t="s">
        <v>447</v>
      </c>
      <c r="D113" t="s">
        <v>549</v>
      </c>
      <c r="E113" t="s">
        <v>453</v>
      </c>
    </row>
    <row r="114" spans="1:5" x14ac:dyDescent="0.3">
      <c r="A114" t="s">
        <v>12</v>
      </c>
      <c r="B114" t="s">
        <v>548</v>
      </c>
      <c r="C114" t="s">
        <v>447</v>
      </c>
      <c r="D114" t="s">
        <v>550</v>
      </c>
      <c r="E114" t="s">
        <v>453</v>
      </c>
    </row>
    <row r="115" spans="1:5" x14ac:dyDescent="0.3">
      <c r="A115" t="s">
        <v>12</v>
      </c>
      <c r="B115" t="s">
        <v>548</v>
      </c>
      <c r="C115" t="s">
        <v>447</v>
      </c>
      <c r="D115" t="s">
        <v>551</v>
      </c>
      <c r="E115" t="s">
        <v>453</v>
      </c>
    </row>
    <row r="116" spans="1:5" x14ac:dyDescent="0.3">
      <c r="A116" t="s">
        <v>12</v>
      </c>
      <c r="B116" t="s">
        <v>548</v>
      </c>
      <c r="C116" t="s">
        <v>447</v>
      </c>
      <c r="D116" t="s">
        <v>552</v>
      </c>
      <c r="E116" t="s">
        <v>453</v>
      </c>
    </row>
    <row r="117" spans="1:5" x14ac:dyDescent="0.3">
      <c r="A117" t="s">
        <v>12</v>
      </c>
      <c r="B117" t="s">
        <v>553</v>
      </c>
      <c r="C117" t="s">
        <v>447</v>
      </c>
      <c r="D117" t="s">
        <v>554</v>
      </c>
      <c r="E117" t="s">
        <v>453</v>
      </c>
    </row>
    <row r="118" spans="1:5" x14ac:dyDescent="0.3">
      <c r="A118" t="s">
        <v>12</v>
      </c>
      <c r="B118" t="s">
        <v>548</v>
      </c>
      <c r="C118" t="s">
        <v>447</v>
      </c>
      <c r="D118" t="s">
        <v>555</v>
      </c>
      <c r="E118" t="s">
        <v>453</v>
      </c>
    </row>
    <row r="119" spans="1:5" x14ac:dyDescent="0.3">
      <c r="A119" t="s">
        <v>12</v>
      </c>
      <c r="B119" t="s">
        <v>548</v>
      </c>
      <c r="C119" t="s">
        <v>447</v>
      </c>
      <c r="D119" t="s">
        <v>550</v>
      </c>
      <c r="E119" t="s">
        <v>453</v>
      </c>
    </row>
    <row r="120" spans="1:5" x14ac:dyDescent="0.3">
      <c r="A120" t="s">
        <v>12</v>
      </c>
      <c r="B120" t="s">
        <v>548</v>
      </c>
      <c r="C120" t="s">
        <v>447</v>
      </c>
      <c r="D120" t="s">
        <v>556</v>
      </c>
      <c r="E120" t="s">
        <v>453</v>
      </c>
    </row>
    <row r="121" spans="1:5" x14ac:dyDescent="0.3">
      <c r="A121" t="s">
        <v>12</v>
      </c>
      <c r="B121" t="s">
        <v>548</v>
      </c>
      <c r="C121" t="s">
        <v>447</v>
      </c>
      <c r="D121" t="s">
        <v>557</v>
      </c>
      <c r="E121" t="s">
        <v>453</v>
      </c>
    </row>
    <row r="122" spans="1:5" x14ac:dyDescent="0.3">
      <c r="A122" t="s">
        <v>12</v>
      </c>
      <c r="B122" t="s">
        <v>553</v>
      </c>
      <c r="C122" t="s">
        <v>447</v>
      </c>
      <c r="D122" t="s">
        <v>558</v>
      </c>
      <c r="E122" t="s">
        <v>453</v>
      </c>
    </row>
    <row r="123" spans="1:5" x14ac:dyDescent="0.3">
      <c r="A123" t="s">
        <v>12</v>
      </c>
      <c r="B123" t="s">
        <v>553</v>
      </c>
      <c r="C123" t="s">
        <v>447</v>
      </c>
      <c r="D123" t="s">
        <v>559</v>
      </c>
      <c r="E123" t="s">
        <v>453</v>
      </c>
    </row>
    <row r="124" spans="1:5" x14ac:dyDescent="0.3">
      <c r="A124" t="s">
        <v>12</v>
      </c>
      <c r="B124" t="s">
        <v>553</v>
      </c>
      <c r="C124" t="s">
        <v>447</v>
      </c>
      <c r="D124" t="s">
        <v>560</v>
      </c>
      <c r="E124" t="s">
        <v>453</v>
      </c>
    </row>
    <row r="125" spans="1:5" x14ac:dyDescent="0.3">
      <c r="A125" t="s">
        <v>12</v>
      </c>
      <c r="B125" t="s">
        <v>553</v>
      </c>
      <c r="C125" t="s">
        <v>447</v>
      </c>
      <c r="D125" t="s">
        <v>561</v>
      </c>
      <c r="E125" t="s">
        <v>453</v>
      </c>
    </row>
    <row r="126" spans="1:5" x14ac:dyDescent="0.3">
      <c r="A126" t="s">
        <v>12</v>
      </c>
      <c r="B126" t="s">
        <v>553</v>
      </c>
      <c r="C126" t="s">
        <v>447</v>
      </c>
      <c r="D126" t="s">
        <v>562</v>
      </c>
      <c r="E126" t="s">
        <v>453</v>
      </c>
    </row>
    <row r="127" spans="1:5" x14ac:dyDescent="0.3">
      <c r="A127" t="s">
        <v>12</v>
      </c>
      <c r="B127" t="s">
        <v>563</v>
      </c>
      <c r="C127" t="s">
        <v>447</v>
      </c>
      <c r="D127" t="s">
        <v>564</v>
      </c>
      <c r="E127" t="s">
        <v>482</v>
      </c>
    </row>
    <row r="128" spans="1:5" x14ac:dyDescent="0.3">
      <c r="A128" t="s">
        <v>12</v>
      </c>
      <c r="B128" t="s">
        <v>563</v>
      </c>
      <c r="C128" t="s">
        <v>447</v>
      </c>
      <c r="D128" t="s">
        <v>565</v>
      </c>
      <c r="E128" t="s">
        <v>482</v>
      </c>
    </row>
    <row r="129" spans="1:5" x14ac:dyDescent="0.3">
      <c r="A129" t="s">
        <v>12</v>
      </c>
      <c r="B129" t="s">
        <v>563</v>
      </c>
      <c r="C129" t="s">
        <v>447</v>
      </c>
      <c r="D129" t="s">
        <v>566</v>
      </c>
      <c r="E129" t="s">
        <v>482</v>
      </c>
    </row>
    <row r="130" spans="1:5" x14ac:dyDescent="0.3">
      <c r="A130" t="s">
        <v>12</v>
      </c>
      <c r="B130" t="s">
        <v>563</v>
      </c>
      <c r="C130" t="s">
        <v>447</v>
      </c>
      <c r="D130" t="s">
        <v>567</v>
      </c>
      <c r="E130" t="s">
        <v>482</v>
      </c>
    </row>
    <row r="131" spans="1:5" x14ac:dyDescent="0.3">
      <c r="A131" t="s">
        <v>12</v>
      </c>
      <c r="B131" t="s">
        <v>563</v>
      </c>
      <c r="C131" t="s">
        <v>447</v>
      </c>
      <c r="D131" t="s">
        <v>568</v>
      </c>
      <c r="E131" t="s">
        <v>482</v>
      </c>
    </row>
    <row r="132" spans="1:5" x14ac:dyDescent="0.3">
      <c r="A132" t="s">
        <v>12</v>
      </c>
      <c r="B132" t="s">
        <v>563</v>
      </c>
      <c r="C132" t="s">
        <v>447</v>
      </c>
      <c r="D132" t="s">
        <v>569</v>
      </c>
      <c r="E132" t="s">
        <v>482</v>
      </c>
    </row>
    <row r="133" spans="1:5" x14ac:dyDescent="0.3">
      <c r="A133" t="s">
        <v>12</v>
      </c>
      <c r="B133" t="s">
        <v>563</v>
      </c>
      <c r="C133" t="s">
        <v>447</v>
      </c>
      <c r="D133" t="s">
        <v>570</v>
      </c>
      <c r="E133" t="s">
        <v>482</v>
      </c>
    </row>
    <row r="134" spans="1:5" x14ac:dyDescent="0.3">
      <c r="A134" t="s">
        <v>12</v>
      </c>
      <c r="B134" t="s">
        <v>563</v>
      </c>
      <c r="C134" t="s">
        <v>447</v>
      </c>
      <c r="D134" t="s">
        <v>571</v>
      </c>
      <c r="E134" t="s">
        <v>482</v>
      </c>
    </row>
    <row r="135" spans="1:5" x14ac:dyDescent="0.3">
      <c r="A135" t="s">
        <v>12</v>
      </c>
      <c r="B135" t="s">
        <v>563</v>
      </c>
      <c r="C135" t="s">
        <v>447</v>
      </c>
      <c r="D135" t="s">
        <v>572</v>
      </c>
      <c r="E135" t="s">
        <v>482</v>
      </c>
    </row>
    <row r="136" spans="1:5" x14ac:dyDescent="0.3">
      <c r="A136" t="s">
        <v>12</v>
      </c>
      <c r="B136" t="s">
        <v>563</v>
      </c>
      <c r="C136" t="s">
        <v>447</v>
      </c>
      <c r="D136" t="s">
        <v>573</v>
      </c>
      <c r="E136" t="s">
        <v>482</v>
      </c>
    </row>
    <row r="137" spans="1:5" x14ac:dyDescent="0.3">
      <c r="A137" t="s">
        <v>12</v>
      </c>
      <c r="B137" t="s">
        <v>563</v>
      </c>
      <c r="C137" t="s">
        <v>447</v>
      </c>
      <c r="D137" t="s">
        <v>574</v>
      </c>
      <c r="E137" t="s">
        <v>482</v>
      </c>
    </row>
    <row r="138" spans="1:5" x14ac:dyDescent="0.3">
      <c r="A138" t="s">
        <v>12</v>
      </c>
      <c r="B138" t="s">
        <v>563</v>
      </c>
      <c r="C138" t="s">
        <v>447</v>
      </c>
      <c r="D138" t="s">
        <v>575</v>
      </c>
      <c r="E138" t="s">
        <v>482</v>
      </c>
    </row>
    <row r="139" spans="1:5" x14ac:dyDescent="0.3">
      <c r="A139" t="s">
        <v>12</v>
      </c>
      <c r="B139" t="s">
        <v>563</v>
      </c>
      <c r="C139" t="s">
        <v>447</v>
      </c>
      <c r="D139" t="s">
        <v>576</v>
      </c>
      <c r="E139" t="s">
        <v>482</v>
      </c>
    </row>
    <row r="140" spans="1:5" x14ac:dyDescent="0.3">
      <c r="A140" t="s">
        <v>12</v>
      </c>
      <c r="B140" t="s">
        <v>563</v>
      </c>
      <c r="C140" t="s">
        <v>447</v>
      </c>
      <c r="D140" t="s">
        <v>577</v>
      </c>
      <c r="E140" t="s">
        <v>482</v>
      </c>
    </row>
    <row r="141" spans="1:5" x14ac:dyDescent="0.3">
      <c r="A141" t="s">
        <v>12</v>
      </c>
      <c r="B141" t="s">
        <v>563</v>
      </c>
      <c r="C141" t="s">
        <v>447</v>
      </c>
      <c r="D141" t="s">
        <v>578</v>
      </c>
      <c r="E141" t="s">
        <v>482</v>
      </c>
    </row>
    <row r="142" spans="1:5" x14ac:dyDescent="0.3">
      <c r="A142" t="s">
        <v>12</v>
      </c>
      <c r="B142" t="s">
        <v>563</v>
      </c>
      <c r="C142" t="s">
        <v>447</v>
      </c>
      <c r="D142" t="s">
        <v>579</v>
      </c>
      <c r="E142" t="s">
        <v>482</v>
      </c>
    </row>
    <row r="143" spans="1:5" x14ac:dyDescent="0.3">
      <c r="A143" t="s">
        <v>12</v>
      </c>
      <c r="B143" t="s">
        <v>563</v>
      </c>
      <c r="C143" t="s">
        <v>447</v>
      </c>
      <c r="D143" t="s">
        <v>580</v>
      </c>
      <c r="E143" t="s">
        <v>482</v>
      </c>
    </row>
    <row r="144" spans="1:5" x14ac:dyDescent="0.3">
      <c r="A144" t="s">
        <v>12</v>
      </c>
      <c r="B144" t="s">
        <v>563</v>
      </c>
      <c r="C144" t="s">
        <v>447</v>
      </c>
      <c r="D144" t="s">
        <v>581</v>
      </c>
      <c r="E144" t="s">
        <v>482</v>
      </c>
    </row>
    <row r="145" spans="1:5" x14ac:dyDescent="0.3">
      <c r="A145" t="s">
        <v>12</v>
      </c>
      <c r="B145" t="s">
        <v>563</v>
      </c>
      <c r="C145" t="s">
        <v>447</v>
      </c>
      <c r="D145" t="s">
        <v>582</v>
      </c>
      <c r="E145" t="s">
        <v>482</v>
      </c>
    </row>
    <row r="146" spans="1:5" x14ac:dyDescent="0.3">
      <c r="A146" t="s">
        <v>12</v>
      </c>
      <c r="B146" t="s">
        <v>563</v>
      </c>
      <c r="C146" t="s">
        <v>447</v>
      </c>
      <c r="D146" t="s">
        <v>583</v>
      </c>
      <c r="E146" t="s">
        <v>482</v>
      </c>
    </row>
    <row r="147" spans="1:5" x14ac:dyDescent="0.3">
      <c r="A147" t="s">
        <v>12</v>
      </c>
      <c r="B147" t="s">
        <v>584</v>
      </c>
      <c r="C147" t="s">
        <v>447</v>
      </c>
      <c r="D147" t="s">
        <v>584</v>
      </c>
      <c r="E147" t="s">
        <v>453</v>
      </c>
    </row>
    <row r="148" spans="1:5" x14ac:dyDescent="0.3">
      <c r="A148" t="s">
        <v>12</v>
      </c>
      <c r="B148" t="s">
        <v>584</v>
      </c>
      <c r="C148" t="s">
        <v>447</v>
      </c>
      <c r="D148" t="s">
        <v>585</v>
      </c>
      <c r="E148" t="s">
        <v>453</v>
      </c>
    </row>
    <row r="149" spans="1:5" x14ac:dyDescent="0.3">
      <c r="A149" t="s">
        <v>12</v>
      </c>
      <c r="B149" t="s">
        <v>584</v>
      </c>
      <c r="C149" t="s">
        <v>447</v>
      </c>
      <c r="D149" t="s">
        <v>586</v>
      </c>
      <c r="E149" t="s">
        <v>453</v>
      </c>
    </row>
    <row r="150" spans="1:5" x14ac:dyDescent="0.3">
      <c r="A150" t="s">
        <v>12</v>
      </c>
      <c r="B150" t="s">
        <v>584</v>
      </c>
      <c r="C150" t="s">
        <v>447</v>
      </c>
      <c r="D150" t="s">
        <v>587</v>
      </c>
      <c r="E150" t="s">
        <v>453</v>
      </c>
    </row>
    <row r="151" spans="1:5" x14ac:dyDescent="0.3">
      <c r="A151" t="s">
        <v>12</v>
      </c>
      <c r="B151" t="s">
        <v>584</v>
      </c>
      <c r="C151" t="s">
        <v>447</v>
      </c>
      <c r="D151" t="s">
        <v>588</v>
      </c>
      <c r="E151" t="s">
        <v>453</v>
      </c>
    </row>
    <row r="152" spans="1:5" x14ac:dyDescent="0.3">
      <c r="A152" t="s">
        <v>12</v>
      </c>
      <c r="B152" t="s">
        <v>584</v>
      </c>
      <c r="C152" t="s">
        <v>447</v>
      </c>
      <c r="D152" t="s">
        <v>589</v>
      </c>
      <c r="E152" t="s">
        <v>453</v>
      </c>
    </row>
    <row r="153" spans="1:5" x14ac:dyDescent="0.3">
      <c r="A153" t="s">
        <v>12</v>
      </c>
      <c r="B153" t="s">
        <v>584</v>
      </c>
      <c r="C153" t="s">
        <v>447</v>
      </c>
      <c r="D153" t="s">
        <v>590</v>
      </c>
      <c r="E153" t="s">
        <v>453</v>
      </c>
    </row>
    <row r="154" spans="1:5" x14ac:dyDescent="0.3">
      <c r="A154" t="s">
        <v>12</v>
      </c>
      <c r="B154" t="s">
        <v>584</v>
      </c>
      <c r="C154" t="s">
        <v>447</v>
      </c>
      <c r="D154" t="s">
        <v>591</v>
      </c>
      <c r="E154" t="s">
        <v>453</v>
      </c>
    </row>
    <row r="155" spans="1:5" x14ac:dyDescent="0.3">
      <c r="A155" t="s">
        <v>12</v>
      </c>
      <c r="B155" t="s">
        <v>548</v>
      </c>
      <c r="C155" t="s">
        <v>447</v>
      </c>
      <c r="D155" t="s">
        <v>592</v>
      </c>
      <c r="E155" t="s">
        <v>453</v>
      </c>
    </row>
    <row r="156" spans="1:5" x14ac:dyDescent="0.3">
      <c r="A156" t="s">
        <v>12</v>
      </c>
      <c r="B156" t="s">
        <v>548</v>
      </c>
      <c r="C156" t="s">
        <v>447</v>
      </c>
      <c r="D156" t="s">
        <v>593</v>
      </c>
      <c r="E156" t="s">
        <v>453</v>
      </c>
    </row>
    <row r="157" spans="1:5" x14ac:dyDescent="0.3">
      <c r="A157" t="s">
        <v>12</v>
      </c>
      <c r="B157" t="s">
        <v>548</v>
      </c>
      <c r="C157" t="s">
        <v>447</v>
      </c>
      <c r="D157" t="s">
        <v>594</v>
      </c>
      <c r="E157" t="s">
        <v>453</v>
      </c>
    </row>
    <row r="158" spans="1:5" x14ac:dyDescent="0.3">
      <c r="A158" t="s">
        <v>12</v>
      </c>
      <c r="B158" t="s">
        <v>548</v>
      </c>
      <c r="C158" t="s">
        <v>447</v>
      </c>
      <c r="D158" t="s">
        <v>595</v>
      </c>
      <c r="E158" t="s">
        <v>453</v>
      </c>
    </row>
    <row r="159" spans="1:5" x14ac:dyDescent="0.3">
      <c r="A159" t="s">
        <v>12</v>
      </c>
      <c r="B159" t="s">
        <v>0</v>
      </c>
      <c r="C159" t="s">
        <v>447</v>
      </c>
      <c r="D159" t="s">
        <v>596</v>
      </c>
      <c r="E159" t="s">
        <v>453</v>
      </c>
    </row>
    <row r="160" spans="1:5" x14ac:dyDescent="0.3">
      <c r="A160" t="s">
        <v>12</v>
      </c>
      <c r="B160" t="s">
        <v>0</v>
      </c>
      <c r="C160" t="s">
        <v>447</v>
      </c>
      <c r="D160" t="s">
        <v>597</v>
      </c>
      <c r="E160" t="s">
        <v>453</v>
      </c>
    </row>
    <row r="161" spans="1:5" x14ac:dyDescent="0.3">
      <c r="A161" t="s">
        <v>12</v>
      </c>
      <c r="B161" t="s">
        <v>598</v>
      </c>
      <c r="C161" t="s">
        <v>447</v>
      </c>
      <c r="D161" t="s">
        <v>599</v>
      </c>
      <c r="E161" t="s">
        <v>453</v>
      </c>
    </row>
    <row r="162" spans="1:5" x14ac:dyDescent="0.3">
      <c r="A162" t="s">
        <v>12</v>
      </c>
      <c r="B162" t="s">
        <v>600</v>
      </c>
      <c r="C162" t="s">
        <v>447</v>
      </c>
      <c r="D162" t="s">
        <v>600</v>
      </c>
      <c r="E162" t="s">
        <v>453</v>
      </c>
    </row>
    <row r="163" spans="1:5" x14ac:dyDescent="0.3">
      <c r="A163" t="s">
        <v>12</v>
      </c>
      <c r="B163" t="s">
        <v>601</v>
      </c>
      <c r="C163" t="s">
        <v>447</v>
      </c>
      <c r="D163" t="s">
        <v>602</v>
      </c>
      <c r="E163" t="s">
        <v>453</v>
      </c>
    </row>
    <row r="164" spans="1:5" x14ac:dyDescent="0.3">
      <c r="A164" t="s">
        <v>12</v>
      </c>
      <c r="B164" t="s">
        <v>603</v>
      </c>
      <c r="C164" t="s">
        <v>447</v>
      </c>
      <c r="D164" t="s">
        <v>604</v>
      </c>
      <c r="E164" t="s">
        <v>453</v>
      </c>
    </row>
    <row r="165" spans="1:5" x14ac:dyDescent="0.3">
      <c r="A165" t="s">
        <v>12</v>
      </c>
      <c r="B165" t="s">
        <v>603</v>
      </c>
      <c r="C165" t="s">
        <v>447</v>
      </c>
      <c r="D165" t="s">
        <v>605</v>
      </c>
      <c r="E165" t="s">
        <v>453</v>
      </c>
    </row>
    <row r="166" spans="1:5" x14ac:dyDescent="0.3">
      <c r="A166" t="s">
        <v>12</v>
      </c>
      <c r="B166" t="s">
        <v>606</v>
      </c>
      <c r="C166" t="s">
        <v>447</v>
      </c>
      <c r="D166" t="s">
        <v>607</v>
      </c>
      <c r="E166" t="s">
        <v>453</v>
      </c>
    </row>
    <row r="167" spans="1:5" x14ac:dyDescent="0.3">
      <c r="A167" t="s">
        <v>12</v>
      </c>
      <c r="B167" t="s">
        <v>608</v>
      </c>
      <c r="C167" t="s">
        <v>447</v>
      </c>
      <c r="D167" t="s">
        <v>609</v>
      </c>
      <c r="E167" t="s">
        <v>453</v>
      </c>
    </row>
    <row r="168" spans="1:5" x14ac:dyDescent="0.3">
      <c r="A168" t="s">
        <v>12</v>
      </c>
      <c r="B168" t="s">
        <v>610</v>
      </c>
      <c r="C168" t="s">
        <v>447</v>
      </c>
      <c r="D168" t="s">
        <v>611</v>
      </c>
      <c r="E168" t="s">
        <v>453</v>
      </c>
    </row>
    <row r="169" spans="1:5" x14ac:dyDescent="0.3">
      <c r="A169" t="s">
        <v>12</v>
      </c>
      <c r="B169" t="s">
        <v>612</v>
      </c>
      <c r="C169" t="s">
        <v>447</v>
      </c>
      <c r="D169" t="s">
        <v>613</v>
      </c>
      <c r="E169" t="s">
        <v>453</v>
      </c>
    </row>
    <row r="170" spans="1:5" x14ac:dyDescent="0.3">
      <c r="A170" t="s">
        <v>12</v>
      </c>
      <c r="B170" t="s">
        <v>614</v>
      </c>
      <c r="C170" t="s">
        <v>447</v>
      </c>
      <c r="D170" t="s">
        <v>615</v>
      </c>
      <c r="E170" t="s">
        <v>453</v>
      </c>
    </row>
    <row r="171" spans="1:5" x14ac:dyDescent="0.3">
      <c r="A171" t="s">
        <v>12</v>
      </c>
      <c r="B171" t="s">
        <v>614</v>
      </c>
      <c r="C171" t="s">
        <v>447</v>
      </c>
      <c r="D171" t="s">
        <v>616</v>
      </c>
      <c r="E171" t="s">
        <v>453</v>
      </c>
    </row>
    <row r="172" spans="1:5" x14ac:dyDescent="0.3">
      <c r="A172" t="s">
        <v>12</v>
      </c>
      <c r="B172" t="s">
        <v>617</v>
      </c>
      <c r="C172" t="s">
        <v>447</v>
      </c>
      <c r="D172" t="s">
        <v>618</v>
      </c>
      <c r="E172" t="s">
        <v>453</v>
      </c>
    </row>
    <row r="173" spans="1:5" x14ac:dyDescent="0.3">
      <c r="A173" t="s">
        <v>12</v>
      </c>
      <c r="B173" t="s">
        <v>619</v>
      </c>
      <c r="C173" t="s">
        <v>447</v>
      </c>
      <c r="D173" t="s">
        <v>620</v>
      </c>
      <c r="E173" t="s">
        <v>453</v>
      </c>
    </row>
    <row r="174" spans="1:5" x14ac:dyDescent="0.3">
      <c r="A174" t="s">
        <v>12</v>
      </c>
      <c r="B174" t="s">
        <v>621</v>
      </c>
      <c r="C174" t="s">
        <v>447</v>
      </c>
      <c r="D174" t="s">
        <v>621</v>
      </c>
      <c r="E174" t="s">
        <v>453</v>
      </c>
    </row>
    <row r="175" spans="1:5" x14ac:dyDescent="0.3">
      <c r="A175" t="s">
        <v>12</v>
      </c>
      <c r="B175" t="s">
        <v>622</v>
      </c>
      <c r="C175" t="s">
        <v>447</v>
      </c>
      <c r="D175" t="s">
        <v>623</v>
      </c>
      <c r="E175" t="s">
        <v>453</v>
      </c>
    </row>
    <row r="176" spans="1:5" x14ac:dyDescent="0.3">
      <c r="A176" t="s">
        <v>12</v>
      </c>
      <c r="B176" t="s">
        <v>624</v>
      </c>
      <c r="C176" t="s">
        <v>447</v>
      </c>
      <c r="D176" t="s">
        <v>625</v>
      </c>
      <c r="E176" t="s">
        <v>453</v>
      </c>
    </row>
    <row r="177" spans="1:5" x14ac:dyDescent="0.3">
      <c r="A177" t="s">
        <v>12</v>
      </c>
      <c r="B177" t="s">
        <v>626</v>
      </c>
      <c r="C177" t="s">
        <v>447</v>
      </c>
      <c r="D177" t="s">
        <v>493</v>
      </c>
      <c r="E177" t="s">
        <v>453</v>
      </c>
    </row>
    <row r="178" spans="1:5" x14ac:dyDescent="0.3">
      <c r="A178" t="s">
        <v>12</v>
      </c>
      <c r="B178" t="s">
        <v>627</v>
      </c>
      <c r="C178" t="s">
        <v>447</v>
      </c>
      <c r="D178" t="s">
        <v>513</v>
      </c>
      <c r="E178" t="s">
        <v>514</v>
      </c>
    </row>
    <row r="179" spans="1:5" x14ac:dyDescent="0.3">
      <c r="A179" t="s">
        <v>10</v>
      </c>
      <c r="B179" t="s">
        <v>33</v>
      </c>
      <c r="C179" t="s">
        <v>447</v>
      </c>
      <c r="D179" t="s">
        <v>459</v>
      </c>
      <c r="E179" t="s">
        <v>453</v>
      </c>
    </row>
    <row r="180" spans="1:5" x14ac:dyDescent="0.3">
      <c r="A180" t="s">
        <v>10</v>
      </c>
      <c r="B180" t="s">
        <v>33</v>
      </c>
      <c r="C180" t="s">
        <v>447</v>
      </c>
      <c r="D180" t="s">
        <v>463</v>
      </c>
      <c r="E180" t="s">
        <v>453</v>
      </c>
    </row>
    <row r="181" spans="1:5" x14ac:dyDescent="0.3">
      <c r="A181" t="s">
        <v>10</v>
      </c>
      <c r="B181" t="s">
        <v>33</v>
      </c>
      <c r="C181" t="s">
        <v>447</v>
      </c>
      <c r="D181" t="s">
        <v>628</v>
      </c>
      <c r="E181" t="s">
        <v>453</v>
      </c>
    </row>
    <row r="182" spans="1:5" x14ac:dyDescent="0.3">
      <c r="A182" t="s">
        <v>10</v>
      </c>
      <c r="B182" t="s">
        <v>33</v>
      </c>
      <c r="C182" t="s">
        <v>447</v>
      </c>
      <c r="D182" t="s">
        <v>456</v>
      </c>
      <c r="E182" t="s">
        <v>453</v>
      </c>
    </row>
    <row r="183" spans="1:5" x14ac:dyDescent="0.3">
      <c r="A183" t="s">
        <v>10</v>
      </c>
      <c r="B183" t="s">
        <v>33</v>
      </c>
      <c r="C183" t="s">
        <v>447</v>
      </c>
      <c r="D183" t="s">
        <v>629</v>
      </c>
      <c r="E183" t="s">
        <v>453</v>
      </c>
    </row>
    <row r="184" spans="1:5" x14ac:dyDescent="0.3">
      <c r="A184" t="s">
        <v>10</v>
      </c>
      <c r="B184" t="s">
        <v>33</v>
      </c>
      <c r="C184" t="s">
        <v>447</v>
      </c>
      <c r="D184" t="s">
        <v>630</v>
      </c>
      <c r="E184" t="s">
        <v>453</v>
      </c>
    </row>
    <row r="185" spans="1:5" x14ac:dyDescent="0.3">
      <c r="A185" t="s">
        <v>10</v>
      </c>
      <c r="B185" t="s">
        <v>33</v>
      </c>
      <c r="C185" t="s">
        <v>447</v>
      </c>
      <c r="D185" t="s">
        <v>631</v>
      </c>
      <c r="E185" t="s">
        <v>453</v>
      </c>
    </row>
    <row r="186" spans="1:5" x14ac:dyDescent="0.3">
      <c r="A186" t="s">
        <v>10</v>
      </c>
      <c r="B186" t="s">
        <v>33</v>
      </c>
      <c r="C186" t="s">
        <v>447</v>
      </c>
      <c r="D186" t="s">
        <v>632</v>
      </c>
      <c r="E186" t="s">
        <v>482</v>
      </c>
    </row>
    <row r="187" spans="1:5" x14ac:dyDescent="0.3">
      <c r="A187" t="s">
        <v>10</v>
      </c>
      <c r="B187" t="s">
        <v>33</v>
      </c>
      <c r="C187" t="s">
        <v>447</v>
      </c>
      <c r="D187" t="s">
        <v>633</v>
      </c>
      <c r="E187" t="s">
        <v>453</v>
      </c>
    </row>
    <row r="188" spans="1:5" x14ac:dyDescent="0.3">
      <c r="A188" t="s">
        <v>10</v>
      </c>
      <c r="B188" t="s">
        <v>33</v>
      </c>
      <c r="C188" t="s">
        <v>447</v>
      </c>
      <c r="D188" t="s">
        <v>634</v>
      </c>
      <c r="E188" t="s">
        <v>482</v>
      </c>
    </row>
    <row r="189" spans="1:5" x14ac:dyDescent="0.3">
      <c r="A189" t="s">
        <v>10</v>
      </c>
      <c r="B189" t="s">
        <v>33</v>
      </c>
      <c r="C189" t="s">
        <v>447</v>
      </c>
      <c r="D189" t="s">
        <v>635</v>
      </c>
      <c r="E189" t="s">
        <v>453</v>
      </c>
    </row>
    <row r="190" spans="1:5" x14ac:dyDescent="0.3">
      <c r="A190" t="s">
        <v>10</v>
      </c>
      <c r="B190" t="s">
        <v>33</v>
      </c>
      <c r="C190" t="s">
        <v>447</v>
      </c>
      <c r="D190" t="s">
        <v>636</v>
      </c>
      <c r="E190" t="s">
        <v>453</v>
      </c>
    </row>
    <row r="191" spans="1:5" x14ac:dyDescent="0.3">
      <c r="A191" t="s">
        <v>10</v>
      </c>
      <c r="B191" t="s">
        <v>33</v>
      </c>
      <c r="C191" t="s">
        <v>447</v>
      </c>
      <c r="D191" t="s">
        <v>540</v>
      </c>
      <c r="E191" t="s">
        <v>453</v>
      </c>
    </row>
    <row r="192" spans="1:5" x14ac:dyDescent="0.3">
      <c r="A192" t="s">
        <v>10</v>
      </c>
      <c r="B192" t="s">
        <v>33</v>
      </c>
      <c r="C192" t="s">
        <v>447</v>
      </c>
      <c r="D192" t="s">
        <v>637</v>
      </c>
      <c r="E192" t="s">
        <v>453</v>
      </c>
    </row>
    <row r="193" spans="1:5" x14ac:dyDescent="0.3">
      <c r="A193" t="s">
        <v>10</v>
      </c>
      <c r="B193" t="s">
        <v>33</v>
      </c>
      <c r="C193" t="s">
        <v>447</v>
      </c>
      <c r="D193" t="s">
        <v>638</v>
      </c>
      <c r="E193" t="s">
        <v>482</v>
      </c>
    </row>
    <row r="194" spans="1:5" x14ac:dyDescent="0.3">
      <c r="A194" t="s">
        <v>10</v>
      </c>
      <c r="B194" t="s">
        <v>33</v>
      </c>
      <c r="C194" t="s">
        <v>447</v>
      </c>
      <c r="D194" t="s">
        <v>639</v>
      </c>
      <c r="E194" t="s">
        <v>482</v>
      </c>
    </row>
    <row r="195" spans="1:5" x14ac:dyDescent="0.3">
      <c r="A195" t="s">
        <v>10</v>
      </c>
      <c r="B195" t="s">
        <v>33</v>
      </c>
      <c r="C195" t="s">
        <v>447</v>
      </c>
      <c r="D195" t="s">
        <v>640</v>
      </c>
      <c r="E195" t="s">
        <v>482</v>
      </c>
    </row>
    <row r="196" spans="1:5" x14ac:dyDescent="0.3">
      <c r="A196" t="s">
        <v>10</v>
      </c>
      <c r="B196" t="s">
        <v>33</v>
      </c>
      <c r="C196" t="s">
        <v>447</v>
      </c>
      <c r="D196" t="s">
        <v>641</v>
      </c>
      <c r="E196" t="s">
        <v>482</v>
      </c>
    </row>
    <row r="197" spans="1:5" x14ac:dyDescent="0.3">
      <c r="A197" t="s">
        <v>10</v>
      </c>
      <c r="B197" t="s">
        <v>33</v>
      </c>
      <c r="C197" t="s">
        <v>447</v>
      </c>
      <c r="D197" t="s">
        <v>642</v>
      </c>
      <c r="E197" t="s">
        <v>482</v>
      </c>
    </row>
    <row r="198" spans="1:5" x14ac:dyDescent="0.3">
      <c r="A198" t="s">
        <v>10</v>
      </c>
      <c r="B198" t="s">
        <v>33</v>
      </c>
      <c r="C198" t="s">
        <v>447</v>
      </c>
      <c r="D198" t="s">
        <v>508</v>
      </c>
      <c r="E198" t="s">
        <v>482</v>
      </c>
    </row>
    <row r="199" spans="1:5" x14ac:dyDescent="0.3">
      <c r="A199" t="s">
        <v>10</v>
      </c>
      <c r="B199" t="s">
        <v>33</v>
      </c>
      <c r="C199" t="s">
        <v>447</v>
      </c>
      <c r="D199" t="s">
        <v>643</v>
      </c>
      <c r="E199" t="s">
        <v>482</v>
      </c>
    </row>
    <row r="200" spans="1:5" x14ac:dyDescent="0.3">
      <c r="A200" t="s">
        <v>10</v>
      </c>
      <c r="B200" t="s">
        <v>33</v>
      </c>
      <c r="C200" t="s">
        <v>447</v>
      </c>
      <c r="D200" t="s">
        <v>644</v>
      </c>
      <c r="E200" t="s">
        <v>482</v>
      </c>
    </row>
    <row r="201" spans="1:5" x14ac:dyDescent="0.3">
      <c r="A201" t="s">
        <v>10</v>
      </c>
      <c r="B201" t="s">
        <v>33</v>
      </c>
      <c r="C201" t="s">
        <v>447</v>
      </c>
      <c r="D201" t="s">
        <v>645</v>
      </c>
      <c r="E201" t="s">
        <v>482</v>
      </c>
    </row>
    <row r="202" spans="1:5" x14ac:dyDescent="0.3">
      <c r="A202" t="s">
        <v>10</v>
      </c>
      <c r="B202" t="s">
        <v>16</v>
      </c>
      <c r="C202" t="s">
        <v>447</v>
      </c>
      <c r="D202" t="s">
        <v>646</v>
      </c>
      <c r="E202" t="s">
        <v>482</v>
      </c>
    </row>
    <row r="203" spans="1:5" x14ac:dyDescent="0.3">
      <c r="A203" t="s">
        <v>10</v>
      </c>
      <c r="B203" t="s">
        <v>16</v>
      </c>
      <c r="C203" t="s">
        <v>447</v>
      </c>
      <c r="D203" t="s">
        <v>647</v>
      </c>
      <c r="E203" t="s">
        <v>491</v>
      </c>
    </row>
    <row r="204" spans="1:5" x14ac:dyDescent="0.3">
      <c r="A204" t="s">
        <v>10</v>
      </c>
      <c r="B204" t="s">
        <v>16</v>
      </c>
      <c r="C204" t="s">
        <v>447</v>
      </c>
      <c r="D204" t="s">
        <v>505</v>
      </c>
      <c r="E204" t="s">
        <v>491</v>
      </c>
    </row>
    <row r="205" spans="1:5" x14ac:dyDescent="0.3">
      <c r="A205" t="s">
        <v>10</v>
      </c>
      <c r="B205" t="s">
        <v>16</v>
      </c>
      <c r="C205" t="s">
        <v>447</v>
      </c>
      <c r="D205" t="s">
        <v>648</v>
      </c>
      <c r="E205" t="s">
        <v>491</v>
      </c>
    </row>
    <row r="206" spans="1:5" x14ac:dyDescent="0.3">
      <c r="A206" t="s">
        <v>10</v>
      </c>
      <c r="B206" t="s">
        <v>16</v>
      </c>
      <c r="C206" t="s">
        <v>447</v>
      </c>
      <c r="D206" t="s">
        <v>649</v>
      </c>
      <c r="E206" t="s">
        <v>491</v>
      </c>
    </row>
    <row r="207" spans="1:5" x14ac:dyDescent="0.3">
      <c r="A207" t="s">
        <v>10</v>
      </c>
      <c r="B207" t="s">
        <v>16</v>
      </c>
      <c r="C207" t="s">
        <v>447</v>
      </c>
      <c r="D207" t="s">
        <v>650</v>
      </c>
      <c r="E207" t="s">
        <v>491</v>
      </c>
    </row>
    <row r="208" spans="1:5" x14ac:dyDescent="0.3">
      <c r="A208" t="s">
        <v>10</v>
      </c>
      <c r="B208" t="s">
        <v>16</v>
      </c>
      <c r="C208" t="s">
        <v>447</v>
      </c>
      <c r="D208" t="s">
        <v>536</v>
      </c>
      <c r="E208" t="s">
        <v>491</v>
      </c>
    </row>
    <row r="209" spans="1:5" x14ac:dyDescent="0.3">
      <c r="A209" t="s">
        <v>10</v>
      </c>
      <c r="B209" t="s">
        <v>16</v>
      </c>
      <c r="C209" t="s">
        <v>447</v>
      </c>
      <c r="D209" t="s">
        <v>651</v>
      </c>
      <c r="E209" t="s">
        <v>491</v>
      </c>
    </row>
    <row r="210" spans="1:5" x14ac:dyDescent="0.3">
      <c r="A210" t="s">
        <v>10</v>
      </c>
      <c r="B210" t="s">
        <v>16</v>
      </c>
      <c r="C210" t="s">
        <v>447</v>
      </c>
      <c r="D210" t="s">
        <v>652</v>
      </c>
      <c r="E210" t="s">
        <v>491</v>
      </c>
    </row>
    <row r="211" spans="1:5" x14ac:dyDescent="0.3">
      <c r="A211" t="s">
        <v>10</v>
      </c>
      <c r="B211" t="s">
        <v>16</v>
      </c>
      <c r="C211" t="s">
        <v>447</v>
      </c>
      <c r="D211" t="s">
        <v>653</v>
      </c>
      <c r="E211" t="s">
        <v>491</v>
      </c>
    </row>
    <row r="212" spans="1:5" x14ac:dyDescent="0.3">
      <c r="A212" t="s">
        <v>10</v>
      </c>
      <c r="B212" t="s">
        <v>16</v>
      </c>
      <c r="C212" t="s">
        <v>447</v>
      </c>
      <c r="D212" t="s">
        <v>654</v>
      </c>
      <c r="E212" t="s">
        <v>491</v>
      </c>
    </row>
    <row r="213" spans="1:5" x14ac:dyDescent="0.3">
      <c r="A213" t="s">
        <v>10</v>
      </c>
      <c r="B213" t="s">
        <v>16</v>
      </c>
      <c r="C213" t="s">
        <v>447</v>
      </c>
      <c r="D213" t="s">
        <v>655</v>
      </c>
      <c r="E213" t="s">
        <v>491</v>
      </c>
    </row>
    <row r="214" spans="1:5" x14ac:dyDescent="0.3">
      <c r="A214" t="s">
        <v>10</v>
      </c>
      <c r="B214" t="s">
        <v>16</v>
      </c>
      <c r="C214" t="s">
        <v>447</v>
      </c>
      <c r="D214" t="s">
        <v>504</v>
      </c>
      <c r="E214" t="s">
        <v>491</v>
      </c>
    </row>
    <row r="215" spans="1:5" x14ac:dyDescent="0.3">
      <c r="A215" t="s">
        <v>10</v>
      </c>
      <c r="B215" t="s">
        <v>16</v>
      </c>
      <c r="C215" t="s">
        <v>447</v>
      </c>
      <c r="D215" t="s">
        <v>651</v>
      </c>
      <c r="E215" t="s">
        <v>491</v>
      </c>
    </row>
    <row r="216" spans="1:5" x14ac:dyDescent="0.3">
      <c r="A216" t="s">
        <v>10</v>
      </c>
      <c r="B216" t="s">
        <v>16</v>
      </c>
      <c r="C216" t="s">
        <v>447</v>
      </c>
      <c r="D216" t="s">
        <v>656</v>
      </c>
      <c r="E216" t="s">
        <v>491</v>
      </c>
    </row>
    <row r="217" spans="1:5" x14ac:dyDescent="0.3">
      <c r="A217" t="s">
        <v>10</v>
      </c>
      <c r="B217" t="s">
        <v>16</v>
      </c>
      <c r="C217" t="s">
        <v>447</v>
      </c>
      <c r="D217" t="s">
        <v>657</v>
      </c>
      <c r="E217" t="s">
        <v>491</v>
      </c>
    </row>
    <row r="218" spans="1:5" x14ac:dyDescent="0.3">
      <c r="A218" t="s">
        <v>10</v>
      </c>
      <c r="B218" t="s">
        <v>16</v>
      </c>
      <c r="C218" t="s">
        <v>447</v>
      </c>
      <c r="D218" t="s">
        <v>652</v>
      </c>
      <c r="E218" t="s">
        <v>491</v>
      </c>
    </row>
    <row r="219" spans="1:5" x14ac:dyDescent="0.3">
      <c r="A219" t="s">
        <v>10</v>
      </c>
      <c r="B219" t="s">
        <v>16</v>
      </c>
      <c r="C219" t="s">
        <v>447</v>
      </c>
      <c r="D219" t="s">
        <v>653</v>
      </c>
      <c r="E219" t="s">
        <v>491</v>
      </c>
    </row>
    <row r="220" spans="1:5" x14ac:dyDescent="0.3">
      <c r="A220" t="s">
        <v>10</v>
      </c>
      <c r="B220" t="s">
        <v>16</v>
      </c>
      <c r="C220" t="s">
        <v>447</v>
      </c>
      <c r="D220" t="s">
        <v>654</v>
      </c>
      <c r="E220" t="s">
        <v>491</v>
      </c>
    </row>
    <row r="221" spans="1:5" x14ac:dyDescent="0.3">
      <c r="A221" t="s">
        <v>10</v>
      </c>
      <c r="B221" t="s">
        <v>16</v>
      </c>
      <c r="C221" t="s">
        <v>447</v>
      </c>
      <c r="D221" t="s">
        <v>658</v>
      </c>
      <c r="E221" t="s">
        <v>491</v>
      </c>
    </row>
    <row r="222" spans="1:5" x14ac:dyDescent="0.3">
      <c r="A222" t="s">
        <v>10</v>
      </c>
      <c r="B222" t="s">
        <v>16</v>
      </c>
      <c r="C222" t="s">
        <v>447</v>
      </c>
      <c r="D222" t="s">
        <v>659</v>
      </c>
      <c r="E222" t="s">
        <v>491</v>
      </c>
    </row>
    <row r="223" spans="1:5" x14ac:dyDescent="0.3">
      <c r="A223" t="s">
        <v>10</v>
      </c>
      <c r="B223" t="s">
        <v>16</v>
      </c>
      <c r="C223" t="s">
        <v>447</v>
      </c>
      <c r="D223" t="s">
        <v>660</v>
      </c>
      <c r="E223" t="s">
        <v>491</v>
      </c>
    </row>
    <row r="224" spans="1:5" x14ac:dyDescent="0.3">
      <c r="A224" t="s">
        <v>10</v>
      </c>
      <c r="B224" t="s">
        <v>16</v>
      </c>
      <c r="C224" t="s">
        <v>447</v>
      </c>
      <c r="D224" t="s">
        <v>537</v>
      </c>
      <c r="E224" t="s">
        <v>491</v>
      </c>
    </row>
    <row r="225" spans="1:5" x14ac:dyDescent="0.3">
      <c r="A225" t="s">
        <v>10</v>
      </c>
      <c r="B225" t="s">
        <v>16</v>
      </c>
      <c r="C225" t="s">
        <v>447</v>
      </c>
      <c r="D225" t="s">
        <v>535</v>
      </c>
      <c r="E225" t="s">
        <v>491</v>
      </c>
    </row>
    <row r="226" spans="1:5" x14ac:dyDescent="0.3">
      <c r="A226" t="s">
        <v>10</v>
      </c>
      <c r="B226" t="s">
        <v>16</v>
      </c>
      <c r="C226" t="s">
        <v>447</v>
      </c>
      <c r="D226" t="s">
        <v>509</v>
      </c>
      <c r="E226" t="s">
        <v>491</v>
      </c>
    </row>
    <row r="227" spans="1:5" x14ac:dyDescent="0.3">
      <c r="A227" t="s">
        <v>10</v>
      </c>
      <c r="B227" t="s">
        <v>16</v>
      </c>
      <c r="C227" t="s">
        <v>447</v>
      </c>
      <c r="D227" t="s">
        <v>661</v>
      </c>
      <c r="E227" t="s">
        <v>491</v>
      </c>
    </row>
    <row r="228" spans="1:5" x14ac:dyDescent="0.3">
      <c r="A228" t="s">
        <v>10</v>
      </c>
      <c r="B228" t="s">
        <v>16</v>
      </c>
      <c r="C228" t="s">
        <v>447</v>
      </c>
      <c r="D228" t="s">
        <v>503</v>
      </c>
      <c r="E228" t="s">
        <v>491</v>
      </c>
    </row>
    <row r="229" spans="1:5" x14ac:dyDescent="0.3">
      <c r="A229" t="s">
        <v>10</v>
      </c>
      <c r="B229" t="s">
        <v>413</v>
      </c>
      <c r="C229" t="s">
        <v>447</v>
      </c>
      <c r="D229" t="s">
        <v>662</v>
      </c>
      <c r="E229" t="s">
        <v>491</v>
      </c>
    </row>
    <row r="230" spans="1:5" x14ac:dyDescent="0.3">
      <c r="A230" t="s">
        <v>10</v>
      </c>
      <c r="B230" t="s">
        <v>413</v>
      </c>
      <c r="C230" t="s">
        <v>447</v>
      </c>
      <c r="D230" t="s">
        <v>663</v>
      </c>
      <c r="E230" t="s">
        <v>491</v>
      </c>
    </row>
    <row r="231" spans="1:5" x14ac:dyDescent="0.3">
      <c r="A231" t="s">
        <v>10</v>
      </c>
      <c r="B231" t="s">
        <v>413</v>
      </c>
      <c r="C231" t="s">
        <v>447</v>
      </c>
      <c r="D231" t="s">
        <v>664</v>
      </c>
      <c r="E231" t="s">
        <v>491</v>
      </c>
    </row>
    <row r="232" spans="1:5" x14ac:dyDescent="0.3">
      <c r="A232" t="s">
        <v>10</v>
      </c>
      <c r="B232" t="s">
        <v>413</v>
      </c>
      <c r="C232" t="s">
        <v>447</v>
      </c>
      <c r="D232" t="s">
        <v>665</v>
      </c>
      <c r="E232" t="s">
        <v>491</v>
      </c>
    </row>
    <row r="233" spans="1:5" x14ac:dyDescent="0.3">
      <c r="A233" t="s">
        <v>10</v>
      </c>
      <c r="B233" t="s">
        <v>413</v>
      </c>
      <c r="C233" t="s">
        <v>447</v>
      </c>
      <c r="D233" t="s">
        <v>666</v>
      </c>
      <c r="E233" t="s">
        <v>491</v>
      </c>
    </row>
    <row r="234" spans="1:5" x14ac:dyDescent="0.3">
      <c r="A234" t="s">
        <v>10</v>
      </c>
      <c r="B234" t="s">
        <v>413</v>
      </c>
      <c r="C234" t="s">
        <v>447</v>
      </c>
      <c r="D234" t="s">
        <v>667</v>
      </c>
      <c r="E234" t="s">
        <v>491</v>
      </c>
    </row>
    <row r="235" spans="1:5" x14ac:dyDescent="0.3">
      <c r="A235" t="s">
        <v>10</v>
      </c>
      <c r="B235" t="s">
        <v>413</v>
      </c>
      <c r="C235" t="s">
        <v>447</v>
      </c>
      <c r="D235" t="s">
        <v>668</v>
      </c>
      <c r="E235" t="s">
        <v>491</v>
      </c>
    </row>
    <row r="236" spans="1:5" x14ac:dyDescent="0.3">
      <c r="A236" t="s">
        <v>10</v>
      </c>
      <c r="B236" t="s">
        <v>413</v>
      </c>
      <c r="C236" t="s">
        <v>447</v>
      </c>
      <c r="D236" t="s">
        <v>669</v>
      </c>
      <c r="E236" t="s">
        <v>491</v>
      </c>
    </row>
    <row r="237" spans="1:5" x14ac:dyDescent="0.3">
      <c r="A237" t="s">
        <v>10</v>
      </c>
      <c r="B237" t="s">
        <v>413</v>
      </c>
      <c r="C237" t="s">
        <v>447</v>
      </c>
      <c r="D237" t="s">
        <v>670</v>
      </c>
      <c r="E237" t="s">
        <v>491</v>
      </c>
    </row>
    <row r="238" spans="1:5" x14ac:dyDescent="0.3">
      <c r="A238" t="s">
        <v>10</v>
      </c>
      <c r="B238" t="s">
        <v>413</v>
      </c>
      <c r="C238" t="s">
        <v>447</v>
      </c>
      <c r="D238" t="s">
        <v>671</v>
      </c>
      <c r="E238" t="s">
        <v>491</v>
      </c>
    </row>
    <row r="239" spans="1:5" x14ac:dyDescent="0.3">
      <c r="A239" t="s">
        <v>10</v>
      </c>
      <c r="B239" t="s">
        <v>413</v>
      </c>
      <c r="C239" t="s">
        <v>447</v>
      </c>
      <c r="D239" t="s">
        <v>672</v>
      </c>
      <c r="E239" t="s">
        <v>491</v>
      </c>
    </row>
    <row r="240" spans="1:5" x14ac:dyDescent="0.3">
      <c r="A240" t="s">
        <v>10</v>
      </c>
      <c r="B240" t="s">
        <v>413</v>
      </c>
      <c r="C240" t="s">
        <v>447</v>
      </c>
      <c r="D240" t="s">
        <v>673</v>
      </c>
      <c r="E240" t="s">
        <v>491</v>
      </c>
    </row>
    <row r="241" spans="1:5" x14ac:dyDescent="0.3">
      <c r="A241" t="s">
        <v>10</v>
      </c>
      <c r="B241" t="s">
        <v>413</v>
      </c>
      <c r="C241" t="s">
        <v>447</v>
      </c>
      <c r="D241" t="s">
        <v>674</v>
      </c>
      <c r="E241" t="s">
        <v>491</v>
      </c>
    </row>
    <row r="242" spans="1:5" x14ac:dyDescent="0.3">
      <c r="A242" t="s">
        <v>10</v>
      </c>
      <c r="B242" t="s">
        <v>413</v>
      </c>
      <c r="C242" t="s">
        <v>447</v>
      </c>
      <c r="D242" t="s">
        <v>675</v>
      </c>
      <c r="E242" t="s">
        <v>491</v>
      </c>
    </row>
    <row r="243" spans="1:5" x14ac:dyDescent="0.3">
      <c r="A243" t="s">
        <v>10</v>
      </c>
      <c r="B243" t="s">
        <v>413</v>
      </c>
      <c r="C243" t="s">
        <v>447</v>
      </c>
      <c r="D243" t="s">
        <v>676</v>
      </c>
      <c r="E243" t="s">
        <v>491</v>
      </c>
    </row>
    <row r="244" spans="1:5" x14ac:dyDescent="0.3">
      <c r="A244" t="s">
        <v>10</v>
      </c>
      <c r="B244" t="s">
        <v>413</v>
      </c>
      <c r="C244" t="s">
        <v>447</v>
      </c>
      <c r="D244" t="s">
        <v>474</v>
      </c>
      <c r="E244" t="s">
        <v>491</v>
      </c>
    </row>
    <row r="245" spans="1:5" x14ac:dyDescent="0.3">
      <c r="A245" t="s">
        <v>10</v>
      </c>
      <c r="B245" t="s">
        <v>413</v>
      </c>
      <c r="C245" t="s">
        <v>447</v>
      </c>
      <c r="D245" t="s">
        <v>677</v>
      </c>
      <c r="E245" t="s">
        <v>491</v>
      </c>
    </row>
    <row r="246" spans="1:5" x14ac:dyDescent="0.3">
      <c r="A246" t="s">
        <v>10</v>
      </c>
      <c r="B246" t="s">
        <v>413</v>
      </c>
      <c r="C246" t="s">
        <v>447</v>
      </c>
      <c r="D246" t="s">
        <v>678</v>
      </c>
      <c r="E246" t="s">
        <v>491</v>
      </c>
    </row>
    <row r="247" spans="1:5" x14ac:dyDescent="0.3">
      <c r="A247" t="s">
        <v>10</v>
      </c>
      <c r="B247" t="s">
        <v>413</v>
      </c>
      <c r="C247" t="s">
        <v>447</v>
      </c>
      <c r="D247" t="s">
        <v>679</v>
      </c>
      <c r="E247" t="s">
        <v>491</v>
      </c>
    </row>
    <row r="248" spans="1:5" x14ac:dyDescent="0.3">
      <c r="A248" t="s">
        <v>10</v>
      </c>
      <c r="B248" t="s">
        <v>413</v>
      </c>
      <c r="C248" t="s">
        <v>447</v>
      </c>
      <c r="D248" t="s">
        <v>680</v>
      </c>
      <c r="E248" t="s">
        <v>491</v>
      </c>
    </row>
    <row r="249" spans="1:5" x14ac:dyDescent="0.3">
      <c r="A249" t="s">
        <v>10</v>
      </c>
      <c r="B249" t="s">
        <v>413</v>
      </c>
      <c r="C249" t="s">
        <v>447</v>
      </c>
      <c r="D249" t="s">
        <v>681</v>
      </c>
      <c r="E249" t="s">
        <v>491</v>
      </c>
    </row>
    <row r="250" spans="1:5" x14ac:dyDescent="0.3">
      <c r="A250" t="s">
        <v>10</v>
      </c>
      <c r="B250" t="s">
        <v>413</v>
      </c>
      <c r="C250" t="s">
        <v>447</v>
      </c>
      <c r="D250" t="s">
        <v>533</v>
      </c>
      <c r="E250" t="s">
        <v>491</v>
      </c>
    </row>
    <row r="251" spans="1:5" x14ac:dyDescent="0.3">
      <c r="A251" t="s">
        <v>10</v>
      </c>
      <c r="B251" t="s">
        <v>413</v>
      </c>
      <c r="C251" t="s">
        <v>447</v>
      </c>
      <c r="D251" t="s">
        <v>682</v>
      </c>
      <c r="E251" t="s">
        <v>491</v>
      </c>
    </row>
    <row r="252" spans="1:5" x14ac:dyDescent="0.3">
      <c r="A252" t="s">
        <v>10</v>
      </c>
      <c r="B252" t="s">
        <v>413</v>
      </c>
      <c r="C252" t="s">
        <v>447</v>
      </c>
      <c r="D252" t="s">
        <v>683</v>
      </c>
      <c r="E252" t="s">
        <v>491</v>
      </c>
    </row>
    <row r="253" spans="1:5" x14ac:dyDescent="0.3">
      <c r="A253" t="s">
        <v>10</v>
      </c>
      <c r="B253" t="s">
        <v>413</v>
      </c>
      <c r="C253" t="s">
        <v>447</v>
      </c>
      <c r="D253" t="s">
        <v>684</v>
      </c>
      <c r="E253" t="s">
        <v>491</v>
      </c>
    </row>
    <row r="254" spans="1:5" x14ac:dyDescent="0.3">
      <c r="A254" t="s">
        <v>10</v>
      </c>
      <c r="B254" t="s">
        <v>413</v>
      </c>
      <c r="C254" t="s">
        <v>447</v>
      </c>
      <c r="D254" t="s">
        <v>685</v>
      </c>
      <c r="E254" t="s">
        <v>491</v>
      </c>
    </row>
    <row r="255" spans="1:5" x14ac:dyDescent="0.3">
      <c r="A255" t="s">
        <v>10</v>
      </c>
      <c r="B255" t="s">
        <v>413</v>
      </c>
      <c r="C255" t="s">
        <v>447</v>
      </c>
      <c r="D255" t="s">
        <v>686</v>
      </c>
      <c r="E255" t="s">
        <v>491</v>
      </c>
    </row>
    <row r="256" spans="1:5" x14ac:dyDescent="0.3">
      <c r="A256" t="s">
        <v>10</v>
      </c>
      <c r="B256" t="s">
        <v>413</v>
      </c>
      <c r="C256" t="s">
        <v>447</v>
      </c>
      <c r="D256" t="s">
        <v>687</v>
      </c>
      <c r="E256" t="s">
        <v>491</v>
      </c>
    </row>
    <row r="257" spans="1:5" x14ac:dyDescent="0.3">
      <c r="A257" t="s">
        <v>10</v>
      </c>
      <c r="B257" t="s">
        <v>413</v>
      </c>
      <c r="C257" t="s">
        <v>447</v>
      </c>
      <c r="D257" t="s">
        <v>532</v>
      </c>
      <c r="E257" t="s">
        <v>491</v>
      </c>
    </row>
    <row r="258" spans="1:5" x14ac:dyDescent="0.3">
      <c r="A258" t="s">
        <v>10</v>
      </c>
      <c r="B258" t="s">
        <v>413</v>
      </c>
      <c r="C258" t="s">
        <v>447</v>
      </c>
      <c r="D258" t="s">
        <v>509</v>
      </c>
      <c r="E258" t="s">
        <v>491</v>
      </c>
    </row>
    <row r="259" spans="1:5" x14ac:dyDescent="0.3">
      <c r="A259" t="s">
        <v>10</v>
      </c>
      <c r="B259" t="s">
        <v>413</v>
      </c>
      <c r="C259" t="s">
        <v>447</v>
      </c>
      <c r="D259" t="s">
        <v>688</v>
      </c>
      <c r="E259" t="s">
        <v>491</v>
      </c>
    </row>
    <row r="260" spans="1:5" x14ac:dyDescent="0.3">
      <c r="A260" t="s">
        <v>10</v>
      </c>
      <c r="B260" t="s">
        <v>413</v>
      </c>
      <c r="C260" t="s">
        <v>447</v>
      </c>
      <c r="D260" t="s">
        <v>689</v>
      </c>
      <c r="E260" t="s">
        <v>491</v>
      </c>
    </row>
    <row r="261" spans="1:5" x14ac:dyDescent="0.3">
      <c r="A261" t="s">
        <v>10</v>
      </c>
      <c r="B261" t="s">
        <v>413</v>
      </c>
      <c r="C261" t="s">
        <v>447</v>
      </c>
      <c r="D261" t="s">
        <v>690</v>
      </c>
      <c r="E261" t="s">
        <v>491</v>
      </c>
    </row>
    <row r="262" spans="1:5" x14ac:dyDescent="0.3">
      <c r="A262" t="s">
        <v>10</v>
      </c>
      <c r="B262" t="s">
        <v>413</v>
      </c>
      <c r="C262" t="s">
        <v>447</v>
      </c>
      <c r="D262" t="s">
        <v>691</v>
      </c>
      <c r="E262" t="s">
        <v>491</v>
      </c>
    </row>
    <row r="263" spans="1:5" x14ac:dyDescent="0.3">
      <c r="A263" t="s">
        <v>10</v>
      </c>
      <c r="B263" t="s">
        <v>413</v>
      </c>
      <c r="C263" t="s">
        <v>447</v>
      </c>
      <c r="D263" t="s">
        <v>692</v>
      </c>
      <c r="E263" t="s">
        <v>491</v>
      </c>
    </row>
    <row r="264" spans="1:5" x14ac:dyDescent="0.3">
      <c r="A264" t="s">
        <v>10</v>
      </c>
      <c r="B264" t="s">
        <v>413</v>
      </c>
      <c r="C264" t="s">
        <v>447</v>
      </c>
      <c r="D264" t="s">
        <v>693</v>
      </c>
      <c r="E264" t="s">
        <v>491</v>
      </c>
    </row>
    <row r="265" spans="1:5" x14ac:dyDescent="0.3">
      <c r="A265" t="s">
        <v>10</v>
      </c>
      <c r="B265" t="s">
        <v>413</v>
      </c>
      <c r="C265" t="s">
        <v>447</v>
      </c>
      <c r="D265" t="s">
        <v>694</v>
      </c>
      <c r="E265" t="s">
        <v>491</v>
      </c>
    </row>
    <row r="266" spans="1:5" x14ac:dyDescent="0.3">
      <c r="A266" t="s">
        <v>10</v>
      </c>
      <c r="B266" t="s">
        <v>413</v>
      </c>
      <c r="C266" t="s">
        <v>447</v>
      </c>
      <c r="D266" t="s">
        <v>695</v>
      </c>
      <c r="E266" t="s">
        <v>491</v>
      </c>
    </row>
    <row r="267" spans="1:5" x14ac:dyDescent="0.3">
      <c r="A267" t="s">
        <v>10</v>
      </c>
      <c r="B267" t="s">
        <v>413</v>
      </c>
      <c r="C267" t="s">
        <v>447</v>
      </c>
      <c r="D267" t="s">
        <v>696</v>
      </c>
      <c r="E267" t="s">
        <v>491</v>
      </c>
    </row>
    <row r="268" spans="1:5" x14ac:dyDescent="0.3">
      <c r="A268" t="s">
        <v>10</v>
      </c>
      <c r="B268" t="s">
        <v>413</v>
      </c>
      <c r="C268" t="s">
        <v>447</v>
      </c>
      <c r="D268" t="s">
        <v>679</v>
      </c>
      <c r="E268" t="s">
        <v>491</v>
      </c>
    </row>
    <row r="269" spans="1:5" x14ac:dyDescent="0.3">
      <c r="A269" t="s">
        <v>10</v>
      </c>
      <c r="B269" t="s">
        <v>21</v>
      </c>
      <c r="C269" t="s">
        <v>447</v>
      </c>
      <c r="D269" t="s">
        <v>697</v>
      </c>
      <c r="E269" t="s">
        <v>491</v>
      </c>
    </row>
    <row r="270" spans="1:5" x14ac:dyDescent="0.3">
      <c r="A270" t="s">
        <v>10</v>
      </c>
      <c r="B270" t="s">
        <v>21</v>
      </c>
      <c r="C270" t="s">
        <v>447</v>
      </c>
      <c r="D270" t="s">
        <v>698</v>
      </c>
      <c r="E270" t="s">
        <v>491</v>
      </c>
    </row>
    <row r="271" spans="1:5" x14ac:dyDescent="0.3">
      <c r="A271" t="s">
        <v>10</v>
      </c>
      <c r="B271" t="s">
        <v>21</v>
      </c>
      <c r="C271" t="s">
        <v>447</v>
      </c>
      <c r="D271" t="s">
        <v>455</v>
      </c>
      <c r="E271" t="s">
        <v>491</v>
      </c>
    </row>
    <row r="272" spans="1:5" x14ac:dyDescent="0.3">
      <c r="A272" t="s">
        <v>10</v>
      </c>
      <c r="B272" t="s">
        <v>21</v>
      </c>
      <c r="C272" t="s">
        <v>447</v>
      </c>
      <c r="D272" t="s">
        <v>458</v>
      </c>
      <c r="E272" t="s">
        <v>491</v>
      </c>
    </row>
    <row r="273" spans="1:5" x14ac:dyDescent="0.3">
      <c r="A273" t="s">
        <v>10</v>
      </c>
      <c r="B273" t="s">
        <v>21</v>
      </c>
      <c r="C273" t="s">
        <v>447</v>
      </c>
      <c r="D273" t="s">
        <v>699</v>
      </c>
      <c r="E273" t="s">
        <v>491</v>
      </c>
    </row>
    <row r="274" spans="1:5" x14ac:dyDescent="0.3">
      <c r="A274" t="s">
        <v>10</v>
      </c>
      <c r="B274" t="s">
        <v>21</v>
      </c>
      <c r="C274" t="s">
        <v>447</v>
      </c>
      <c r="D274" t="s">
        <v>700</v>
      </c>
      <c r="E274" t="s">
        <v>491</v>
      </c>
    </row>
    <row r="275" spans="1:5" x14ac:dyDescent="0.3">
      <c r="A275" t="s">
        <v>10</v>
      </c>
      <c r="B275" t="s">
        <v>21</v>
      </c>
      <c r="C275" t="s">
        <v>447</v>
      </c>
      <c r="D275" t="s">
        <v>701</v>
      </c>
      <c r="E275" t="s">
        <v>491</v>
      </c>
    </row>
    <row r="276" spans="1:5" x14ac:dyDescent="0.3">
      <c r="A276" t="s">
        <v>10</v>
      </c>
      <c r="B276" t="s">
        <v>21</v>
      </c>
      <c r="C276" t="s">
        <v>447</v>
      </c>
      <c r="D276" t="s">
        <v>625</v>
      </c>
      <c r="E276" t="s">
        <v>491</v>
      </c>
    </row>
    <row r="277" spans="1:5" x14ac:dyDescent="0.3">
      <c r="A277" t="s">
        <v>10</v>
      </c>
      <c r="B277" t="s">
        <v>21</v>
      </c>
      <c r="C277" t="s">
        <v>447</v>
      </c>
      <c r="D277" t="s">
        <v>702</v>
      </c>
      <c r="E277" t="s">
        <v>491</v>
      </c>
    </row>
    <row r="278" spans="1:5" x14ac:dyDescent="0.3">
      <c r="A278" t="s">
        <v>10</v>
      </c>
      <c r="B278" t="s">
        <v>21</v>
      </c>
      <c r="C278" t="s">
        <v>447</v>
      </c>
      <c r="D278" t="s">
        <v>703</v>
      </c>
      <c r="E278" t="s">
        <v>491</v>
      </c>
    </row>
    <row r="279" spans="1:5" x14ac:dyDescent="0.3">
      <c r="A279" t="s">
        <v>10</v>
      </c>
      <c r="B279" t="s">
        <v>21</v>
      </c>
      <c r="C279" t="s">
        <v>447</v>
      </c>
      <c r="D279" t="s">
        <v>704</v>
      </c>
      <c r="E279" t="s">
        <v>491</v>
      </c>
    </row>
    <row r="280" spans="1:5" x14ac:dyDescent="0.3">
      <c r="A280" t="s">
        <v>10</v>
      </c>
      <c r="B280" t="s">
        <v>21</v>
      </c>
      <c r="C280" t="s">
        <v>447</v>
      </c>
      <c r="D280" t="s">
        <v>705</v>
      </c>
      <c r="E280" t="s">
        <v>491</v>
      </c>
    </row>
    <row r="281" spans="1:5" x14ac:dyDescent="0.3">
      <c r="A281" t="s">
        <v>10</v>
      </c>
      <c r="B281" t="s">
        <v>21</v>
      </c>
      <c r="C281" t="s">
        <v>447</v>
      </c>
      <c r="D281" t="s">
        <v>706</v>
      </c>
      <c r="E281" t="s">
        <v>491</v>
      </c>
    </row>
    <row r="282" spans="1:5" x14ac:dyDescent="0.3">
      <c r="A282" t="s">
        <v>10</v>
      </c>
      <c r="B282" t="s">
        <v>21</v>
      </c>
      <c r="C282" t="s">
        <v>447</v>
      </c>
      <c r="D282" t="s">
        <v>707</v>
      </c>
      <c r="E282" t="s">
        <v>491</v>
      </c>
    </row>
    <row r="283" spans="1:5" x14ac:dyDescent="0.3">
      <c r="A283" t="s">
        <v>10</v>
      </c>
      <c r="B283" t="s">
        <v>21</v>
      </c>
      <c r="C283" t="s">
        <v>447</v>
      </c>
      <c r="D283" t="s">
        <v>708</v>
      </c>
      <c r="E283" t="s">
        <v>491</v>
      </c>
    </row>
    <row r="284" spans="1:5" x14ac:dyDescent="0.3">
      <c r="A284" t="s">
        <v>10</v>
      </c>
      <c r="B284" t="s">
        <v>413</v>
      </c>
      <c r="C284" t="s">
        <v>447</v>
      </c>
      <c r="D284" t="s">
        <v>682</v>
      </c>
      <c r="E284" t="s">
        <v>491</v>
      </c>
    </row>
    <row r="285" spans="1:5" x14ac:dyDescent="0.3">
      <c r="A285" t="s">
        <v>10</v>
      </c>
      <c r="B285" t="s">
        <v>21</v>
      </c>
      <c r="C285" t="s">
        <v>447</v>
      </c>
      <c r="D285" t="s">
        <v>461</v>
      </c>
      <c r="E285" t="s">
        <v>491</v>
      </c>
    </row>
    <row r="286" spans="1:5" x14ac:dyDescent="0.3">
      <c r="A286" t="s">
        <v>10</v>
      </c>
      <c r="B286" t="s">
        <v>21</v>
      </c>
      <c r="C286" t="s">
        <v>447</v>
      </c>
      <c r="D286" t="s">
        <v>460</v>
      </c>
      <c r="E286" t="s">
        <v>491</v>
      </c>
    </row>
    <row r="287" spans="1:5" x14ac:dyDescent="0.3">
      <c r="A287" t="s">
        <v>10</v>
      </c>
      <c r="B287" t="s">
        <v>21</v>
      </c>
      <c r="C287" t="s">
        <v>447</v>
      </c>
      <c r="D287" t="s">
        <v>457</v>
      </c>
      <c r="E287" t="s">
        <v>491</v>
      </c>
    </row>
    <row r="288" spans="1:5" x14ac:dyDescent="0.3">
      <c r="A288" t="s">
        <v>10</v>
      </c>
      <c r="B288" t="s">
        <v>21</v>
      </c>
      <c r="C288" t="s">
        <v>447</v>
      </c>
      <c r="D288" t="s">
        <v>685</v>
      </c>
      <c r="E288" t="s">
        <v>491</v>
      </c>
    </row>
    <row r="289" spans="1:5" x14ac:dyDescent="0.3">
      <c r="A289" t="s">
        <v>10</v>
      </c>
      <c r="B289" t="s">
        <v>21</v>
      </c>
      <c r="C289" t="s">
        <v>447</v>
      </c>
      <c r="D289" t="s">
        <v>709</v>
      </c>
      <c r="E289" t="s">
        <v>491</v>
      </c>
    </row>
    <row r="290" spans="1:5" x14ac:dyDescent="0.3">
      <c r="A290" t="s">
        <v>10</v>
      </c>
      <c r="B290" t="s">
        <v>21</v>
      </c>
      <c r="C290" t="s">
        <v>447</v>
      </c>
      <c r="D290" t="s">
        <v>476</v>
      </c>
      <c r="E290" t="s">
        <v>491</v>
      </c>
    </row>
    <row r="291" spans="1:5" x14ac:dyDescent="0.3">
      <c r="A291" t="s">
        <v>10</v>
      </c>
      <c r="B291" t="s">
        <v>21</v>
      </c>
      <c r="C291" t="s">
        <v>447</v>
      </c>
      <c r="D291" t="s">
        <v>475</v>
      </c>
      <c r="E291" t="s">
        <v>491</v>
      </c>
    </row>
    <row r="292" spans="1:5" x14ac:dyDescent="0.3">
      <c r="A292" t="s">
        <v>10</v>
      </c>
      <c r="B292" t="s">
        <v>21</v>
      </c>
      <c r="C292" t="s">
        <v>447</v>
      </c>
      <c r="D292" t="s">
        <v>710</v>
      </c>
      <c r="E292" t="s">
        <v>491</v>
      </c>
    </row>
    <row r="293" spans="1:5" x14ac:dyDescent="0.3">
      <c r="A293" t="s">
        <v>10</v>
      </c>
      <c r="B293" t="s">
        <v>21</v>
      </c>
      <c r="C293" t="s">
        <v>447</v>
      </c>
      <c r="D293" t="s">
        <v>711</v>
      </c>
      <c r="E293" t="s">
        <v>491</v>
      </c>
    </row>
    <row r="294" spans="1:5" x14ac:dyDescent="0.3">
      <c r="A294" t="s">
        <v>10</v>
      </c>
      <c r="B294" t="s">
        <v>21</v>
      </c>
      <c r="C294" t="s">
        <v>447</v>
      </c>
      <c r="D294" t="s">
        <v>689</v>
      </c>
      <c r="E294" t="s">
        <v>491</v>
      </c>
    </row>
    <row r="295" spans="1:5" x14ac:dyDescent="0.3">
      <c r="A295" t="s">
        <v>10</v>
      </c>
      <c r="B295" t="s">
        <v>21</v>
      </c>
      <c r="C295" t="s">
        <v>447</v>
      </c>
      <c r="D295" t="s">
        <v>712</v>
      </c>
      <c r="E295" t="s">
        <v>491</v>
      </c>
    </row>
    <row r="296" spans="1:5" x14ac:dyDescent="0.3">
      <c r="A296" t="s">
        <v>10</v>
      </c>
      <c r="B296" t="s">
        <v>21</v>
      </c>
      <c r="C296" t="s">
        <v>447</v>
      </c>
      <c r="D296" t="s">
        <v>713</v>
      </c>
      <c r="E296" t="s">
        <v>491</v>
      </c>
    </row>
    <row r="297" spans="1:5" x14ac:dyDescent="0.3">
      <c r="A297" t="s">
        <v>10</v>
      </c>
      <c r="B297" t="s">
        <v>21</v>
      </c>
      <c r="C297" t="s">
        <v>447</v>
      </c>
      <c r="D297" t="s">
        <v>714</v>
      </c>
      <c r="E297" t="s">
        <v>491</v>
      </c>
    </row>
    <row r="298" spans="1:5" x14ac:dyDescent="0.3">
      <c r="A298" t="s">
        <v>10</v>
      </c>
      <c r="B298" t="s">
        <v>21</v>
      </c>
      <c r="C298" t="s">
        <v>447</v>
      </c>
      <c r="D298" t="s">
        <v>591</v>
      </c>
      <c r="E298" t="s">
        <v>491</v>
      </c>
    </row>
    <row r="299" spans="1:5" x14ac:dyDescent="0.3">
      <c r="A299" t="s">
        <v>10</v>
      </c>
      <c r="B299" t="s">
        <v>21</v>
      </c>
      <c r="C299" t="s">
        <v>447</v>
      </c>
      <c r="D299" t="s">
        <v>613</v>
      </c>
      <c r="E299" t="s">
        <v>491</v>
      </c>
    </row>
    <row r="300" spans="1:5" x14ac:dyDescent="0.3">
      <c r="A300" t="s">
        <v>10</v>
      </c>
      <c r="B300" t="s">
        <v>21</v>
      </c>
      <c r="C300" t="s">
        <v>447</v>
      </c>
      <c r="D300" t="s">
        <v>715</v>
      </c>
      <c r="E300" t="s">
        <v>491</v>
      </c>
    </row>
    <row r="301" spans="1:5" x14ac:dyDescent="0.3">
      <c r="A301" t="s">
        <v>10</v>
      </c>
      <c r="B301" t="s">
        <v>21</v>
      </c>
      <c r="C301" t="s">
        <v>447</v>
      </c>
      <c r="D301" t="s">
        <v>493</v>
      </c>
      <c r="E301" t="s">
        <v>491</v>
      </c>
    </row>
    <row r="302" spans="1:5" x14ac:dyDescent="0.3">
      <c r="A302" t="s">
        <v>10</v>
      </c>
      <c r="B302" t="s">
        <v>21</v>
      </c>
      <c r="C302" t="s">
        <v>447</v>
      </c>
      <c r="D302" t="s">
        <v>490</v>
      </c>
      <c r="E302" t="s">
        <v>491</v>
      </c>
    </row>
    <row r="303" spans="1:5" x14ac:dyDescent="0.3">
      <c r="A303" t="s">
        <v>10</v>
      </c>
      <c r="B303" t="s">
        <v>21</v>
      </c>
      <c r="C303" t="s">
        <v>447</v>
      </c>
      <c r="D303" t="s">
        <v>485</v>
      </c>
      <c r="E303" t="s">
        <v>491</v>
      </c>
    </row>
    <row r="304" spans="1:5" x14ac:dyDescent="0.3">
      <c r="A304" t="s">
        <v>10</v>
      </c>
      <c r="B304" t="s">
        <v>21</v>
      </c>
      <c r="C304" t="s">
        <v>447</v>
      </c>
      <c r="D304" t="s">
        <v>716</v>
      </c>
      <c r="E304" t="s">
        <v>491</v>
      </c>
    </row>
    <row r="305" spans="1:5" x14ac:dyDescent="0.3">
      <c r="A305" t="s">
        <v>10</v>
      </c>
      <c r="B305" t="s">
        <v>21</v>
      </c>
      <c r="C305" t="s">
        <v>447</v>
      </c>
      <c r="D305" t="s">
        <v>494</v>
      </c>
      <c r="E305" t="s">
        <v>491</v>
      </c>
    </row>
    <row r="306" spans="1:5" x14ac:dyDescent="0.3">
      <c r="A306" t="s">
        <v>10</v>
      </c>
      <c r="B306" t="s">
        <v>21</v>
      </c>
      <c r="C306" t="s">
        <v>447</v>
      </c>
      <c r="D306" t="s">
        <v>523</v>
      </c>
      <c r="E306" t="s">
        <v>491</v>
      </c>
    </row>
    <row r="307" spans="1:5" x14ac:dyDescent="0.3">
      <c r="A307" t="s">
        <v>10</v>
      </c>
      <c r="B307" t="s">
        <v>21</v>
      </c>
      <c r="C307" t="s">
        <v>447</v>
      </c>
      <c r="D307" t="s">
        <v>492</v>
      </c>
      <c r="E307" t="s">
        <v>491</v>
      </c>
    </row>
    <row r="308" spans="1:5" x14ac:dyDescent="0.3">
      <c r="A308" t="s">
        <v>10</v>
      </c>
      <c r="B308" t="s">
        <v>21</v>
      </c>
      <c r="C308" t="s">
        <v>447</v>
      </c>
      <c r="D308" t="s">
        <v>717</v>
      </c>
      <c r="E308" t="s">
        <v>491</v>
      </c>
    </row>
    <row r="309" spans="1:5" x14ac:dyDescent="0.3">
      <c r="A309" t="s">
        <v>10</v>
      </c>
      <c r="B309" t="s">
        <v>21</v>
      </c>
      <c r="C309" t="s">
        <v>447</v>
      </c>
      <c r="D309" t="s">
        <v>718</v>
      </c>
      <c r="E309" t="s">
        <v>491</v>
      </c>
    </row>
    <row r="310" spans="1:5" x14ac:dyDescent="0.3">
      <c r="A310" t="s">
        <v>10</v>
      </c>
      <c r="B310" t="s">
        <v>21</v>
      </c>
      <c r="C310" t="s">
        <v>447</v>
      </c>
      <c r="D310" t="s">
        <v>719</v>
      </c>
      <c r="E310" t="s">
        <v>491</v>
      </c>
    </row>
    <row r="311" spans="1:5" x14ac:dyDescent="0.3">
      <c r="A311" t="s">
        <v>10</v>
      </c>
      <c r="B311" t="s">
        <v>21</v>
      </c>
      <c r="C311" t="s">
        <v>447</v>
      </c>
      <c r="D311" t="s">
        <v>720</v>
      </c>
      <c r="E311" t="s">
        <v>491</v>
      </c>
    </row>
    <row r="312" spans="1:5" x14ac:dyDescent="0.3">
      <c r="A312" t="s">
        <v>10</v>
      </c>
      <c r="B312" t="s">
        <v>721</v>
      </c>
      <c r="C312" t="s">
        <v>447</v>
      </c>
      <c r="D312" t="s">
        <v>513</v>
      </c>
      <c r="E312" t="s">
        <v>491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1ADE5-3AFF-4560-B8CC-A11516858D3E}">
  <sheetPr codeName="Sheet9"/>
  <dimension ref="A1:C4"/>
  <sheetViews>
    <sheetView workbookViewId="0">
      <selection activeCell="F13" sqref="F13"/>
    </sheetView>
  </sheetViews>
  <sheetFormatPr defaultRowHeight="14.4" x14ac:dyDescent="0.3"/>
  <cols>
    <col min="1" max="1" width="67.109375" customWidth="1"/>
    <col min="2" max="2" width="48.6640625" customWidth="1"/>
  </cols>
  <sheetData>
    <row r="1" spans="1:3" x14ac:dyDescent="0.3">
      <c r="A1" t="s">
        <v>722</v>
      </c>
      <c r="B1" t="s">
        <v>723</v>
      </c>
      <c r="C1" t="s">
        <v>724</v>
      </c>
    </row>
    <row r="2" spans="1:3" x14ac:dyDescent="0.3">
      <c r="A2" t="s">
        <v>725</v>
      </c>
      <c r="B2" t="s">
        <v>726</v>
      </c>
      <c r="C2" t="s">
        <v>7</v>
      </c>
    </row>
    <row r="3" spans="1:3" x14ac:dyDescent="0.3">
      <c r="A3" t="s">
        <v>727</v>
      </c>
      <c r="C3" t="s">
        <v>728</v>
      </c>
    </row>
    <row r="4" spans="1:3" x14ac:dyDescent="0.3">
      <c r="A4" t="s">
        <v>729</v>
      </c>
      <c r="B4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C9D2-1A73-4C53-8838-ECB4A1E8BC8C}">
  <sheetPr codeName="Sheet21"/>
  <dimension ref="A1:B73"/>
  <sheetViews>
    <sheetView workbookViewId="0">
      <selection activeCell="B1" sqref="A1:B1"/>
    </sheetView>
  </sheetViews>
  <sheetFormatPr defaultRowHeight="14.4" x14ac:dyDescent="0.3"/>
  <sheetData>
    <row r="1" spans="1:2" x14ac:dyDescent="0.3">
      <c r="A1" t="s">
        <v>13081</v>
      </c>
      <c r="B1" t="s">
        <v>4</v>
      </c>
    </row>
    <row r="2" spans="1:2" x14ac:dyDescent="0.3">
      <c r="A2" t="s">
        <v>762</v>
      </c>
      <c r="B2" t="s">
        <v>1</v>
      </c>
    </row>
    <row r="3" spans="1:2" x14ac:dyDescent="0.3">
      <c r="A3" t="s">
        <v>763</v>
      </c>
      <c r="B3" t="s">
        <v>1</v>
      </c>
    </row>
    <row r="4" spans="1:2" x14ac:dyDescent="0.3">
      <c r="A4" t="s">
        <v>3850</v>
      </c>
      <c r="B4" t="s">
        <v>1</v>
      </c>
    </row>
    <row r="5" spans="1:2" x14ac:dyDescent="0.3">
      <c r="A5" t="s">
        <v>787</v>
      </c>
      <c r="B5" t="s">
        <v>1</v>
      </c>
    </row>
    <row r="6" spans="1:2" x14ac:dyDescent="0.3">
      <c r="A6" t="s">
        <v>1080</v>
      </c>
      <c r="B6" t="s">
        <v>1</v>
      </c>
    </row>
    <row r="7" spans="1:2" x14ac:dyDescent="0.3">
      <c r="A7" t="s">
        <v>3100</v>
      </c>
      <c r="B7" t="s">
        <v>1</v>
      </c>
    </row>
    <row r="8" spans="1:2" x14ac:dyDescent="0.3">
      <c r="A8" t="s">
        <v>769</v>
      </c>
      <c r="B8" t="s">
        <v>1</v>
      </c>
    </row>
    <row r="9" spans="1:2" x14ac:dyDescent="0.3">
      <c r="A9" t="s">
        <v>3556</v>
      </c>
      <c r="B9" t="s">
        <v>1</v>
      </c>
    </row>
    <row r="10" spans="1:2" x14ac:dyDescent="0.3">
      <c r="A10" t="s">
        <v>930</v>
      </c>
      <c r="B10" t="s">
        <v>1</v>
      </c>
    </row>
    <row r="11" spans="1:2" x14ac:dyDescent="0.3">
      <c r="A11" t="s">
        <v>747</v>
      </c>
      <c r="B11" t="s">
        <v>1</v>
      </c>
    </row>
    <row r="12" spans="1:2" x14ac:dyDescent="0.3">
      <c r="A12" t="s">
        <v>943</v>
      </c>
      <c r="B12" t="s">
        <v>1</v>
      </c>
    </row>
    <row r="13" spans="1:2" x14ac:dyDescent="0.3">
      <c r="A13" t="s">
        <v>954</v>
      </c>
      <c r="B13" t="s">
        <v>1</v>
      </c>
    </row>
    <row r="14" spans="1:2" x14ac:dyDescent="0.3">
      <c r="A14" t="s">
        <v>5249</v>
      </c>
      <c r="B14" t="s">
        <v>1</v>
      </c>
    </row>
    <row r="15" spans="1:2" x14ac:dyDescent="0.3">
      <c r="A15" t="s">
        <v>1607</v>
      </c>
      <c r="B15" t="s">
        <v>1</v>
      </c>
    </row>
    <row r="16" spans="1:2" x14ac:dyDescent="0.3">
      <c r="A16" t="s">
        <v>2581</v>
      </c>
      <c r="B16" t="s">
        <v>1</v>
      </c>
    </row>
    <row r="17" spans="1:2" x14ac:dyDescent="0.3">
      <c r="A17" t="s">
        <v>751</v>
      </c>
      <c r="B17" t="s">
        <v>1</v>
      </c>
    </row>
    <row r="18" spans="1:2" x14ac:dyDescent="0.3">
      <c r="A18" t="s">
        <v>5051</v>
      </c>
      <c r="B18" t="s">
        <v>1</v>
      </c>
    </row>
    <row r="19" spans="1:2" x14ac:dyDescent="0.3">
      <c r="A19" t="s">
        <v>902</v>
      </c>
      <c r="B19" t="s">
        <v>1</v>
      </c>
    </row>
    <row r="20" spans="1:2" x14ac:dyDescent="0.3">
      <c r="A20" t="s">
        <v>5210</v>
      </c>
      <c r="B20" t="s">
        <v>1</v>
      </c>
    </row>
    <row r="21" spans="1:2" x14ac:dyDescent="0.3">
      <c r="A21" t="s">
        <v>928</v>
      </c>
      <c r="B21" t="s">
        <v>1</v>
      </c>
    </row>
    <row r="22" spans="1:2" x14ac:dyDescent="0.3">
      <c r="A22" t="s">
        <v>806</v>
      </c>
      <c r="B22" t="s">
        <v>1</v>
      </c>
    </row>
    <row r="23" spans="1:2" x14ac:dyDescent="0.3">
      <c r="A23" t="s">
        <v>1007</v>
      </c>
      <c r="B23" t="s">
        <v>1</v>
      </c>
    </row>
    <row r="24" spans="1:2" x14ac:dyDescent="0.3">
      <c r="A24" t="s">
        <v>5722</v>
      </c>
      <c r="B24" t="s">
        <v>1</v>
      </c>
    </row>
    <row r="25" spans="1:2" x14ac:dyDescent="0.3">
      <c r="A25" t="s">
        <v>910</v>
      </c>
      <c r="B25" t="s">
        <v>1</v>
      </c>
    </row>
    <row r="26" spans="1:2" x14ac:dyDescent="0.3">
      <c r="A26" t="s">
        <v>1408</v>
      </c>
      <c r="B26" t="s">
        <v>1</v>
      </c>
    </row>
    <row r="27" spans="1:2" x14ac:dyDescent="0.3">
      <c r="A27" t="s">
        <v>2228</v>
      </c>
      <c r="B27" t="s">
        <v>1</v>
      </c>
    </row>
    <row r="28" spans="1:2" x14ac:dyDescent="0.3">
      <c r="A28" t="s">
        <v>1070</v>
      </c>
      <c r="B28" t="s">
        <v>1</v>
      </c>
    </row>
    <row r="29" spans="1:2" x14ac:dyDescent="0.3">
      <c r="A29" t="s">
        <v>7945</v>
      </c>
      <c r="B29" t="s">
        <v>1</v>
      </c>
    </row>
    <row r="30" spans="1:2" x14ac:dyDescent="0.3">
      <c r="A30" t="s">
        <v>2789</v>
      </c>
      <c r="B30" t="s">
        <v>1</v>
      </c>
    </row>
    <row r="31" spans="1:2" x14ac:dyDescent="0.3">
      <c r="A31" t="s">
        <v>4883</v>
      </c>
      <c r="B31" t="s">
        <v>1</v>
      </c>
    </row>
    <row r="32" spans="1:2" x14ac:dyDescent="0.3">
      <c r="A32" t="s">
        <v>913</v>
      </c>
      <c r="B32" t="s">
        <v>1</v>
      </c>
    </row>
    <row r="33" spans="1:2" x14ac:dyDescent="0.3">
      <c r="A33" t="s">
        <v>3228</v>
      </c>
      <c r="B33" t="s">
        <v>1</v>
      </c>
    </row>
    <row r="34" spans="1:2" x14ac:dyDescent="0.3">
      <c r="A34" t="s">
        <v>883</v>
      </c>
      <c r="B34" t="s">
        <v>1</v>
      </c>
    </row>
    <row r="35" spans="1:2" x14ac:dyDescent="0.3">
      <c r="A35" t="s">
        <v>982</v>
      </c>
      <c r="B35" t="s">
        <v>1</v>
      </c>
    </row>
    <row r="36" spans="1:2" x14ac:dyDescent="0.3">
      <c r="A36" t="s">
        <v>7071</v>
      </c>
      <c r="B36" t="s">
        <v>1</v>
      </c>
    </row>
    <row r="37" spans="1:2" x14ac:dyDescent="0.3">
      <c r="A37" t="s">
        <v>8023</v>
      </c>
      <c r="B37" t="s">
        <v>1</v>
      </c>
    </row>
    <row r="38" spans="1:2" x14ac:dyDescent="0.3">
      <c r="A38" t="s">
        <v>12797</v>
      </c>
      <c r="B38" t="s">
        <v>1</v>
      </c>
    </row>
    <row r="39" spans="1:2" x14ac:dyDescent="0.3">
      <c r="A39" t="s">
        <v>7815</v>
      </c>
      <c r="B39" t="s">
        <v>1</v>
      </c>
    </row>
    <row r="40" spans="1:2" x14ac:dyDescent="0.3">
      <c r="A40" t="s">
        <v>5175</v>
      </c>
      <c r="B40" t="s">
        <v>1</v>
      </c>
    </row>
    <row r="41" spans="1:2" x14ac:dyDescent="0.3">
      <c r="A41" t="s">
        <v>3901</v>
      </c>
      <c r="B41" t="s">
        <v>1</v>
      </c>
    </row>
    <row r="42" spans="1:2" x14ac:dyDescent="0.3">
      <c r="A42" t="s">
        <v>5692</v>
      </c>
      <c r="B42" t="s">
        <v>1</v>
      </c>
    </row>
    <row r="43" spans="1:2" x14ac:dyDescent="0.3">
      <c r="A43" t="s">
        <v>4787</v>
      </c>
      <c r="B43" t="s">
        <v>1</v>
      </c>
    </row>
    <row r="44" spans="1:2" x14ac:dyDescent="0.3">
      <c r="A44" t="s">
        <v>5042</v>
      </c>
      <c r="B44" t="s">
        <v>1</v>
      </c>
    </row>
    <row r="45" spans="1:2" x14ac:dyDescent="0.3">
      <c r="A45" t="s">
        <v>2924</v>
      </c>
      <c r="B45" t="s">
        <v>1</v>
      </c>
    </row>
    <row r="46" spans="1:2" x14ac:dyDescent="0.3">
      <c r="A46" t="s">
        <v>12172</v>
      </c>
      <c r="B46" t="s">
        <v>1</v>
      </c>
    </row>
    <row r="47" spans="1:2" x14ac:dyDescent="0.3">
      <c r="A47" t="s">
        <v>13004</v>
      </c>
      <c r="B47" t="s">
        <v>1</v>
      </c>
    </row>
    <row r="48" spans="1:2" x14ac:dyDescent="0.3">
      <c r="A48" t="s">
        <v>768</v>
      </c>
      <c r="B48" t="s">
        <v>1</v>
      </c>
    </row>
    <row r="49" spans="1:2" x14ac:dyDescent="0.3">
      <c r="A49" t="s">
        <v>4236</v>
      </c>
      <c r="B49" t="s">
        <v>1</v>
      </c>
    </row>
    <row r="50" spans="1:2" x14ac:dyDescent="0.3">
      <c r="A50" t="s">
        <v>951</v>
      </c>
      <c r="B50" t="s">
        <v>1</v>
      </c>
    </row>
    <row r="51" spans="1:2" x14ac:dyDescent="0.3">
      <c r="A51" t="s">
        <v>1246</v>
      </c>
      <c r="B51" t="s">
        <v>1</v>
      </c>
    </row>
    <row r="52" spans="1:2" x14ac:dyDescent="0.3">
      <c r="A52" t="s">
        <v>906</v>
      </c>
      <c r="B52" t="s">
        <v>1</v>
      </c>
    </row>
    <row r="53" spans="1:2" x14ac:dyDescent="0.3">
      <c r="A53" t="s">
        <v>1183</v>
      </c>
      <c r="B53" t="s">
        <v>1</v>
      </c>
    </row>
    <row r="54" spans="1:2" x14ac:dyDescent="0.3">
      <c r="A54" t="s">
        <v>4040</v>
      </c>
      <c r="B54" t="s">
        <v>1</v>
      </c>
    </row>
    <row r="55" spans="1:2" x14ac:dyDescent="0.3">
      <c r="A55" t="s">
        <v>3253</v>
      </c>
      <c r="B55" t="s">
        <v>1</v>
      </c>
    </row>
    <row r="56" spans="1:2" x14ac:dyDescent="0.3">
      <c r="A56" t="s">
        <v>4868</v>
      </c>
      <c r="B56" t="s">
        <v>1</v>
      </c>
    </row>
    <row r="57" spans="1:2" x14ac:dyDescent="0.3">
      <c r="A57" t="s">
        <v>8521</v>
      </c>
      <c r="B57" t="s">
        <v>1</v>
      </c>
    </row>
    <row r="58" spans="1:2" x14ac:dyDescent="0.3">
      <c r="A58" t="s">
        <v>8640</v>
      </c>
      <c r="B58" t="s">
        <v>1</v>
      </c>
    </row>
    <row r="59" spans="1:2" x14ac:dyDescent="0.3">
      <c r="A59" t="s">
        <v>9273</v>
      </c>
      <c r="B59" t="s">
        <v>1</v>
      </c>
    </row>
    <row r="60" spans="1:2" x14ac:dyDescent="0.3">
      <c r="A60" t="s">
        <v>13005</v>
      </c>
      <c r="B60" t="s">
        <v>1</v>
      </c>
    </row>
    <row r="61" spans="1:2" x14ac:dyDescent="0.3">
      <c r="A61" t="s">
        <v>1554</v>
      </c>
      <c r="B61" t="s">
        <v>1</v>
      </c>
    </row>
    <row r="62" spans="1:2" x14ac:dyDescent="0.3">
      <c r="A62" t="s">
        <v>11508</v>
      </c>
      <c r="B62" t="s">
        <v>1</v>
      </c>
    </row>
    <row r="63" spans="1:2" x14ac:dyDescent="0.3">
      <c r="A63" t="s">
        <v>2419</v>
      </c>
      <c r="B63" t="s">
        <v>1</v>
      </c>
    </row>
    <row r="64" spans="1:2" x14ac:dyDescent="0.3">
      <c r="A64" t="s">
        <v>4116</v>
      </c>
      <c r="B64" t="s">
        <v>1</v>
      </c>
    </row>
    <row r="65" spans="1:2" x14ac:dyDescent="0.3">
      <c r="A65" t="s">
        <v>13006</v>
      </c>
      <c r="B65" t="s">
        <v>1</v>
      </c>
    </row>
    <row r="66" spans="1:2" x14ac:dyDescent="0.3">
      <c r="A66" t="s">
        <v>3759</v>
      </c>
      <c r="B66" t="s">
        <v>1</v>
      </c>
    </row>
    <row r="67" spans="1:2" x14ac:dyDescent="0.3">
      <c r="A67" t="s">
        <v>6137</v>
      </c>
      <c r="B67" t="s">
        <v>1</v>
      </c>
    </row>
    <row r="68" spans="1:2" x14ac:dyDescent="0.3">
      <c r="A68" t="s">
        <v>919</v>
      </c>
      <c r="B68" t="s">
        <v>1</v>
      </c>
    </row>
    <row r="69" spans="1:2" x14ac:dyDescent="0.3">
      <c r="A69" t="s">
        <v>738</v>
      </c>
      <c r="B69" t="s">
        <v>1</v>
      </c>
    </row>
    <row r="70" spans="1:2" x14ac:dyDescent="0.3">
      <c r="A70" t="s">
        <v>5607</v>
      </c>
      <c r="B70" t="s">
        <v>1</v>
      </c>
    </row>
    <row r="71" spans="1:2" x14ac:dyDescent="0.3">
      <c r="A71" t="s">
        <v>3427</v>
      </c>
      <c r="B71" t="s">
        <v>1</v>
      </c>
    </row>
    <row r="72" spans="1:2" x14ac:dyDescent="0.3">
      <c r="A72" t="s">
        <v>11302</v>
      </c>
      <c r="B72" t="s">
        <v>1</v>
      </c>
    </row>
    <row r="73" spans="1:2" x14ac:dyDescent="0.3">
      <c r="A73" t="s">
        <v>908</v>
      </c>
      <c r="B73" t="s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DA9A-E400-4840-A612-B82616FB476E}">
  <sheetPr codeName="Sheet20"/>
  <dimension ref="A1:E6566"/>
  <sheetViews>
    <sheetView workbookViewId="0">
      <selection activeCell="Q43" sqref="Q43"/>
    </sheetView>
  </sheetViews>
  <sheetFormatPr defaultRowHeight="14.4" x14ac:dyDescent="0.3"/>
  <sheetData>
    <row r="1" spans="1:5" x14ac:dyDescent="0.3">
      <c r="A1" t="s">
        <v>13082</v>
      </c>
      <c r="B1" t="s">
        <v>13083</v>
      </c>
      <c r="C1" t="s">
        <v>13084</v>
      </c>
      <c r="D1" t="s">
        <v>13081</v>
      </c>
      <c r="E1" t="s">
        <v>4</v>
      </c>
    </row>
    <row r="2" spans="1:5" x14ac:dyDescent="0.3">
      <c r="A2" t="s">
        <v>744</v>
      </c>
      <c r="B2" t="s">
        <v>746</v>
      </c>
      <c r="C2" t="s">
        <v>745</v>
      </c>
      <c r="D2" t="s">
        <v>742</v>
      </c>
      <c r="E2" t="s">
        <v>743</v>
      </c>
    </row>
    <row r="3" spans="1:5" x14ac:dyDescent="0.3">
      <c r="A3" t="s">
        <v>748</v>
      </c>
      <c r="B3" t="s">
        <v>750</v>
      </c>
      <c r="C3" t="s">
        <v>749</v>
      </c>
      <c r="D3" t="s">
        <v>747</v>
      </c>
      <c r="E3" t="s">
        <v>1</v>
      </c>
    </row>
    <row r="4" spans="1:5" x14ac:dyDescent="0.3">
      <c r="A4" t="s">
        <v>132</v>
      </c>
      <c r="B4" t="s">
        <v>776</v>
      </c>
      <c r="C4" t="s">
        <v>467</v>
      </c>
      <c r="D4" t="s">
        <v>775</v>
      </c>
      <c r="E4" t="s">
        <v>75</v>
      </c>
    </row>
    <row r="5" spans="1:5" x14ac:dyDescent="0.3">
      <c r="A5" t="s">
        <v>116</v>
      </c>
      <c r="B5" t="s">
        <v>785</v>
      </c>
      <c r="C5" t="s">
        <v>784</v>
      </c>
      <c r="D5" t="s">
        <v>783</v>
      </c>
      <c r="E5" t="s">
        <v>758</v>
      </c>
    </row>
    <row r="6" spans="1:5" x14ac:dyDescent="0.3">
      <c r="A6" t="s">
        <v>791</v>
      </c>
      <c r="B6" t="s">
        <v>792</v>
      </c>
      <c r="C6" t="s">
        <v>460</v>
      </c>
      <c r="D6" t="s">
        <v>790</v>
      </c>
      <c r="E6" t="s">
        <v>75</v>
      </c>
    </row>
    <row r="7" spans="1:5" x14ac:dyDescent="0.3">
      <c r="A7" t="s">
        <v>27</v>
      </c>
      <c r="B7" t="s">
        <v>814</v>
      </c>
      <c r="C7" t="s">
        <v>813</v>
      </c>
      <c r="D7" t="s">
        <v>812</v>
      </c>
      <c r="E7" t="s">
        <v>774</v>
      </c>
    </row>
    <row r="8" spans="1:5" x14ac:dyDescent="0.3">
      <c r="A8" t="s">
        <v>846</v>
      </c>
      <c r="B8" t="s">
        <v>848</v>
      </c>
      <c r="C8" t="s">
        <v>847</v>
      </c>
      <c r="D8" t="s">
        <v>845</v>
      </c>
      <c r="E8" t="s">
        <v>841</v>
      </c>
    </row>
    <row r="9" spans="1:5" x14ac:dyDescent="0.3">
      <c r="A9" t="s">
        <v>851</v>
      </c>
      <c r="B9" t="s">
        <v>853</v>
      </c>
      <c r="C9" t="s">
        <v>852</v>
      </c>
      <c r="D9" t="s">
        <v>849</v>
      </c>
      <c r="E9" t="s">
        <v>75</v>
      </c>
    </row>
    <row r="10" spans="1:5" x14ac:dyDescent="0.3">
      <c r="A10" t="s">
        <v>41</v>
      </c>
      <c r="B10" t="s">
        <v>863</v>
      </c>
      <c r="C10" t="s">
        <v>862</v>
      </c>
      <c r="D10" t="s">
        <v>861</v>
      </c>
      <c r="E10" t="s">
        <v>75</v>
      </c>
    </row>
    <row r="11" spans="1:5" x14ac:dyDescent="0.3">
      <c r="A11" t="s">
        <v>41</v>
      </c>
      <c r="B11" t="s">
        <v>886</v>
      </c>
      <c r="C11" t="s">
        <v>459</v>
      </c>
      <c r="D11" t="s">
        <v>885</v>
      </c>
      <c r="E11" t="s">
        <v>781</v>
      </c>
    </row>
    <row r="12" spans="1:5" x14ac:dyDescent="0.3">
      <c r="A12" t="s">
        <v>892</v>
      </c>
      <c r="B12" t="s">
        <v>893</v>
      </c>
      <c r="C12" t="s">
        <v>467</v>
      </c>
      <c r="D12" t="s">
        <v>891</v>
      </c>
      <c r="E12" t="s">
        <v>743</v>
      </c>
    </row>
    <row r="13" spans="1:5" x14ac:dyDescent="0.3">
      <c r="A13" t="s">
        <v>903</v>
      </c>
      <c r="B13" t="s">
        <v>905</v>
      </c>
      <c r="C13" t="s">
        <v>904</v>
      </c>
      <c r="D13" t="s">
        <v>902</v>
      </c>
      <c r="E13" t="s">
        <v>1</v>
      </c>
    </row>
    <row r="14" spans="1:5" x14ac:dyDescent="0.3">
      <c r="A14" t="s">
        <v>123</v>
      </c>
      <c r="B14" t="s">
        <v>912</v>
      </c>
      <c r="C14" t="s">
        <v>911</v>
      </c>
      <c r="D14" t="s">
        <v>910</v>
      </c>
      <c r="E14" t="s">
        <v>1</v>
      </c>
    </row>
    <row r="15" spans="1:5" x14ac:dyDescent="0.3">
      <c r="A15" t="s">
        <v>915</v>
      </c>
      <c r="B15" t="s">
        <v>917</v>
      </c>
      <c r="C15" t="s">
        <v>916</v>
      </c>
      <c r="D15" t="s">
        <v>914</v>
      </c>
      <c r="E15" t="s">
        <v>741</v>
      </c>
    </row>
    <row r="16" spans="1:5" x14ac:dyDescent="0.3">
      <c r="A16" t="s">
        <v>920</v>
      </c>
      <c r="B16" t="s">
        <v>922</v>
      </c>
      <c r="C16" t="s">
        <v>921</v>
      </c>
      <c r="D16" t="s">
        <v>919</v>
      </c>
      <c r="E16" t="s">
        <v>1</v>
      </c>
    </row>
    <row r="17" spans="1:5" x14ac:dyDescent="0.3">
      <c r="A17" t="s">
        <v>924</v>
      </c>
      <c r="B17" t="s">
        <v>926</v>
      </c>
      <c r="C17" t="s">
        <v>925</v>
      </c>
      <c r="D17" t="s">
        <v>923</v>
      </c>
      <c r="E17" t="s">
        <v>774</v>
      </c>
    </row>
    <row r="18" spans="1:5" x14ac:dyDescent="0.3">
      <c r="A18" t="s">
        <v>938</v>
      </c>
      <c r="B18" t="s">
        <v>939</v>
      </c>
      <c r="C18" t="s">
        <v>862</v>
      </c>
      <c r="D18" t="s">
        <v>763</v>
      </c>
      <c r="E18" t="s">
        <v>1</v>
      </c>
    </row>
    <row r="19" spans="1:5" x14ac:dyDescent="0.3">
      <c r="A19" t="s">
        <v>948</v>
      </c>
      <c r="B19" t="s">
        <v>950</v>
      </c>
      <c r="C19" t="s">
        <v>949</v>
      </c>
      <c r="D19" t="s">
        <v>947</v>
      </c>
      <c r="E19" t="s">
        <v>897</v>
      </c>
    </row>
    <row r="20" spans="1:5" x14ac:dyDescent="0.3">
      <c r="A20" t="s">
        <v>411</v>
      </c>
      <c r="B20" t="s">
        <v>959</v>
      </c>
      <c r="C20" t="s">
        <v>958</v>
      </c>
      <c r="D20" t="s">
        <v>957</v>
      </c>
      <c r="E20" t="s">
        <v>774</v>
      </c>
    </row>
    <row r="21" spans="1:5" x14ac:dyDescent="0.3">
      <c r="A21" t="s">
        <v>964</v>
      </c>
      <c r="B21" t="s">
        <v>966</v>
      </c>
      <c r="C21" t="s">
        <v>965</v>
      </c>
      <c r="D21" t="s">
        <v>963</v>
      </c>
      <c r="E21" t="s">
        <v>758</v>
      </c>
    </row>
    <row r="22" spans="1:5" x14ac:dyDescent="0.3">
      <c r="A22" t="s">
        <v>969</v>
      </c>
      <c r="B22" t="s">
        <v>971</v>
      </c>
      <c r="C22" t="s">
        <v>970</v>
      </c>
      <c r="D22" t="s">
        <v>787</v>
      </c>
      <c r="E22" t="s">
        <v>1</v>
      </c>
    </row>
    <row r="23" spans="1:5" x14ac:dyDescent="0.3">
      <c r="A23" t="s">
        <v>160</v>
      </c>
      <c r="B23" t="s">
        <v>979</v>
      </c>
      <c r="C23" t="s">
        <v>978</v>
      </c>
      <c r="D23" t="s">
        <v>977</v>
      </c>
      <c r="E23" t="s">
        <v>774</v>
      </c>
    </row>
    <row r="24" spans="1:5" x14ac:dyDescent="0.3">
      <c r="A24" t="s">
        <v>983</v>
      </c>
      <c r="B24" t="s">
        <v>984</v>
      </c>
      <c r="C24" t="s">
        <v>862</v>
      </c>
      <c r="D24" t="s">
        <v>919</v>
      </c>
      <c r="E24" t="s">
        <v>1</v>
      </c>
    </row>
    <row r="25" spans="1:5" x14ac:dyDescent="0.3">
      <c r="A25" t="s">
        <v>153</v>
      </c>
      <c r="B25" t="s">
        <v>988</v>
      </c>
      <c r="C25" t="s">
        <v>987</v>
      </c>
      <c r="D25" t="s">
        <v>986</v>
      </c>
      <c r="E25" t="s">
        <v>18</v>
      </c>
    </row>
    <row r="26" spans="1:5" x14ac:dyDescent="0.3">
      <c r="A26" t="s">
        <v>994</v>
      </c>
      <c r="B26" t="s">
        <v>996</v>
      </c>
      <c r="C26" t="s">
        <v>995</v>
      </c>
      <c r="D26" t="s">
        <v>763</v>
      </c>
      <c r="E26" t="s">
        <v>1</v>
      </c>
    </row>
    <row r="27" spans="1:5" x14ac:dyDescent="0.3">
      <c r="A27" t="s">
        <v>1001</v>
      </c>
      <c r="B27" t="s">
        <v>367</v>
      </c>
      <c r="C27" t="s">
        <v>518</v>
      </c>
      <c r="D27" t="s">
        <v>953</v>
      </c>
      <c r="E27" t="s">
        <v>841</v>
      </c>
    </row>
    <row r="28" spans="1:5" x14ac:dyDescent="0.3">
      <c r="A28" t="s">
        <v>1005</v>
      </c>
      <c r="B28" t="s">
        <v>1006</v>
      </c>
      <c r="C28" t="s">
        <v>862</v>
      </c>
      <c r="D28" t="s">
        <v>1004</v>
      </c>
      <c r="E28" t="s">
        <v>774</v>
      </c>
    </row>
    <row r="29" spans="1:5" x14ac:dyDescent="0.3">
      <c r="A29" t="s">
        <v>411</v>
      </c>
      <c r="B29" t="s">
        <v>1012</v>
      </c>
      <c r="C29" t="s">
        <v>1011</v>
      </c>
      <c r="D29" t="s">
        <v>902</v>
      </c>
      <c r="E29" t="s">
        <v>1</v>
      </c>
    </row>
    <row r="30" spans="1:5" x14ac:dyDescent="0.3">
      <c r="A30" t="s">
        <v>1014</v>
      </c>
      <c r="B30" t="s">
        <v>1016</v>
      </c>
      <c r="C30" t="s">
        <v>1015</v>
      </c>
      <c r="D30" t="s">
        <v>910</v>
      </c>
      <c r="E30" t="s">
        <v>1</v>
      </c>
    </row>
    <row r="31" spans="1:5" x14ac:dyDescent="0.3">
      <c r="A31" t="s">
        <v>1019</v>
      </c>
      <c r="B31" t="s">
        <v>1020</v>
      </c>
      <c r="C31" t="s">
        <v>862</v>
      </c>
      <c r="D31" t="s">
        <v>943</v>
      </c>
      <c r="E31" t="s">
        <v>1</v>
      </c>
    </row>
    <row r="32" spans="1:5" x14ac:dyDescent="0.3">
      <c r="A32" t="s">
        <v>1021</v>
      </c>
      <c r="B32" t="s">
        <v>1023</v>
      </c>
      <c r="C32" t="s">
        <v>1022</v>
      </c>
      <c r="D32" t="s">
        <v>908</v>
      </c>
      <c r="E32" t="s">
        <v>1</v>
      </c>
    </row>
    <row r="33" spans="1:5" x14ac:dyDescent="0.3">
      <c r="A33" t="s">
        <v>1028</v>
      </c>
      <c r="B33" t="s">
        <v>1029</v>
      </c>
      <c r="C33" t="s">
        <v>862</v>
      </c>
      <c r="D33" t="s">
        <v>975</v>
      </c>
      <c r="E33" t="s">
        <v>741</v>
      </c>
    </row>
    <row r="34" spans="1:5" x14ac:dyDescent="0.3">
      <c r="A34" t="s">
        <v>875</v>
      </c>
      <c r="B34" t="s">
        <v>1035</v>
      </c>
      <c r="C34" t="s">
        <v>1034</v>
      </c>
      <c r="D34" t="s">
        <v>1033</v>
      </c>
      <c r="E34" t="s">
        <v>774</v>
      </c>
    </row>
    <row r="35" spans="1:5" x14ac:dyDescent="0.3">
      <c r="A35" t="s">
        <v>1037</v>
      </c>
      <c r="B35" t="s">
        <v>1039</v>
      </c>
      <c r="C35" t="s">
        <v>1038</v>
      </c>
      <c r="D35" t="s">
        <v>1036</v>
      </c>
      <c r="E35" t="s">
        <v>774</v>
      </c>
    </row>
    <row r="36" spans="1:5" x14ac:dyDescent="0.3">
      <c r="A36" t="s">
        <v>1051</v>
      </c>
      <c r="B36" t="s">
        <v>1052</v>
      </c>
      <c r="C36" t="s">
        <v>862</v>
      </c>
      <c r="D36" t="s">
        <v>910</v>
      </c>
      <c r="E36" t="s">
        <v>1</v>
      </c>
    </row>
    <row r="37" spans="1:5" x14ac:dyDescent="0.3">
      <c r="A37" t="s">
        <v>250</v>
      </c>
      <c r="B37" t="s">
        <v>1055</v>
      </c>
      <c r="C37" t="s">
        <v>1054</v>
      </c>
      <c r="D37" t="s">
        <v>908</v>
      </c>
      <c r="E37" t="s">
        <v>1</v>
      </c>
    </row>
    <row r="38" spans="1:5" x14ac:dyDescent="0.3">
      <c r="A38" t="s">
        <v>1059</v>
      </c>
      <c r="B38" t="s">
        <v>1061</v>
      </c>
      <c r="C38" t="s">
        <v>1060</v>
      </c>
      <c r="D38" t="s">
        <v>908</v>
      </c>
      <c r="E38" t="s">
        <v>1</v>
      </c>
    </row>
    <row r="39" spans="1:5" x14ac:dyDescent="0.3">
      <c r="A39" t="s">
        <v>68</v>
      </c>
      <c r="B39" t="s">
        <v>1064</v>
      </c>
      <c r="C39" t="s">
        <v>1063</v>
      </c>
      <c r="D39" t="s">
        <v>908</v>
      </c>
      <c r="E39" t="s">
        <v>1</v>
      </c>
    </row>
    <row r="40" spans="1:5" x14ac:dyDescent="0.3">
      <c r="A40" t="s">
        <v>195</v>
      </c>
      <c r="B40" t="s">
        <v>1067</v>
      </c>
      <c r="C40" t="s">
        <v>1066</v>
      </c>
      <c r="D40" t="s">
        <v>910</v>
      </c>
      <c r="E40" t="s">
        <v>1</v>
      </c>
    </row>
    <row r="41" spans="1:5" x14ac:dyDescent="0.3">
      <c r="A41" t="s">
        <v>1082</v>
      </c>
      <c r="B41" t="s">
        <v>1084</v>
      </c>
      <c r="C41" t="s">
        <v>1083</v>
      </c>
      <c r="D41" t="s">
        <v>908</v>
      </c>
      <c r="E41" t="s">
        <v>1</v>
      </c>
    </row>
    <row r="42" spans="1:5" x14ac:dyDescent="0.3">
      <c r="A42" t="s">
        <v>50</v>
      </c>
      <c r="B42" t="s">
        <v>1087</v>
      </c>
      <c r="C42" t="s">
        <v>1086</v>
      </c>
      <c r="D42" t="s">
        <v>909</v>
      </c>
      <c r="E42" t="s">
        <v>741</v>
      </c>
    </row>
    <row r="43" spans="1:5" x14ac:dyDescent="0.3">
      <c r="A43" t="s">
        <v>1088</v>
      </c>
      <c r="B43" t="s">
        <v>1090</v>
      </c>
      <c r="C43" t="s">
        <v>1089</v>
      </c>
      <c r="D43" t="s">
        <v>902</v>
      </c>
      <c r="E43" t="s">
        <v>1</v>
      </c>
    </row>
    <row r="44" spans="1:5" x14ac:dyDescent="0.3">
      <c r="A44" t="s">
        <v>1092</v>
      </c>
      <c r="B44" t="s">
        <v>1093</v>
      </c>
      <c r="C44" t="s">
        <v>456</v>
      </c>
      <c r="D44" t="s">
        <v>928</v>
      </c>
      <c r="E44" t="s">
        <v>1</v>
      </c>
    </row>
    <row r="45" spans="1:5" x14ac:dyDescent="0.3">
      <c r="A45" t="s">
        <v>1095</v>
      </c>
      <c r="B45" t="s">
        <v>1097</v>
      </c>
      <c r="C45" t="s">
        <v>1096</v>
      </c>
      <c r="D45" t="s">
        <v>908</v>
      </c>
      <c r="E45" t="s">
        <v>1</v>
      </c>
    </row>
    <row r="46" spans="1:5" x14ac:dyDescent="0.3">
      <c r="A46" t="s">
        <v>38</v>
      </c>
      <c r="B46" t="s">
        <v>1103</v>
      </c>
      <c r="C46" t="s">
        <v>1102</v>
      </c>
      <c r="D46" t="s">
        <v>943</v>
      </c>
      <c r="E46" t="s">
        <v>1</v>
      </c>
    </row>
    <row r="47" spans="1:5" x14ac:dyDescent="0.3">
      <c r="A47" t="s">
        <v>1106</v>
      </c>
      <c r="B47" t="s">
        <v>221</v>
      </c>
      <c r="C47" t="s">
        <v>1107</v>
      </c>
      <c r="D47" t="s">
        <v>975</v>
      </c>
      <c r="E47" t="s">
        <v>741</v>
      </c>
    </row>
    <row r="48" spans="1:5" x14ac:dyDescent="0.3">
      <c r="A48" t="s">
        <v>305</v>
      </c>
      <c r="B48" t="s">
        <v>1110</v>
      </c>
      <c r="C48" t="s">
        <v>1109</v>
      </c>
      <c r="D48" t="s">
        <v>908</v>
      </c>
      <c r="E48" t="s">
        <v>1</v>
      </c>
    </row>
    <row r="49" spans="1:5" x14ac:dyDescent="0.3">
      <c r="A49" t="s">
        <v>44</v>
      </c>
      <c r="B49" t="s">
        <v>1115</v>
      </c>
      <c r="C49" t="s">
        <v>1114</v>
      </c>
      <c r="D49" t="s">
        <v>908</v>
      </c>
      <c r="E49" t="s">
        <v>1</v>
      </c>
    </row>
    <row r="50" spans="1:5" x14ac:dyDescent="0.3">
      <c r="A50" t="s">
        <v>1116</v>
      </c>
      <c r="B50" t="s">
        <v>1117</v>
      </c>
      <c r="C50" t="s">
        <v>518</v>
      </c>
      <c r="D50" t="s">
        <v>919</v>
      </c>
      <c r="E50" t="s">
        <v>1</v>
      </c>
    </row>
    <row r="51" spans="1:5" x14ac:dyDescent="0.3">
      <c r="A51" t="s">
        <v>35</v>
      </c>
      <c r="B51" t="s">
        <v>1123</v>
      </c>
      <c r="C51" t="s">
        <v>1122</v>
      </c>
      <c r="D51" t="s">
        <v>1121</v>
      </c>
      <c r="E51" t="s">
        <v>774</v>
      </c>
    </row>
    <row r="52" spans="1:5" x14ac:dyDescent="0.3">
      <c r="A52" t="s">
        <v>1126</v>
      </c>
      <c r="B52" t="s">
        <v>1128</v>
      </c>
      <c r="C52" t="s">
        <v>1127</v>
      </c>
      <c r="D52" t="s">
        <v>982</v>
      </c>
      <c r="E52" t="s">
        <v>1</v>
      </c>
    </row>
    <row r="53" spans="1:5" x14ac:dyDescent="0.3">
      <c r="A53" t="s">
        <v>1130</v>
      </c>
      <c r="B53" t="s">
        <v>750</v>
      </c>
      <c r="C53" t="s">
        <v>1131</v>
      </c>
      <c r="D53" t="s">
        <v>910</v>
      </c>
      <c r="E53" t="s">
        <v>1</v>
      </c>
    </row>
    <row r="54" spans="1:5" x14ac:dyDescent="0.3">
      <c r="A54" t="s">
        <v>1135</v>
      </c>
      <c r="B54" t="s">
        <v>1137</v>
      </c>
      <c r="C54" t="s">
        <v>1136</v>
      </c>
      <c r="D54" t="s">
        <v>910</v>
      </c>
      <c r="E54" t="s">
        <v>1</v>
      </c>
    </row>
    <row r="55" spans="1:5" x14ac:dyDescent="0.3">
      <c r="A55" t="s">
        <v>808</v>
      </c>
      <c r="B55" t="s">
        <v>1139</v>
      </c>
      <c r="C55" t="s">
        <v>1138</v>
      </c>
      <c r="D55" t="s">
        <v>982</v>
      </c>
      <c r="E55" t="s">
        <v>1</v>
      </c>
    </row>
    <row r="56" spans="1:5" x14ac:dyDescent="0.3">
      <c r="A56" t="s">
        <v>289</v>
      </c>
      <c r="B56" t="s">
        <v>1145</v>
      </c>
      <c r="C56" t="s">
        <v>862</v>
      </c>
      <c r="D56" t="s">
        <v>1144</v>
      </c>
      <c r="E56" t="s">
        <v>774</v>
      </c>
    </row>
    <row r="57" spans="1:5" x14ac:dyDescent="0.3">
      <c r="A57" t="s">
        <v>1147</v>
      </c>
      <c r="B57" t="s">
        <v>1149</v>
      </c>
      <c r="C57" t="s">
        <v>1148</v>
      </c>
      <c r="D57" t="s">
        <v>763</v>
      </c>
      <c r="E57" t="s">
        <v>1</v>
      </c>
    </row>
    <row r="58" spans="1:5" x14ac:dyDescent="0.3">
      <c r="A58" t="s">
        <v>1153</v>
      </c>
      <c r="B58" t="s">
        <v>1155</v>
      </c>
      <c r="C58" t="s">
        <v>1154</v>
      </c>
      <c r="D58" t="s">
        <v>902</v>
      </c>
      <c r="E58" t="s">
        <v>1</v>
      </c>
    </row>
    <row r="59" spans="1:5" x14ac:dyDescent="0.3">
      <c r="A59" t="s">
        <v>1163</v>
      </c>
      <c r="B59" t="s">
        <v>1165</v>
      </c>
      <c r="C59" t="s">
        <v>1164</v>
      </c>
      <c r="D59" t="s">
        <v>910</v>
      </c>
      <c r="E59" t="s">
        <v>1</v>
      </c>
    </row>
    <row r="60" spans="1:5" x14ac:dyDescent="0.3">
      <c r="A60" t="s">
        <v>190</v>
      </c>
      <c r="B60" t="s">
        <v>822</v>
      </c>
      <c r="C60" t="s">
        <v>518</v>
      </c>
      <c r="D60" t="s">
        <v>902</v>
      </c>
      <c r="E60" t="s">
        <v>1</v>
      </c>
    </row>
    <row r="61" spans="1:5" x14ac:dyDescent="0.3">
      <c r="A61" t="s">
        <v>1172</v>
      </c>
      <c r="B61" t="s">
        <v>1173</v>
      </c>
      <c r="C61" t="s">
        <v>518</v>
      </c>
      <c r="D61" t="s">
        <v>763</v>
      </c>
      <c r="E61" t="s">
        <v>1</v>
      </c>
    </row>
    <row r="62" spans="1:5" x14ac:dyDescent="0.3">
      <c r="A62" t="s">
        <v>44</v>
      </c>
      <c r="B62" t="s">
        <v>1105</v>
      </c>
      <c r="C62" t="s">
        <v>1175</v>
      </c>
      <c r="D62" t="s">
        <v>1174</v>
      </c>
      <c r="E62" t="s">
        <v>761</v>
      </c>
    </row>
    <row r="63" spans="1:5" x14ac:dyDescent="0.3">
      <c r="A63" t="s">
        <v>1179</v>
      </c>
      <c r="B63" t="s">
        <v>1181</v>
      </c>
      <c r="C63" t="s">
        <v>1180</v>
      </c>
      <c r="D63" t="s">
        <v>1178</v>
      </c>
      <c r="E63" t="s">
        <v>774</v>
      </c>
    </row>
    <row r="64" spans="1:5" x14ac:dyDescent="0.3">
      <c r="A64" t="s">
        <v>1192</v>
      </c>
      <c r="B64" t="s">
        <v>1194</v>
      </c>
      <c r="C64" t="s">
        <v>1193</v>
      </c>
      <c r="D64" t="s">
        <v>928</v>
      </c>
      <c r="E64" t="s">
        <v>1</v>
      </c>
    </row>
    <row r="65" spans="1:5" x14ac:dyDescent="0.3">
      <c r="A65" t="s">
        <v>1200</v>
      </c>
      <c r="B65" t="s">
        <v>1202</v>
      </c>
      <c r="C65" t="s">
        <v>1201</v>
      </c>
      <c r="D65" t="s">
        <v>902</v>
      </c>
      <c r="E65" t="s">
        <v>1</v>
      </c>
    </row>
    <row r="66" spans="1:5" x14ac:dyDescent="0.3">
      <c r="A66" t="s">
        <v>195</v>
      </c>
      <c r="B66" t="s">
        <v>1208</v>
      </c>
      <c r="C66" t="s">
        <v>1207</v>
      </c>
      <c r="D66" t="s">
        <v>908</v>
      </c>
      <c r="E66" t="s">
        <v>1</v>
      </c>
    </row>
    <row r="67" spans="1:5" x14ac:dyDescent="0.3">
      <c r="A67" t="s">
        <v>1209</v>
      </c>
      <c r="B67" t="s">
        <v>1211</v>
      </c>
      <c r="C67" t="s">
        <v>1210</v>
      </c>
      <c r="D67" t="s">
        <v>908</v>
      </c>
      <c r="E67" t="s">
        <v>1</v>
      </c>
    </row>
    <row r="68" spans="1:5" x14ac:dyDescent="0.3">
      <c r="A68" t="s">
        <v>1213</v>
      </c>
      <c r="B68" t="s">
        <v>201</v>
      </c>
      <c r="C68" t="s">
        <v>1214</v>
      </c>
      <c r="D68" t="s">
        <v>908</v>
      </c>
      <c r="E68" t="s">
        <v>1</v>
      </c>
    </row>
    <row r="69" spans="1:5" x14ac:dyDescent="0.3">
      <c r="A69" t="s">
        <v>1217</v>
      </c>
      <c r="B69" t="s">
        <v>1219</v>
      </c>
      <c r="C69" t="s">
        <v>1218</v>
      </c>
      <c r="D69" t="s">
        <v>806</v>
      </c>
      <c r="E69" t="s">
        <v>1</v>
      </c>
    </row>
    <row r="70" spans="1:5" x14ac:dyDescent="0.3">
      <c r="A70" t="s">
        <v>1225</v>
      </c>
      <c r="B70" t="s">
        <v>1226</v>
      </c>
      <c r="C70" t="s">
        <v>458</v>
      </c>
      <c r="D70" t="s">
        <v>1007</v>
      </c>
      <c r="E70" t="s">
        <v>1</v>
      </c>
    </row>
    <row r="71" spans="1:5" x14ac:dyDescent="0.3">
      <c r="A71" t="s">
        <v>1153</v>
      </c>
      <c r="B71" t="s">
        <v>1229</v>
      </c>
      <c r="C71" t="s">
        <v>1228</v>
      </c>
      <c r="D71" t="s">
        <v>908</v>
      </c>
      <c r="E71" t="s">
        <v>1</v>
      </c>
    </row>
    <row r="72" spans="1:5" x14ac:dyDescent="0.3">
      <c r="A72" t="s">
        <v>331</v>
      </c>
      <c r="B72" t="s">
        <v>1231</v>
      </c>
      <c r="C72" t="s">
        <v>518</v>
      </c>
      <c r="D72" t="s">
        <v>902</v>
      </c>
      <c r="E72" t="s">
        <v>1</v>
      </c>
    </row>
    <row r="73" spans="1:5" x14ac:dyDescent="0.3">
      <c r="A73" t="s">
        <v>30</v>
      </c>
      <c r="B73" t="s">
        <v>1234</v>
      </c>
      <c r="C73" t="s">
        <v>862</v>
      </c>
      <c r="D73" t="s">
        <v>908</v>
      </c>
      <c r="E73" t="s">
        <v>1</v>
      </c>
    </row>
    <row r="74" spans="1:5" x14ac:dyDescent="0.3">
      <c r="A74" t="s">
        <v>900</v>
      </c>
      <c r="B74" t="s">
        <v>1237</v>
      </c>
      <c r="C74" t="s">
        <v>1236</v>
      </c>
      <c r="D74" t="s">
        <v>982</v>
      </c>
      <c r="E74" t="s">
        <v>1</v>
      </c>
    </row>
    <row r="75" spans="1:5" x14ac:dyDescent="0.3">
      <c r="A75" t="s">
        <v>1248</v>
      </c>
      <c r="B75" t="s">
        <v>1249</v>
      </c>
      <c r="C75" t="s">
        <v>518</v>
      </c>
      <c r="D75" t="s">
        <v>902</v>
      </c>
      <c r="E75" t="s">
        <v>1</v>
      </c>
    </row>
    <row r="76" spans="1:5" x14ac:dyDescent="0.3">
      <c r="A76" t="s">
        <v>1253</v>
      </c>
      <c r="B76" t="s">
        <v>1254</v>
      </c>
      <c r="C76" t="s">
        <v>862</v>
      </c>
      <c r="D76" t="s">
        <v>902</v>
      </c>
      <c r="E76" t="s">
        <v>1</v>
      </c>
    </row>
    <row r="77" spans="1:5" x14ac:dyDescent="0.3">
      <c r="A77" t="s">
        <v>1258</v>
      </c>
      <c r="B77" t="s">
        <v>1260</v>
      </c>
      <c r="C77" t="s">
        <v>1259</v>
      </c>
      <c r="D77" t="s">
        <v>908</v>
      </c>
      <c r="E77" t="s">
        <v>1</v>
      </c>
    </row>
    <row r="78" spans="1:5" x14ac:dyDescent="0.3">
      <c r="A78" t="s">
        <v>184</v>
      </c>
      <c r="B78" t="s">
        <v>1262</v>
      </c>
      <c r="C78" t="s">
        <v>1261</v>
      </c>
      <c r="D78" t="s">
        <v>908</v>
      </c>
      <c r="E78" t="s">
        <v>1</v>
      </c>
    </row>
    <row r="79" spans="1:5" x14ac:dyDescent="0.3">
      <c r="A79" t="s">
        <v>1264</v>
      </c>
      <c r="B79" t="s">
        <v>1266</v>
      </c>
      <c r="C79" t="s">
        <v>1265</v>
      </c>
      <c r="D79" t="s">
        <v>908</v>
      </c>
      <c r="E79" t="s">
        <v>1</v>
      </c>
    </row>
    <row r="80" spans="1:5" x14ac:dyDescent="0.3">
      <c r="A80" t="s">
        <v>1268</v>
      </c>
      <c r="B80" t="s">
        <v>1270</v>
      </c>
      <c r="C80" t="s">
        <v>1269</v>
      </c>
      <c r="D80" t="s">
        <v>909</v>
      </c>
      <c r="E80" t="s">
        <v>741</v>
      </c>
    </row>
    <row r="81" spans="1:5" x14ac:dyDescent="0.3">
      <c r="A81" t="s">
        <v>1273</v>
      </c>
      <c r="B81" t="s">
        <v>1275</v>
      </c>
      <c r="C81" t="s">
        <v>1274</v>
      </c>
      <c r="D81" t="s">
        <v>902</v>
      </c>
      <c r="E81" t="s">
        <v>1</v>
      </c>
    </row>
    <row r="82" spans="1:5" x14ac:dyDescent="0.3">
      <c r="A82" t="s">
        <v>1287</v>
      </c>
      <c r="B82" t="s">
        <v>1289</v>
      </c>
      <c r="C82" t="s">
        <v>1288</v>
      </c>
      <c r="D82" t="s">
        <v>975</v>
      </c>
      <c r="E82" t="s">
        <v>741</v>
      </c>
    </row>
    <row r="83" spans="1:5" x14ac:dyDescent="0.3">
      <c r="A83" t="s">
        <v>1300</v>
      </c>
      <c r="B83" t="s">
        <v>1301</v>
      </c>
      <c r="C83" t="s">
        <v>518</v>
      </c>
      <c r="D83" t="s">
        <v>1299</v>
      </c>
      <c r="E83" t="s">
        <v>774</v>
      </c>
    </row>
    <row r="84" spans="1:5" x14ac:dyDescent="0.3">
      <c r="A84" t="s">
        <v>1317</v>
      </c>
      <c r="B84" t="s">
        <v>1319</v>
      </c>
      <c r="C84" t="s">
        <v>1318</v>
      </c>
      <c r="D84" t="s">
        <v>909</v>
      </c>
      <c r="E84" t="s">
        <v>741</v>
      </c>
    </row>
    <row r="85" spans="1:5" x14ac:dyDescent="0.3">
      <c r="A85" t="s">
        <v>1320</v>
      </c>
      <c r="B85" t="s">
        <v>1322</v>
      </c>
      <c r="C85" t="s">
        <v>1321</v>
      </c>
      <c r="D85" t="s">
        <v>928</v>
      </c>
      <c r="E85" t="s">
        <v>1</v>
      </c>
    </row>
    <row r="86" spans="1:5" x14ac:dyDescent="0.3">
      <c r="A86" t="s">
        <v>788</v>
      </c>
      <c r="B86" t="s">
        <v>1324</v>
      </c>
      <c r="C86" t="s">
        <v>1323</v>
      </c>
      <c r="D86" t="s">
        <v>902</v>
      </c>
      <c r="E86" t="s">
        <v>1</v>
      </c>
    </row>
    <row r="87" spans="1:5" x14ac:dyDescent="0.3">
      <c r="A87" t="s">
        <v>1326</v>
      </c>
      <c r="B87" t="s">
        <v>1328</v>
      </c>
      <c r="C87" t="s">
        <v>1327</v>
      </c>
      <c r="D87" t="s">
        <v>910</v>
      </c>
      <c r="E87" t="s">
        <v>1</v>
      </c>
    </row>
    <row r="88" spans="1:5" x14ac:dyDescent="0.3">
      <c r="A88" t="s">
        <v>1334</v>
      </c>
      <c r="B88" t="s">
        <v>1336</v>
      </c>
      <c r="C88" t="s">
        <v>1335</v>
      </c>
      <c r="D88" t="s">
        <v>953</v>
      </c>
      <c r="E88" t="s">
        <v>841</v>
      </c>
    </row>
    <row r="89" spans="1:5" x14ac:dyDescent="0.3">
      <c r="A89" t="s">
        <v>1340</v>
      </c>
      <c r="B89" t="s">
        <v>303</v>
      </c>
      <c r="C89" t="s">
        <v>1341</v>
      </c>
      <c r="D89" t="s">
        <v>806</v>
      </c>
      <c r="E89" t="s">
        <v>1</v>
      </c>
    </row>
    <row r="90" spans="1:5" x14ac:dyDescent="0.3">
      <c r="A90" t="s">
        <v>1344</v>
      </c>
      <c r="B90" t="s">
        <v>1346</v>
      </c>
      <c r="C90" t="s">
        <v>1345</v>
      </c>
      <c r="D90" t="s">
        <v>910</v>
      </c>
      <c r="E90" t="s">
        <v>1</v>
      </c>
    </row>
    <row r="91" spans="1:5" x14ac:dyDescent="0.3">
      <c r="A91" t="s">
        <v>298</v>
      </c>
      <c r="B91" t="s">
        <v>1349</v>
      </c>
      <c r="C91" t="s">
        <v>1348</v>
      </c>
      <c r="D91" t="s">
        <v>1347</v>
      </c>
      <c r="E91" t="s">
        <v>774</v>
      </c>
    </row>
    <row r="92" spans="1:5" x14ac:dyDescent="0.3">
      <c r="A92" t="s">
        <v>1359</v>
      </c>
      <c r="B92" t="s">
        <v>1361</v>
      </c>
      <c r="C92" t="s">
        <v>1360</v>
      </c>
      <c r="D92" t="s">
        <v>908</v>
      </c>
      <c r="E92" t="s">
        <v>1</v>
      </c>
    </row>
    <row r="93" spans="1:5" x14ac:dyDescent="0.3">
      <c r="A93" t="s">
        <v>1364</v>
      </c>
      <c r="B93" t="s">
        <v>1366</v>
      </c>
      <c r="C93" t="s">
        <v>1365</v>
      </c>
      <c r="D93" t="s">
        <v>943</v>
      </c>
      <c r="E93" t="s">
        <v>1</v>
      </c>
    </row>
    <row r="94" spans="1:5" x14ac:dyDescent="0.3">
      <c r="A94" t="s">
        <v>1368</v>
      </c>
      <c r="B94" t="s">
        <v>1352</v>
      </c>
      <c r="C94" t="s">
        <v>1369</v>
      </c>
      <c r="D94" t="s">
        <v>763</v>
      </c>
      <c r="E94" t="s">
        <v>1</v>
      </c>
    </row>
    <row r="95" spans="1:5" x14ac:dyDescent="0.3">
      <c r="A95" t="s">
        <v>1373</v>
      </c>
      <c r="B95" t="s">
        <v>1375</v>
      </c>
      <c r="C95" t="s">
        <v>1374</v>
      </c>
      <c r="D95" t="s">
        <v>763</v>
      </c>
      <c r="E95" t="s">
        <v>1</v>
      </c>
    </row>
    <row r="96" spans="1:5" x14ac:dyDescent="0.3">
      <c r="A96" t="s">
        <v>182</v>
      </c>
      <c r="B96" t="s">
        <v>1377</v>
      </c>
      <c r="C96" t="s">
        <v>518</v>
      </c>
      <c r="D96" t="s">
        <v>902</v>
      </c>
      <c r="E96" t="s">
        <v>1</v>
      </c>
    </row>
    <row r="97" spans="1:5" x14ac:dyDescent="0.3">
      <c r="A97" t="s">
        <v>1381</v>
      </c>
      <c r="B97" t="s">
        <v>1382</v>
      </c>
      <c r="C97" t="s">
        <v>862</v>
      </c>
      <c r="D97" t="s">
        <v>908</v>
      </c>
      <c r="E97" t="s">
        <v>1</v>
      </c>
    </row>
    <row r="98" spans="1:5" x14ac:dyDescent="0.3">
      <c r="A98" t="s">
        <v>132</v>
      </c>
      <c r="B98" t="s">
        <v>108</v>
      </c>
      <c r="C98" t="s">
        <v>1387</v>
      </c>
      <c r="D98" t="s">
        <v>769</v>
      </c>
      <c r="E98" t="s">
        <v>1</v>
      </c>
    </row>
    <row r="99" spans="1:5" x14ac:dyDescent="0.3">
      <c r="A99" t="s">
        <v>59</v>
      </c>
      <c r="B99" t="s">
        <v>1388</v>
      </c>
      <c r="C99" t="s">
        <v>862</v>
      </c>
      <c r="D99" t="s">
        <v>975</v>
      </c>
      <c r="E99" t="s">
        <v>741</v>
      </c>
    </row>
    <row r="100" spans="1:5" x14ac:dyDescent="0.3">
      <c r="A100" t="s">
        <v>1390</v>
      </c>
      <c r="B100" t="s">
        <v>1392</v>
      </c>
      <c r="C100" t="s">
        <v>1391</v>
      </c>
      <c r="D100" t="s">
        <v>883</v>
      </c>
      <c r="E100" t="s">
        <v>1</v>
      </c>
    </row>
    <row r="101" spans="1:5" x14ac:dyDescent="0.3">
      <c r="A101" t="s">
        <v>1398</v>
      </c>
      <c r="B101" t="s">
        <v>1400</v>
      </c>
      <c r="C101" t="s">
        <v>1399</v>
      </c>
      <c r="D101" t="s">
        <v>928</v>
      </c>
      <c r="E101" t="s">
        <v>1</v>
      </c>
    </row>
    <row r="102" spans="1:5" x14ac:dyDescent="0.3">
      <c r="A102" t="s">
        <v>1410</v>
      </c>
      <c r="B102" t="s">
        <v>1411</v>
      </c>
      <c r="C102" t="s">
        <v>862</v>
      </c>
      <c r="D102" t="s">
        <v>902</v>
      </c>
      <c r="E102" t="s">
        <v>1</v>
      </c>
    </row>
    <row r="103" spans="1:5" x14ac:dyDescent="0.3">
      <c r="A103" t="s">
        <v>1412</v>
      </c>
      <c r="B103" t="s">
        <v>1413</v>
      </c>
      <c r="C103" t="s">
        <v>862</v>
      </c>
      <c r="D103" t="s">
        <v>902</v>
      </c>
      <c r="E103" t="s">
        <v>1</v>
      </c>
    </row>
    <row r="104" spans="1:5" x14ac:dyDescent="0.3">
      <c r="A104" t="s">
        <v>1414</v>
      </c>
      <c r="B104" t="s">
        <v>1416</v>
      </c>
      <c r="C104" t="s">
        <v>1415</v>
      </c>
      <c r="D104" t="s">
        <v>910</v>
      </c>
      <c r="E104" t="s">
        <v>1</v>
      </c>
    </row>
    <row r="105" spans="1:5" x14ac:dyDescent="0.3">
      <c r="A105" t="s">
        <v>153</v>
      </c>
      <c r="B105" t="s">
        <v>1426</v>
      </c>
      <c r="C105" t="s">
        <v>1425</v>
      </c>
      <c r="D105" t="s">
        <v>806</v>
      </c>
      <c r="E105" t="s">
        <v>1</v>
      </c>
    </row>
    <row r="106" spans="1:5" x14ac:dyDescent="0.3">
      <c r="A106" t="s">
        <v>59</v>
      </c>
      <c r="B106" t="s">
        <v>1440</v>
      </c>
      <c r="C106" t="s">
        <v>1439</v>
      </c>
      <c r="D106" t="s">
        <v>908</v>
      </c>
      <c r="E106" t="s">
        <v>1</v>
      </c>
    </row>
    <row r="107" spans="1:5" x14ac:dyDescent="0.3">
      <c r="A107" t="s">
        <v>1459</v>
      </c>
      <c r="B107" t="s">
        <v>1460</v>
      </c>
      <c r="C107" t="s">
        <v>862</v>
      </c>
      <c r="D107" t="s">
        <v>1458</v>
      </c>
      <c r="E107" t="s">
        <v>774</v>
      </c>
    </row>
    <row r="108" spans="1:5" x14ac:dyDescent="0.3">
      <c r="A108" t="s">
        <v>1462</v>
      </c>
      <c r="B108" t="s">
        <v>1464</v>
      </c>
      <c r="C108" t="s">
        <v>1463</v>
      </c>
      <c r="D108" t="s">
        <v>908</v>
      </c>
      <c r="E108" t="s">
        <v>1</v>
      </c>
    </row>
    <row r="109" spans="1:5" x14ac:dyDescent="0.3">
      <c r="A109" t="s">
        <v>342</v>
      </c>
      <c r="B109" t="s">
        <v>1467</v>
      </c>
      <c r="C109" t="s">
        <v>1466</v>
      </c>
      <c r="D109" t="s">
        <v>902</v>
      </c>
      <c r="E109" t="s">
        <v>1</v>
      </c>
    </row>
    <row r="110" spans="1:5" x14ac:dyDescent="0.3">
      <c r="A110" t="s">
        <v>153</v>
      </c>
      <c r="B110" t="s">
        <v>1474</v>
      </c>
      <c r="C110" t="s">
        <v>1473</v>
      </c>
      <c r="D110" t="s">
        <v>975</v>
      </c>
      <c r="E110" t="s">
        <v>741</v>
      </c>
    </row>
    <row r="111" spans="1:5" x14ac:dyDescent="0.3">
      <c r="A111" t="s">
        <v>1480</v>
      </c>
      <c r="B111" t="s">
        <v>1141</v>
      </c>
      <c r="C111" t="s">
        <v>1481</v>
      </c>
      <c r="D111" t="s">
        <v>919</v>
      </c>
      <c r="E111" t="s">
        <v>1</v>
      </c>
    </row>
    <row r="112" spans="1:5" x14ac:dyDescent="0.3">
      <c r="A112" t="s">
        <v>298</v>
      </c>
      <c r="B112" t="s">
        <v>1484</v>
      </c>
      <c r="C112" t="s">
        <v>1483</v>
      </c>
      <c r="D112" t="s">
        <v>1482</v>
      </c>
      <c r="E112" t="s">
        <v>774</v>
      </c>
    </row>
    <row r="113" spans="1:5" x14ac:dyDescent="0.3">
      <c r="A113" t="s">
        <v>1486</v>
      </c>
      <c r="B113" t="s">
        <v>1487</v>
      </c>
      <c r="C113" t="s">
        <v>862</v>
      </c>
      <c r="D113" t="s">
        <v>883</v>
      </c>
      <c r="E113" t="s">
        <v>1</v>
      </c>
    </row>
    <row r="114" spans="1:5" x14ac:dyDescent="0.3">
      <c r="A114" t="s">
        <v>1489</v>
      </c>
      <c r="B114" t="s">
        <v>1491</v>
      </c>
      <c r="C114" t="s">
        <v>1490</v>
      </c>
      <c r="D114" t="s">
        <v>943</v>
      </c>
      <c r="E114" t="s">
        <v>1</v>
      </c>
    </row>
    <row r="115" spans="1:5" x14ac:dyDescent="0.3">
      <c r="A115" t="s">
        <v>224</v>
      </c>
      <c r="B115" t="s">
        <v>1493</v>
      </c>
      <c r="C115" t="s">
        <v>862</v>
      </c>
      <c r="D115" t="s">
        <v>943</v>
      </c>
      <c r="E115" t="s">
        <v>1</v>
      </c>
    </row>
    <row r="116" spans="1:5" x14ac:dyDescent="0.3">
      <c r="A116" t="s">
        <v>1496</v>
      </c>
      <c r="B116" t="s">
        <v>1498</v>
      </c>
      <c r="C116" t="s">
        <v>1497</v>
      </c>
      <c r="D116" t="s">
        <v>902</v>
      </c>
      <c r="E116" t="s">
        <v>1</v>
      </c>
    </row>
    <row r="117" spans="1:5" x14ac:dyDescent="0.3">
      <c r="A117" t="s">
        <v>259</v>
      </c>
      <c r="B117" t="s">
        <v>1499</v>
      </c>
      <c r="C117" t="s">
        <v>862</v>
      </c>
      <c r="D117" t="s">
        <v>902</v>
      </c>
      <c r="E117" t="s">
        <v>1</v>
      </c>
    </row>
    <row r="118" spans="1:5" x14ac:dyDescent="0.3">
      <c r="A118" t="s">
        <v>1307</v>
      </c>
      <c r="B118" t="s">
        <v>1502</v>
      </c>
      <c r="C118" t="s">
        <v>1501</v>
      </c>
      <c r="D118" t="s">
        <v>1500</v>
      </c>
      <c r="E118" t="s">
        <v>741</v>
      </c>
    </row>
    <row r="119" spans="1:5" x14ac:dyDescent="0.3">
      <c r="A119" t="s">
        <v>167</v>
      </c>
      <c r="B119" t="s">
        <v>1507</v>
      </c>
      <c r="C119" t="s">
        <v>518</v>
      </c>
      <c r="D119" t="s">
        <v>902</v>
      </c>
      <c r="E119" t="s">
        <v>1</v>
      </c>
    </row>
    <row r="120" spans="1:5" x14ac:dyDescent="0.3">
      <c r="A120" t="s">
        <v>190</v>
      </c>
      <c r="B120" t="s">
        <v>191</v>
      </c>
      <c r="C120" t="s">
        <v>192</v>
      </c>
      <c r="D120" t="s">
        <v>769</v>
      </c>
      <c r="E120" t="s">
        <v>1</v>
      </c>
    </row>
    <row r="121" spans="1:5" x14ac:dyDescent="0.3">
      <c r="A121" t="s">
        <v>41</v>
      </c>
      <c r="B121" t="s">
        <v>139</v>
      </c>
      <c r="C121" t="s">
        <v>862</v>
      </c>
      <c r="D121" t="s">
        <v>909</v>
      </c>
      <c r="E121" t="s">
        <v>741</v>
      </c>
    </row>
    <row r="122" spans="1:5" x14ac:dyDescent="0.3">
      <c r="A122" t="s">
        <v>66</v>
      </c>
      <c r="B122" t="s">
        <v>1510</v>
      </c>
      <c r="C122" t="s">
        <v>862</v>
      </c>
      <c r="D122" t="s">
        <v>943</v>
      </c>
      <c r="E122" t="s">
        <v>1</v>
      </c>
    </row>
    <row r="123" spans="1:5" x14ac:dyDescent="0.3">
      <c r="A123" t="s">
        <v>1161</v>
      </c>
      <c r="B123" t="s">
        <v>1512</v>
      </c>
      <c r="C123" t="s">
        <v>1511</v>
      </c>
      <c r="D123" t="s">
        <v>919</v>
      </c>
      <c r="E123" t="s">
        <v>1</v>
      </c>
    </row>
    <row r="124" spans="1:5" x14ac:dyDescent="0.3">
      <c r="A124" t="s">
        <v>1513</v>
      </c>
      <c r="B124" t="s">
        <v>1514</v>
      </c>
      <c r="C124" t="s">
        <v>518</v>
      </c>
      <c r="D124" t="s">
        <v>902</v>
      </c>
      <c r="E124" t="s">
        <v>1</v>
      </c>
    </row>
    <row r="125" spans="1:5" x14ac:dyDescent="0.3">
      <c r="A125" t="s">
        <v>1518</v>
      </c>
      <c r="B125" t="s">
        <v>1519</v>
      </c>
      <c r="C125" t="s">
        <v>862</v>
      </c>
      <c r="D125" t="s">
        <v>909</v>
      </c>
      <c r="E125" t="s">
        <v>741</v>
      </c>
    </row>
    <row r="126" spans="1:5" x14ac:dyDescent="0.3">
      <c r="A126" t="s">
        <v>315</v>
      </c>
      <c r="B126" t="s">
        <v>1521</v>
      </c>
      <c r="C126" t="s">
        <v>457</v>
      </c>
      <c r="D126" t="s">
        <v>1520</v>
      </c>
      <c r="E126" t="s">
        <v>774</v>
      </c>
    </row>
    <row r="127" spans="1:5" x14ac:dyDescent="0.3">
      <c r="A127" t="s">
        <v>224</v>
      </c>
      <c r="B127" t="s">
        <v>1522</v>
      </c>
      <c r="C127" t="s">
        <v>862</v>
      </c>
      <c r="D127" t="s">
        <v>1080</v>
      </c>
      <c r="E127" t="s">
        <v>1</v>
      </c>
    </row>
    <row r="128" spans="1:5" x14ac:dyDescent="0.3">
      <c r="A128" t="s">
        <v>1523</v>
      </c>
      <c r="B128" t="s">
        <v>1525</v>
      </c>
      <c r="C128" t="s">
        <v>1524</v>
      </c>
      <c r="D128" t="s">
        <v>763</v>
      </c>
      <c r="E128" t="s">
        <v>1</v>
      </c>
    </row>
    <row r="129" spans="1:5" x14ac:dyDescent="0.3">
      <c r="A129" t="s">
        <v>66</v>
      </c>
      <c r="B129" t="s">
        <v>1531</v>
      </c>
      <c r="C129" t="s">
        <v>1530</v>
      </c>
      <c r="D129" t="s">
        <v>1080</v>
      </c>
      <c r="E129" t="s">
        <v>1</v>
      </c>
    </row>
    <row r="130" spans="1:5" x14ac:dyDescent="0.3">
      <c r="A130" t="s">
        <v>1534</v>
      </c>
      <c r="B130" t="s">
        <v>1535</v>
      </c>
      <c r="C130" t="s">
        <v>862</v>
      </c>
      <c r="D130" t="s">
        <v>902</v>
      </c>
      <c r="E130" t="s">
        <v>1</v>
      </c>
    </row>
    <row r="131" spans="1:5" x14ac:dyDescent="0.3">
      <c r="A131" t="s">
        <v>1536</v>
      </c>
      <c r="B131" t="s">
        <v>1046</v>
      </c>
      <c r="C131" t="s">
        <v>1537</v>
      </c>
      <c r="D131" t="s">
        <v>902</v>
      </c>
      <c r="E131" t="s">
        <v>1</v>
      </c>
    </row>
    <row r="132" spans="1:5" x14ac:dyDescent="0.3">
      <c r="A132" t="s">
        <v>131</v>
      </c>
      <c r="B132" t="s">
        <v>1540</v>
      </c>
      <c r="C132" t="s">
        <v>1539</v>
      </c>
      <c r="D132" t="s">
        <v>960</v>
      </c>
      <c r="E132" t="s">
        <v>774</v>
      </c>
    </row>
    <row r="133" spans="1:5" x14ac:dyDescent="0.3">
      <c r="A133" t="s">
        <v>752</v>
      </c>
      <c r="B133" t="s">
        <v>1543</v>
      </c>
      <c r="C133" t="s">
        <v>1542</v>
      </c>
      <c r="D133" t="s">
        <v>902</v>
      </c>
      <c r="E133" t="s">
        <v>1</v>
      </c>
    </row>
    <row r="134" spans="1:5" x14ac:dyDescent="0.3">
      <c r="A134" t="s">
        <v>220</v>
      </c>
      <c r="B134" t="s">
        <v>1545</v>
      </c>
      <c r="C134" t="s">
        <v>1544</v>
      </c>
      <c r="D134" t="s">
        <v>928</v>
      </c>
      <c r="E134" t="s">
        <v>1</v>
      </c>
    </row>
    <row r="135" spans="1:5" x14ac:dyDescent="0.3">
      <c r="A135" t="s">
        <v>1546</v>
      </c>
      <c r="B135" t="s">
        <v>1547</v>
      </c>
      <c r="C135" t="s">
        <v>862</v>
      </c>
      <c r="D135" t="s">
        <v>902</v>
      </c>
      <c r="E135" t="s">
        <v>1</v>
      </c>
    </row>
    <row r="136" spans="1:5" x14ac:dyDescent="0.3">
      <c r="A136" t="s">
        <v>160</v>
      </c>
      <c r="B136" t="s">
        <v>1550</v>
      </c>
      <c r="C136" t="s">
        <v>862</v>
      </c>
      <c r="D136" t="s">
        <v>1080</v>
      </c>
      <c r="E136" t="s">
        <v>1</v>
      </c>
    </row>
    <row r="137" spans="1:5" x14ac:dyDescent="0.3">
      <c r="A137" t="s">
        <v>1551</v>
      </c>
      <c r="B137" t="s">
        <v>1553</v>
      </c>
      <c r="C137" t="s">
        <v>1552</v>
      </c>
      <c r="D137" t="s">
        <v>943</v>
      </c>
      <c r="E137" t="s">
        <v>1</v>
      </c>
    </row>
    <row r="138" spans="1:5" x14ac:dyDescent="0.3">
      <c r="A138" t="s">
        <v>1555</v>
      </c>
      <c r="B138" t="s">
        <v>1515</v>
      </c>
      <c r="C138" t="s">
        <v>862</v>
      </c>
      <c r="D138" t="s">
        <v>1554</v>
      </c>
      <c r="E138" t="s">
        <v>1</v>
      </c>
    </row>
    <row r="139" spans="1:5" x14ac:dyDescent="0.3">
      <c r="A139" t="s">
        <v>1556</v>
      </c>
      <c r="B139" t="s">
        <v>1557</v>
      </c>
      <c r="C139" t="s">
        <v>862</v>
      </c>
      <c r="D139" t="s">
        <v>1183</v>
      </c>
      <c r="E139" t="s">
        <v>1</v>
      </c>
    </row>
    <row r="140" spans="1:5" x14ac:dyDescent="0.3">
      <c r="A140" t="s">
        <v>1562</v>
      </c>
      <c r="B140" t="s">
        <v>1564</v>
      </c>
      <c r="C140" t="s">
        <v>1563</v>
      </c>
      <c r="D140" t="s">
        <v>928</v>
      </c>
      <c r="E140" t="s">
        <v>1</v>
      </c>
    </row>
    <row r="141" spans="1:5" x14ac:dyDescent="0.3">
      <c r="A141" t="s">
        <v>190</v>
      </c>
      <c r="B141" t="s">
        <v>1565</v>
      </c>
      <c r="C141" t="s">
        <v>862</v>
      </c>
      <c r="D141" t="s">
        <v>902</v>
      </c>
      <c r="E141" t="s">
        <v>1</v>
      </c>
    </row>
    <row r="142" spans="1:5" x14ac:dyDescent="0.3">
      <c r="A142" t="s">
        <v>931</v>
      </c>
      <c r="B142" t="s">
        <v>1566</v>
      </c>
      <c r="C142" t="s">
        <v>862</v>
      </c>
      <c r="D142" t="s">
        <v>902</v>
      </c>
      <c r="E142" t="s">
        <v>1</v>
      </c>
    </row>
    <row r="143" spans="1:5" x14ac:dyDescent="0.3">
      <c r="A143" t="s">
        <v>41</v>
      </c>
      <c r="B143" t="s">
        <v>1568</v>
      </c>
      <c r="C143" t="s">
        <v>1567</v>
      </c>
      <c r="D143" t="s">
        <v>909</v>
      </c>
      <c r="E143" t="s">
        <v>741</v>
      </c>
    </row>
    <row r="144" spans="1:5" x14ac:dyDescent="0.3">
      <c r="A144" t="s">
        <v>1569</v>
      </c>
      <c r="B144" t="s">
        <v>1571</v>
      </c>
      <c r="C144" t="s">
        <v>1570</v>
      </c>
      <c r="D144" t="s">
        <v>909</v>
      </c>
      <c r="E144" t="s">
        <v>741</v>
      </c>
    </row>
    <row r="145" spans="1:5" x14ac:dyDescent="0.3">
      <c r="A145" t="s">
        <v>931</v>
      </c>
      <c r="B145" t="s">
        <v>1575</v>
      </c>
      <c r="C145" t="s">
        <v>1574</v>
      </c>
      <c r="D145" t="s">
        <v>943</v>
      </c>
      <c r="E145" t="s">
        <v>1</v>
      </c>
    </row>
    <row r="146" spans="1:5" x14ac:dyDescent="0.3">
      <c r="A146" t="s">
        <v>182</v>
      </c>
      <c r="B146" t="s">
        <v>1578</v>
      </c>
      <c r="C146" t="s">
        <v>1577</v>
      </c>
      <c r="D146" t="s">
        <v>763</v>
      </c>
      <c r="E146" t="s">
        <v>1</v>
      </c>
    </row>
    <row r="147" spans="1:5" x14ac:dyDescent="0.3">
      <c r="A147" t="s">
        <v>160</v>
      </c>
      <c r="B147" t="s">
        <v>199</v>
      </c>
      <c r="C147" t="s">
        <v>1584</v>
      </c>
      <c r="D147" t="s">
        <v>943</v>
      </c>
      <c r="E147" t="s">
        <v>1</v>
      </c>
    </row>
    <row r="148" spans="1:5" x14ac:dyDescent="0.3">
      <c r="A148" t="s">
        <v>1585</v>
      </c>
      <c r="B148" t="s">
        <v>1586</v>
      </c>
      <c r="C148" t="s">
        <v>862</v>
      </c>
      <c r="D148" t="s">
        <v>943</v>
      </c>
      <c r="E148" t="s">
        <v>1</v>
      </c>
    </row>
    <row r="149" spans="1:5" x14ac:dyDescent="0.3">
      <c r="A149" t="s">
        <v>153</v>
      </c>
      <c r="B149" t="s">
        <v>1589</v>
      </c>
      <c r="C149" t="s">
        <v>1588</v>
      </c>
      <c r="D149" t="s">
        <v>919</v>
      </c>
      <c r="E149" t="s">
        <v>1</v>
      </c>
    </row>
    <row r="150" spans="1:5" x14ac:dyDescent="0.3">
      <c r="A150" t="s">
        <v>170</v>
      </c>
      <c r="B150" t="s">
        <v>1592</v>
      </c>
      <c r="C150" t="s">
        <v>862</v>
      </c>
      <c r="D150" t="s">
        <v>902</v>
      </c>
      <c r="E150" t="s">
        <v>1</v>
      </c>
    </row>
    <row r="151" spans="1:5" x14ac:dyDescent="0.3">
      <c r="A151" t="s">
        <v>1593</v>
      </c>
      <c r="B151" t="s">
        <v>1594</v>
      </c>
      <c r="C151" t="s">
        <v>862</v>
      </c>
      <c r="D151" t="s">
        <v>943</v>
      </c>
      <c r="E151" t="s">
        <v>1</v>
      </c>
    </row>
    <row r="152" spans="1:5" x14ac:dyDescent="0.3">
      <c r="A152" t="s">
        <v>1595</v>
      </c>
      <c r="B152" t="s">
        <v>1596</v>
      </c>
      <c r="C152" t="s">
        <v>862</v>
      </c>
      <c r="D152" t="s">
        <v>763</v>
      </c>
      <c r="E152" t="s">
        <v>1</v>
      </c>
    </row>
    <row r="153" spans="1:5" x14ac:dyDescent="0.3">
      <c r="A153" t="s">
        <v>182</v>
      </c>
      <c r="B153" t="s">
        <v>1598</v>
      </c>
      <c r="C153" t="s">
        <v>1597</v>
      </c>
      <c r="D153" t="s">
        <v>982</v>
      </c>
      <c r="E153" t="s">
        <v>1</v>
      </c>
    </row>
    <row r="154" spans="1:5" x14ac:dyDescent="0.3">
      <c r="A154" t="s">
        <v>1599</v>
      </c>
      <c r="B154" t="s">
        <v>1600</v>
      </c>
      <c r="C154" t="s">
        <v>862</v>
      </c>
      <c r="D154" t="s">
        <v>883</v>
      </c>
      <c r="E154" t="s">
        <v>1</v>
      </c>
    </row>
    <row r="155" spans="1:5" x14ac:dyDescent="0.3">
      <c r="A155" t="s">
        <v>1602</v>
      </c>
      <c r="B155" t="s">
        <v>1604</v>
      </c>
      <c r="C155" t="s">
        <v>1603</v>
      </c>
      <c r="D155" t="s">
        <v>902</v>
      </c>
      <c r="E155" t="s">
        <v>1</v>
      </c>
    </row>
    <row r="156" spans="1:5" x14ac:dyDescent="0.3">
      <c r="A156" t="s">
        <v>1513</v>
      </c>
      <c r="B156" t="s">
        <v>1605</v>
      </c>
      <c r="C156" t="s">
        <v>862</v>
      </c>
      <c r="D156" t="s">
        <v>902</v>
      </c>
      <c r="E156" t="s">
        <v>1</v>
      </c>
    </row>
    <row r="157" spans="1:5" x14ac:dyDescent="0.3">
      <c r="A157" t="s">
        <v>51</v>
      </c>
      <c r="B157" t="s">
        <v>1610</v>
      </c>
      <c r="C157" t="s">
        <v>862</v>
      </c>
      <c r="D157" t="s">
        <v>1609</v>
      </c>
      <c r="E157" t="s">
        <v>774</v>
      </c>
    </row>
    <row r="158" spans="1:5" x14ac:dyDescent="0.3">
      <c r="A158" t="s">
        <v>67</v>
      </c>
      <c r="B158" t="s">
        <v>1611</v>
      </c>
      <c r="C158" t="s">
        <v>862</v>
      </c>
      <c r="D158" t="s">
        <v>769</v>
      </c>
      <c r="E158" t="s">
        <v>1</v>
      </c>
    </row>
    <row r="159" spans="1:5" x14ac:dyDescent="0.3">
      <c r="A159" t="s">
        <v>133</v>
      </c>
      <c r="B159" t="s">
        <v>1613</v>
      </c>
      <c r="C159" t="s">
        <v>862</v>
      </c>
      <c r="D159" t="s">
        <v>982</v>
      </c>
      <c r="E159" t="s">
        <v>1</v>
      </c>
    </row>
    <row r="160" spans="1:5" x14ac:dyDescent="0.3">
      <c r="A160" t="s">
        <v>1614</v>
      </c>
      <c r="B160" t="s">
        <v>1615</v>
      </c>
      <c r="C160" t="s">
        <v>518</v>
      </c>
      <c r="D160" t="s">
        <v>902</v>
      </c>
      <c r="E160" t="s">
        <v>1</v>
      </c>
    </row>
    <row r="161" spans="1:5" x14ac:dyDescent="0.3">
      <c r="A161" t="s">
        <v>1169</v>
      </c>
      <c r="B161" t="s">
        <v>1616</v>
      </c>
      <c r="C161" t="s">
        <v>862</v>
      </c>
      <c r="D161" t="s">
        <v>1183</v>
      </c>
      <c r="E161" t="s">
        <v>1</v>
      </c>
    </row>
    <row r="162" spans="1:5" x14ac:dyDescent="0.3">
      <c r="A162" t="s">
        <v>1617</v>
      </c>
      <c r="B162" t="s">
        <v>1619</v>
      </c>
      <c r="C162" t="s">
        <v>1618</v>
      </c>
      <c r="D162" t="s">
        <v>982</v>
      </c>
      <c r="E162" t="s">
        <v>1</v>
      </c>
    </row>
    <row r="163" spans="1:5" x14ac:dyDescent="0.3">
      <c r="A163" t="s">
        <v>1621</v>
      </c>
      <c r="B163" t="s">
        <v>1622</v>
      </c>
      <c r="C163" t="s">
        <v>862</v>
      </c>
      <c r="D163" t="s">
        <v>943</v>
      </c>
      <c r="E163" t="s">
        <v>1</v>
      </c>
    </row>
    <row r="164" spans="1:5" x14ac:dyDescent="0.3">
      <c r="A164" t="s">
        <v>44</v>
      </c>
      <c r="B164" t="s">
        <v>1623</v>
      </c>
      <c r="C164" t="s">
        <v>862</v>
      </c>
      <c r="D164" t="s">
        <v>943</v>
      </c>
      <c r="E164" t="s">
        <v>1</v>
      </c>
    </row>
    <row r="165" spans="1:5" x14ac:dyDescent="0.3">
      <c r="A165" t="s">
        <v>224</v>
      </c>
      <c r="B165" t="s">
        <v>1625</v>
      </c>
      <c r="C165" t="s">
        <v>1624</v>
      </c>
      <c r="D165" t="s">
        <v>943</v>
      </c>
      <c r="E165" t="s">
        <v>1</v>
      </c>
    </row>
    <row r="166" spans="1:5" x14ac:dyDescent="0.3">
      <c r="A166" t="s">
        <v>123</v>
      </c>
      <c r="B166" t="s">
        <v>1629</v>
      </c>
      <c r="C166" t="s">
        <v>862</v>
      </c>
      <c r="D166" t="s">
        <v>943</v>
      </c>
      <c r="E166" t="s">
        <v>1</v>
      </c>
    </row>
    <row r="167" spans="1:5" x14ac:dyDescent="0.3">
      <c r="A167" t="s">
        <v>77</v>
      </c>
      <c r="B167" t="s">
        <v>1444</v>
      </c>
      <c r="C167" t="s">
        <v>1635</v>
      </c>
      <c r="D167" t="s">
        <v>909</v>
      </c>
      <c r="E167" t="s">
        <v>741</v>
      </c>
    </row>
    <row r="168" spans="1:5" x14ac:dyDescent="0.3">
      <c r="A168" t="s">
        <v>1433</v>
      </c>
      <c r="B168" t="s">
        <v>1638</v>
      </c>
      <c r="C168" t="s">
        <v>1637</v>
      </c>
      <c r="D168" t="s">
        <v>953</v>
      </c>
      <c r="E168" t="s">
        <v>841</v>
      </c>
    </row>
    <row r="169" spans="1:5" x14ac:dyDescent="0.3">
      <c r="A169" t="s">
        <v>27</v>
      </c>
      <c r="B169" t="s">
        <v>1641</v>
      </c>
      <c r="C169" t="s">
        <v>1640</v>
      </c>
      <c r="D169" t="s">
        <v>1639</v>
      </c>
      <c r="E169" t="s">
        <v>774</v>
      </c>
    </row>
    <row r="170" spans="1:5" x14ac:dyDescent="0.3">
      <c r="A170" t="s">
        <v>59</v>
      </c>
      <c r="B170" t="s">
        <v>1643</v>
      </c>
      <c r="C170" t="s">
        <v>1642</v>
      </c>
      <c r="D170" t="s">
        <v>982</v>
      </c>
      <c r="E170" t="s">
        <v>1</v>
      </c>
    </row>
    <row r="171" spans="1:5" x14ac:dyDescent="0.3">
      <c r="A171" t="s">
        <v>1644</v>
      </c>
      <c r="B171" t="s">
        <v>1645</v>
      </c>
      <c r="C171" t="s">
        <v>862</v>
      </c>
      <c r="D171" t="s">
        <v>769</v>
      </c>
      <c r="E171" t="s">
        <v>1</v>
      </c>
    </row>
    <row r="172" spans="1:5" x14ac:dyDescent="0.3">
      <c r="A172" t="s">
        <v>1650</v>
      </c>
      <c r="B172" t="s">
        <v>1652</v>
      </c>
      <c r="C172" t="s">
        <v>1651</v>
      </c>
      <c r="D172" t="s">
        <v>1649</v>
      </c>
      <c r="E172" t="s">
        <v>75</v>
      </c>
    </row>
    <row r="173" spans="1:5" x14ac:dyDescent="0.3">
      <c r="A173" t="s">
        <v>1653</v>
      </c>
      <c r="B173" t="s">
        <v>1654</v>
      </c>
      <c r="C173" t="s">
        <v>862</v>
      </c>
      <c r="D173" t="s">
        <v>751</v>
      </c>
      <c r="E173" t="s">
        <v>1</v>
      </c>
    </row>
    <row r="174" spans="1:5" x14ac:dyDescent="0.3">
      <c r="A174" t="s">
        <v>1657</v>
      </c>
      <c r="B174" t="s">
        <v>1658</v>
      </c>
      <c r="C174" t="s">
        <v>518</v>
      </c>
      <c r="D174" t="s">
        <v>763</v>
      </c>
      <c r="E174" t="s">
        <v>1</v>
      </c>
    </row>
    <row r="175" spans="1:5" x14ac:dyDescent="0.3">
      <c r="A175" t="s">
        <v>1662</v>
      </c>
      <c r="B175" t="s">
        <v>1664</v>
      </c>
      <c r="C175" t="s">
        <v>1663</v>
      </c>
      <c r="D175" t="s">
        <v>763</v>
      </c>
      <c r="E175" t="s">
        <v>1</v>
      </c>
    </row>
    <row r="176" spans="1:5" x14ac:dyDescent="0.3">
      <c r="A176" t="s">
        <v>1665</v>
      </c>
      <c r="B176" t="s">
        <v>86</v>
      </c>
      <c r="C176" t="s">
        <v>518</v>
      </c>
      <c r="D176" t="s">
        <v>763</v>
      </c>
      <c r="E176" t="s">
        <v>1</v>
      </c>
    </row>
    <row r="177" spans="1:5" x14ac:dyDescent="0.3">
      <c r="A177" t="s">
        <v>153</v>
      </c>
      <c r="B177" t="s">
        <v>1666</v>
      </c>
      <c r="C177" t="s">
        <v>862</v>
      </c>
      <c r="D177" t="s">
        <v>751</v>
      </c>
      <c r="E177" t="s">
        <v>1</v>
      </c>
    </row>
    <row r="178" spans="1:5" x14ac:dyDescent="0.3">
      <c r="A178" t="s">
        <v>314</v>
      </c>
      <c r="B178" t="s">
        <v>1667</v>
      </c>
      <c r="C178" t="s">
        <v>862</v>
      </c>
      <c r="D178" t="s">
        <v>769</v>
      </c>
      <c r="E178" t="s">
        <v>1</v>
      </c>
    </row>
    <row r="179" spans="1:5" x14ac:dyDescent="0.3">
      <c r="A179" t="s">
        <v>1454</v>
      </c>
      <c r="B179" t="s">
        <v>444</v>
      </c>
      <c r="C179" t="s">
        <v>862</v>
      </c>
      <c r="D179" t="s">
        <v>906</v>
      </c>
      <c r="E179" t="s">
        <v>1</v>
      </c>
    </row>
    <row r="180" spans="1:5" x14ac:dyDescent="0.3">
      <c r="A180" t="s">
        <v>1670</v>
      </c>
      <c r="B180" t="s">
        <v>1672</v>
      </c>
      <c r="C180" t="s">
        <v>1671</v>
      </c>
      <c r="D180" t="s">
        <v>906</v>
      </c>
      <c r="E180" t="s">
        <v>1</v>
      </c>
    </row>
    <row r="181" spans="1:5" x14ac:dyDescent="0.3">
      <c r="A181" t="s">
        <v>1339</v>
      </c>
      <c r="B181" t="s">
        <v>1677</v>
      </c>
      <c r="C181" t="s">
        <v>862</v>
      </c>
      <c r="D181" t="s">
        <v>1676</v>
      </c>
      <c r="E181" t="s">
        <v>18</v>
      </c>
    </row>
    <row r="182" spans="1:5" x14ac:dyDescent="0.3">
      <c r="A182" t="s">
        <v>1057</v>
      </c>
      <c r="B182" t="s">
        <v>32</v>
      </c>
      <c r="C182" t="s">
        <v>862</v>
      </c>
      <c r="D182" t="s">
        <v>906</v>
      </c>
      <c r="E182" t="s">
        <v>1</v>
      </c>
    </row>
    <row r="183" spans="1:5" x14ac:dyDescent="0.3">
      <c r="A183" t="s">
        <v>1220</v>
      </c>
      <c r="B183" t="s">
        <v>1678</v>
      </c>
      <c r="C183" t="s">
        <v>862</v>
      </c>
      <c r="D183" t="s">
        <v>769</v>
      </c>
      <c r="E183" t="s">
        <v>1</v>
      </c>
    </row>
    <row r="184" spans="1:5" x14ac:dyDescent="0.3">
      <c r="A184" t="s">
        <v>1679</v>
      </c>
      <c r="B184" t="s">
        <v>1681</v>
      </c>
      <c r="C184" t="s">
        <v>1680</v>
      </c>
      <c r="D184" t="s">
        <v>929</v>
      </c>
      <c r="E184" t="s">
        <v>761</v>
      </c>
    </row>
    <row r="185" spans="1:5" x14ac:dyDescent="0.3">
      <c r="A185" t="s">
        <v>1683</v>
      </c>
      <c r="B185" t="s">
        <v>1685</v>
      </c>
      <c r="C185" t="s">
        <v>1684</v>
      </c>
      <c r="D185" t="s">
        <v>1682</v>
      </c>
      <c r="E185" t="s">
        <v>841</v>
      </c>
    </row>
    <row r="186" spans="1:5" x14ac:dyDescent="0.3">
      <c r="A186" t="s">
        <v>1686</v>
      </c>
      <c r="B186" t="s">
        <v>1457</v>
      </c>
      <c r="C186" t="s">
        <v>862</v>
      </c>
      <c r="D186" t="s">
        <v>919</v>
      </c>
      <c r="E186" t="s">
        <v>1</v>
      </c>
    </row>
    <row r="187" spans="1:5" x14ac:dyDescent="0.3">
      <c r="A187" t="s">
        <v>1688</v>
      </c>
      <c r="B187" t="s">
        <v>1689</v>
      </c>
      <c r="C187" t="s">
        <v>862</v>
      </c>
      <c r="D187" t="s">
        <v>751</v>
      </c>
      <c r="E187" t="s">
        <v>1</v>
      </c>
    </row>
    <row r="188" spans="1:5" x14ac:dyDescent="0.3">
      <c r="A188" t="s">
        <v>227</v>
      </c>
      <c r="B188" t="s">
        <v>1146</v>
      </c>
      <c r="C188" t="s">
        <v>1692</v>
      </c>
      <c r="D188" t="s">
        <v>1691</v>
      </c>
      <c r="E188" t="s">
        <v>897</v>
      </c>
    </row>
    <row r="189" spans="1:5" x14ac:dyDescent="0.3">
      <c r="A189" t="s">
        <v>772</v>
      </c>
      <c r="B189" t="s">
        <v>1694</v>
      </c>
      <c r="C189" t="s">
        <v>1693</v>
      </c>
      <c r="D189" t="s">
        <v>919</v>
      </c>
      <c r="E189" t="s">
        <v>1</v>
      </c>
    </row>
    <row r="190" spans="1:5" x14ac:dyDescent="0.3">
      <c r="A190" t="s">
        <v>182</v>
      </c>
      <c r="B190" t="s">
        <v>819</v>
      </c>
      <c r="C190" t="s">
        <v>1695</v>
      </c>
      <c r="D190" t="s">
        <v>769</v>
      </c>
      <c r="E190" t="s">
        <v>1</v>
      </c>
    </row>
    <row r="191" spans="1:5" x14ac:dyDescent="0.3">
      <c r="A191" t="s">
        <v>1697</v>
      </c>
      <c r="B191" t="s">
        <v>1699</v>
      </c>
      <c r="C191" t="s">
        <v>1698</v>
      </c>
      <c r="D191" t="s">
        <v>763</v>
      </c>
      <c r="E191" t="s">
        <v>1</v>
      </c>
    </row>
    <row r="192" spans="1:5" x14ac:dyDescent="0.3">
      <c r="A192" t="s">
        <v>123</v>
      </c>
      <c r="B192" t="s">
        <v>1701</v>
      </c>
      <c r="C192" t="s">
        <v>1700</v>
      </c>
      <c r="D192" t="s">
        <v>763</v>
      </c>
      <c r="E192" t="s">
        <v>1</v>
      </c>
    </row>
    <row r="193" spans="1:5" x14ac:dyDescent="0.3">
      <c r="A193" t="s">
        <v>1703</v>
      </c>
      <c r="B193" t="s">
        <v>940</v>
      </c>
      <c r="C193" t="s">
        <v>862</v>
      </c>
      <c r="D193" t="s">
        <v>919</v>
      </c>
      <c r="E193" t="s">
        <v>1</v>
      </c>
    </row>
    <row r="194" spans="1:5" x14ac:dyDescent="0.3">
      <c r="A194" t="s">
        <v>1706</v>
      </c>
      <c r="B194" t="s">
        <v>1708</v>
      </c>
      <c r="C194" t="s">
        <v>1707</v>
      </c>
      <c r="D194" t="s">
        <v>1705</v>
      </c>
      <c r="E194" t="s">
        <v>774</v>
      </c>
    </row>
    <row r="195" spans="1:5" x14ac:dyDescent="0.3">
      <c r="A195" t="s">
        <v>1710</v>
      </c>
      <c r="B195" t="s">
        <v>1712</v>
      </c>
      <c r="C195" t="s">
        <v>1711</v>
      </c>
      <c r="D195" t="s">
        <v>919</v>
      </c>
      <c r="E195" t="s">
        <v>1</v>
      </c>
    </row>
    <row r="196" spans="1:5" x14ac:dyDescent="0.3">
      <c r="A196" t="s">
        <v>89</v>
      </c>
      <c r="B196" t="s">
        <v>1715</v>
      </c>
      <c r="C196" t="s">
        <v>1714</v>
      </c>
      <c r="D196" t="s">
        <v>919</v>
      </c>
      <c r="E196" t="s">
        <v>1</v>
      </c>
    </row>
    <row r="197" spans="1:5" x14ac:dyDescent="0.3">
      <c r="A197" t="s">
        <v>89</v>
      </c>
      <c r="B197" t="s">
        <v>1718</v>
      </c>
      <c r="C197" t="s">
        <v>862</v>
      </c>
      <c r="D197" t="s">
        <v>1717</v>
      </c>
      <c r="E197" t="s">
        <v>774</v>
      </c>
    </row>
    <row r="198" spans="1:5" x14ac:dyDescent="0.3">
      <c r="A198" t="s">
        <v>31</v>
      </c>
      <c r="B198" t="s">
        <v>1723</v>
      </c>
      <c r="C198" t="s">
        <v>862</v>
      </c>
      <c r="D198" t="s">
        <v>751</v>
      </c>
      <c r="E198" t="s">
        <v>1</v>
      </c>
    </row>
    <row r="199" spans="1:5" x14ac:dyDescent="0.3">
      <c r="A199" t="s">
        <v>864</v>
      </c>
      <c r="B199" t="s">
        <v>1724</v>
      </c>
      <c r="C199" t="s">
        <v>862</v>
      </c>
      <c r="D199" t="s">
        <v>919</v>
      </c>
      <c r="E199" t="s">
        <v>1</v>
      </c>
    </row>
    <row r="200" spans="1:5" x14ac:dyDescent="0.3">
      <c r="A200" t="s">
        <v>1358</v>
      </c>
      <c r="B200" t="s">
        <v>1726</v>
      </c>
      <c r="C200" t="s">
        <v>1725</v>
      </c>
      <c r="D200" t="s">
        <v>751</v>
      </c>
      <c r="E200" t="s">
        <v>1</v>
      </c>
    </row>
    <row r="201" spans="1:5" x14ac:dyDescent="0.3">
      <c r="A201" t="s">
        <v>1454</v>
      </c>
      <c r="B201" t="s">
        <v>1727</v>
      </c>
      <c r="C201" t="s">
        <v>862</v>
      </c>
      <c r="D201" t="s">
        <v>768</v>
      </c>
      <c r="E201" t="s">
        <v>1</v>
      </c>
    </row>
    <row r="202" spans="1:5" x14ac:dyDescent="0.3">
      <c r="A202" t="s">
        <v>1729</v>
      </c>
      <c r="B202" t="s">
        <v>1241</v>
      </c>
      <c r="C202" t="s">
        <v>862</v>
      </c>
      <c r="D202" t="s">
        <v>981</v>
      </c>
      <c r="E202" t="s">
        <v>761</v>
      </c>
    </row>
    <row r="203" spans="1:5" x14ac:dyDescent="0.3">
      <c r="A203" t="s">
        <v>1732</v>
      </c>
      <c r="B203" t="s">
        <v>1734</v>
      </c>
      <c r="C203" t="s">
        <v>1733</v>
      </c>
      <c r="D203" t="s">
        <v>763</v>
      </c>
      <c r="E203" t="s">
        <v>1</v>
      </c>
    </row>
    <row r="204" spans="1:5" x14ac:dyDescent="0.3">
      <c r="A204" t="s">
        <v>1190</v>
      </c>
      <c r="B204" t="s">
        <v>1740</v>
      </c>
      <c r="C204" t="s">
        <v>862</v>
      </c>
      <c r="D204" t="s">
        <v>919</v>
      </c>
      <c r="E204" t="s">
        <v>1</v>
      </c>
    </row>
    <row r="205" spans="1:5" x14ac:dyDescent="0.3">
      <c r="A205" t="s">
        <v>131</v>
      </c>
      <c r="B205" t="s">
        <v>1742</v>
      </c>
      <c r="C205" t="s">
        <v>1741</v>
      </c>
      <c r="D205" t="s">
        <v>906</v>
      </c>
      <c r="E205" t="s">
        <v>1</v>
      </c>
    </row>
    <row r="206" spans="1:5" x14ac:dyDescent="0.3">
      <c r="A206" t="s">
        <v>112</v>
      </c>
      <c r="B206" t="s">
        <v>1744</v>
      </c>
      <c r="C206" t="s">
        <v>1743</v>
      </c>
      <c r="D206" t="s">
        <v>763</v>
      </c>
      <c r="E206" t="s">
        <v>1</v>
      </c>
    </row>
    <row r="207" spans="1:5" x14ac:dyDescent="0.3">
      <c r="A207" t="s">
        <v>1176</v>
      </c>
      <c r="B207" t="s">
        <v>1747</v>
      </c>
      <c r="C207" t="s">
        <v>1746</v>
      </c>
      <c r="D207" t="s">
        <v>919</v>
      </c>
      <c r="E207" t="s">
        <v>1</v>
      </c>
    </row>
    <row r="208" spans="1:5" x14ac:dyDescent="0.3">
      <c r="A208" t="s">
        <v>1749</v>
      </c>
      <c r="B208" t="s">
        <v>1750</v>
      </c>
      <c r="C208" t="s">
        <v>862</v>
      </c>
      <c r="D208" t="s">
        <v>919</v>
      </c>
      <c r="E208" t="s">
        <v>1</v>
      </c>
    </row>
    <row r="209" spans="1:5" x14ac:dyDescent="0.3">
      <c r="A209" t="s">
        <v>1751</v>
      </c>
      <c r="B209" t="s">
        <v>1752</v>
      </c>
      <c r="C209" t="s">
        <v>862</v>
      </c>
      <c r="D209" t="s">
        <v>919</v>
      </c>
      <c r="E209" t="s">
        <v>1</v>
      </c>
    </row>
    <row r="210" spans="1:5" x14ac:dyDescent="0.3">
      <c r="A210" t="s">
        <v>767</v>
      </c>
      <c r="B210" t="s">
        <v>1753</v>
      </c>
      <c r="C210" t="s">
        <v>862</v>
      </c>
      <c r="D210" t="s">
        <v>919</v>
      </c>
      <c r="E210" t="s">
        <v>1</v>
      </c>
    </row>
    <row r="211" spans="1:5" x14ac:dyDescent="0.3">
      <c r="A211" t="s">
        <v>1754</v>
      </c>
      <c r="B211" t="s">
        <v>1191</v>
      </c>
      <c r="C211" t="s">
        <v>1755</v>
      </c>
      <c r="D211" t="s">
        <v>763</v>
      </c>
      <c r="E211" t="s">
        <v>1</v>
      </c>
    </row>
    <row r="212" spans="1:5" x14ac:dyDescent="0.3">
      <c r="A212" t="s">
        <v>803</v>
      </c>
      <c r="B212" t="s">
        <v>1757</v>
      </c>
      <c r="C212" t="s">
        <v>1756</v>
      </c>
      <c r="D212" t="s">
        <v>763</v>
      </c>
      <c r="E212" t="s">
        <v>1</v>
      </c>
    </row>
    <row r="213" spans="1:5" x14ac:dyDescent="0.3">
      <c r="A213" t="s">
        <v>1762</v>
      </c>
      <c r="B213" t="s">
        <v>1764</v>
      </c>
      <c r="C213" t="s">
        <v>1763</v>
      </c>
      <c r="D213" t="s">
        <v>951</v>
      </c>
      <c r="E213" t="s">
        <v>1</v>
      </c>
    </row>
    <row r="214" spans="1:5" x14ac:dyDescent="0.3">
      <c r="A214" t="s">
        <v>1765</v>
      </c>
      <c r="B214" t="s">
        <v>1766</v>
      </c>
      <c r="C214" t="s">
        <v>862</v>
      </c>
      <c r="D214" t="s">
        <v>919</v>
      </c>
      <c r="E214" t="s">
        <v>1</v>
      </c>
    </row>
    <row r="215" spans="1:5" x14ac:dyDescent="0.3">
      <c r="A215" t="s">
        <v>430</v>
      </c>
      <c r="B215" t="s">
        <v>431</v>
      </c>
      <c r="C215" t="s">
        <v>432</v>
      </c>
      <c r="D215" t="s">
        <v>919</v>
      </c>
      <c r="E215" t="s">
        <v>1</v>
      </c>
    </row>
    <row r="216" spans="1:5" x14ac:dyDescent="0.3">
      <c r="A216" t="s">
        <v>1767</v>
      </c>
      <c r="B216" t="s">
        <v>1769</v>
      </c>
      <c r="C216" t="s">
        <v>1768</v>
      </c>
      <c r="D216" t="s">
        <v>951</v>
      </c>
      <c r="E216" t="s">
        <v>1</v>
      </c>
    </row>
    <row r="217" spans="1:5" x14ac:dyDescent="0.3">
      <c r="A217" t="s">
        <v>1770</v>
      </c>
      <c r="B217" t="s">
        <v>1771</v>
      </c>
      <c r="C217" t="s">
        <v>862</v>
      </c>
      <c r="D217" t="s">
        <v>751</v>
      </c>
      <c r="E217" t="s">
        <v>1</v>
      </c>
    </row>
    <row r="218" spans="1:5" x14ac:dyDescent="0.3">
      <c r="A218" t="s">
        <v>1774</v>
      </c>
      <c r="B218" t="s">
        <v>1776</v>
      </c>
      <c r="C218" t="s">
        <v>1775</v>
      </c>
      <c r="D218" t="s">
        <v>1773</v>
      </c>
      <c r="E218" t="s">
        <v>75</v>
      </c>
    </row>
    <row r="219" spans="1:5" x14ac:dyDescent="0.3">
      <c r="A219" t="s">
        <v>1152</v>
      </c>
      <c r="B219" t="s">
        <v>1245</v>
      </c>
      <c r="C219" t="s">
        <v>1780</v>
      </c>
      <c r="D219" t="s">
        <v>763</v>
      </c>
      <c r="E219" t="s">
        <v>1</v>
      </c>
    </row>
    <row r="220" spans="1:5" x14ac:dyDescent="0.3">
      <c r="A220" t="s">
        <v>53</v>
      </c>
      <c r="B220" t="s">
        <v>1781</v>
      </c>
      <c r="C220" t="s">
        <v>862</v>
      </c>
      <c r="D220" t="s">
        <v>919</v>
      </c>
      <c r="E220" t="s">
        <v>1</v>
      </c>
    </row>
    <row r="221" spans="1:5" x14ac:dyDescent="0.3">
      <c r="A221" t="s">
        <v>315</v>
      </c>
      <c r="B221" t="s">
        <v>1785</v>
      </c>
      <c r="C221" t="s">
        <v>1784</v>
      </c>
      <c r="D221" t="s">
        <v>1783</v>
      </c>
      <c r="E221" t="s">
        <v>774</v>
      </c>
    </row>
    <row r="222" spans="1:5" x14ac:dyDescent="0.3">
      <c r="A222" t="s">
        <v>85</v>
      </c>
      <c r="B222" t="s">
        <v>1787</v>
      </c>
      <c r="C222" t="s">
        <v>1786</v>
      </c>
      <c r="D222" t="s">
        <v>919</v>
      </c>
      <c r="E222" t="s">
        <v>1</v>
      </c>
    </row>
    <row r="223" spans="1:5" x14ac:dyDescent="0.3">
      <c r="A223" t="s">
        <v>1739</v>
      </c>
      <c r="B223" t="s">
        <v>1788</v>
      </c>
      <c r="C223" t="s">
        <v>862</v>
      </c>
      <c r="D223" t="s">
        <v>751</v>
      </c>
      <c r="E223" t="s">
        <v>1</v>
      </c>
    </row>
    <row r="224" spans="1:5" x14ac:dyDescent="0.3">
      <c r="A224" t="s">
        <v>1704</v>
      </c>
      <c r="B224" t="s">
        <v>1791</v>
      </c>
      <c r="C224" t="s">
        <v>1790</v>
      </c>
      <c r="D224" t="s">
        <v>1789</v>
      </c>
      <c r="E224" t="s">
        <v>774</v>
      </c>
    </row>
    <row r="225" spans="1:5" x14ac:dyDescent="0.3">
      <c r="A225" t="s">
        <v>1795</v>
      </c>
      <c r="B225" t="s">
        <v>362</v>
      </c>
      <c r="C225" t="s">
        <v>862</v>
      </c>
      <c r="D225" t="s">
        <v>1794</v>
      </c>
      <c r="E225" t="s">
        <v>841</v>
      </c>
    </row>
    <row r="226" spans="1:5" x14ac:dyDescent="0.3">
      <c r="A226" t="s">
        <v>66</v>
      </c>
      <c r="B226" t="s">
        <v>1799</v>
      </c>
      <c r="C226" t="s">
        <v>1798</v>
      </c>
      <c r="D226" t="s">
        <v>919</v>
      </c>
      <c r="E226" t="s">
        <v>1</v>
      </c>
    </row>
    <row r="227" spans="1:5" x14ac:dyDescent="0.3">
      <c r="A227" t="s">
        <v>68</v>
      </c>
      <c r="B227" t="s">
        <v>1800</v>
      </c>
      <c r="C227" t="s">
        <v>518</v>
      </c>
      <c r="D227" t="s">
        <v>763</v>
      </c>
      <c r="E227" t="s">
        <v>1</v>
      </c>
    </row>
    <row r="228" spans="1:5" x14ac:dyDescent="0.3">
      <c r="A228" t="s">
        <v>1801</v>
      </c>
      <c r="B228" t="s">
        <v>760</v>
      </c>
      <c r="C228" t="s">
        <v>862</v>
      </c>
      <c r="D228" t="s">
        <v>751</v>
      </c>
      <c r="E228" t="s">
        <v>1</v>
      </c>
    </row>
    <row r="229" spans="1:5" x14ac:dyDescent="0.3">
      <c r="A229" t="s">
        <v>160</v>
      </c>
      <c r="B229" t="s">
        <v>1804</v>
      </c>
      <c r="C229" t="s">
        <v>1803</v>
      </c>
      <c r="D229" t="s">
        <v>1802</v>
      </c>
      <c r="E229" t="s">
        <v>774</v>
      </c>
    </row>
    <row r="230" spans="1:5" x14ac:dyDescent="0.3">
      <c r="A230" t="s">
        <v>1805</v>
      </c>
      <c r="B230" t="s">
        <v>1806</v>
      </c>
      <c r="C230" t="s">
        <v>518</v>
      </c>
      <c r="D230" t="s">
        <v>763</v>
      </c>
      <c r="E230" t="s">
        <v>1</v>
      </c>
    </row>
    <row r="231" spans="1:5" x14ac:dyDescent="0.3">
      <c r="A231" t="s">
        <v>1240</v>
      </c>
      <c r="B231" t="s">
        <v>1029</v>
      </c>
      <c r="C231" t="s">
        <v>862</v>
      </c>
      <c r="D231" t="s">
        <v>1350</v>
      </c>
      <c r="E231" t="s">
        <v>761</v>
      </c>
    </row>
    <row r="232" spans="1:5" x14ac:dyDescent="0.3">
      <c r="A232" t="s">
        <v>744</v>
      </c>
      <c r="B232" t="s">
        <v>1810</v>
      </c>
      <c r="C232" t="s">
        <v>1809</v>
      </c>
      <c r="D232" t="s">
        <v>906</v>
      </c>
      <c r="E232" t="s">
        <v>1</v>
      </c>
    </row>
    <row r="233" spans="1:5" x14ac:dyDescent="0.3">
      <c r="A233" t="s">
        <v>1812</v>
      </c>
      <c r="B233" t="s">
        <v>1813</v>
      </c>
      <c r="C233" t="s">
        <v>862</v>
      </c>
      <c r="D233" t="s">
        <v>751</v>
      </c>
      <c r="E233" t="s">
        <v>1</v>
      </c>
    </row>
    <row r="234" spans="1:5" x14ac:dyDescent="0.3">
      <c r="A234" t="s">
        <v>860</v>
      </c>
      <c r="B234" t="s">
        <v>1815</v>
      </c>
      <c r="C234" t="s">
        <v>862</v>
      </c>
      <c r="D234" t="s">
        <v>919</v>
      </c>
      <c r="E234" t="s">
        <v>1</v>
      </c>
    </row>
    <row r="235" spans="1:5" x14ac:dyDescent="0.3">
      <c r="A235" t="s">
        <v>1379</v>
      </c>
      <c r="B235" t="s">
        <v>1817</v>
      </c>
      <c r="C235" t="s">
        <v>1816</v>
      </c>
      <c r="D235" t="s">
        <v>763</v>
      </c>
      <c r="E235" t="s">
        <v>1</v>
      </c>
    </row>
    <row r="236" spans="1:5" x14ac:dyDescent="0.3">
      <c r="A236" t="s">
        <v>1814</v>
      </c>
      <c r="B236" t="s">
        <v>1818</v>
      </c>
      <c r="C236" t="s">
        <v>862</v>
      </c>
      <c r="D236" t="s">
        <v>919</v>
      </c>
      <c r="E236" t="s">
        <v>1</v>
      </c>
    </row>
    <row r="237" spans="1:5" x14ac:dyDescent="0.3">
      <c r="A237" t="s">
        <v>1819</v>
      </c>
      <c r="B237" t="s">
        <v>1821</v>
      </c>
      <c r="C237" t="s">
        <v>1820</v>
      </c>
      <c r="D237" t="s">
        <v>763</v>
      </c>
      <c r="E237" t="s">
        <v>1</v>
      </c>
    </row>
    <row r="238" spans="1:5" x14ac:dyDescent="0.3">
      <c r="A238" t="s">
        <v>1823</v>
      </c>
      <c r="B238" t="s">
        <v>1824</v>
      </c>
      <c r="C238" t="s">
        <v>1755</v>
      </c>
      <c r="D238" t="s">
        <v>763</v>
      </c>
      <c r="E238" t="s">
        <v>1</v>
      </c>
    </row>
    <row r="239" spans="1:5" x14ac:dyDescent="0.3">
      <c r="A239" t="s">
        <v>1702</v>
      </c>
      <c r="B239" t="s">
        <v>1828</v>
      </c>
      <c r="C239" t="s">
        <v>1827</v>
      </c>
      <c r="D239" t="s">
        <v>1826</v>
      </c>
      <c r="E239" t="s">
        <v>774</v>
      </c>
    </row>
    <row r="240" spans="1:5" x14ac:dyDescent="0.3">
      <c r="A240" t="s">
        <v>1830</v>
      </c>
      <c r="B240" t="s">
        <v>1831</v>
      </c>
      <c r="C240" t="s">
        <v>518</v>
      </c>
      <c r="D240" t="s">
        <v>763</v>
      </c>
      <c r="E240" t="s">
        <v>1</v>
      </c>
    </row>
    <row r="241" spans="1:5" x14ac:dyDescent="0.3">
      <c r="A241" t="s">
        <v>1832</v>
      </c>
      <c r="B241" t="s">
        <v>1833</v>
      </c>
      <c r="C241" t="s">
        <v>862</v>
      </c>
      <c r="D241" t="s">
        <v>919</v>
      </c>
      <c r="E241" t="s">
        <v>1</v>
      </c>
    </row>
    <row r="242" spans="1:5" x14ac:dyDescent="0.3">
      <c r="A242" t="s">
        <v>1834</v>
      </c>
      <c r="B242" t="s">
        <v>1836</v>
      </c>
      <c r="C242" t="s">
        <v>1835</v>
      </c>
      <c r="D242" t="s">
        <v>763</v>
      </c>
      <c r="E242" t="s">
        <v>1</v>
      </c>
    </row>
    <row r="243" spans="1:5" x14ac:dyDescent="0.3">
      <c r="A243" t="s">
        <v>224</v>
      </c>
      <c r="B243" t="s">
        <v>1837</v>
      </c>
      <c r="C243" t="s">
        <v>862</v>
      </c>
      <c r="D243" t="s">
        <v>763</v>
      </c>
      <c r="E243" t="s">
        <v>1</v>
      </c>
    </row>
    <row r="244" spans="1:5" x14ac:dyDescent="0.3">
      <c r="A244" t="s">
        <v>100</v>
      </c>
      <c r="B244" t="s">
        <v>1662</v>
      </c>
      <c r="C244" t="s">
        <v>862</v>
      </c>
      <c r="D244" t="s">
        <v>751</v>
      </c>
      <c r="E244" t="s">
        <v>1</v>
      </c>
    </row>
    <row r="245" spans="1:5" x14ac:dyDescent="0.3">
      <c r="A245" t="s">
        <v>1251</v>
      </c>
      <c r="B245" t="s">
        <v>800</v>
      </c>
      <c r="C245" t="s">
        <v>518</v>
      </c>
      <c r="D245" t="s">
        <v>981</v>
      </c>
      <c r="E245" t="s">
        <v>761</v>
      </c>
    </row>
    <row r="246" spans="1:5" x14ac:dyDescent="0.3">
      <c r="A246" t="s">
        <v>1840</v>
      </c>
      <c r="B246" t="s">
        <v>1841</v>
      </c>
      <c r="C246" t="s">
        <v>862</v>
      </c>
      <c r="D246" t="s">
        <v>763</v>
      </c>
      <c r="E246" t="s">
        <v>1</v>
      </c>
    </row>
    <row r="247" spans="1:5" x14ac:dyDescent="0.3">
      <c r="A247" t="s">
        <v>131</v>
      </c>
      <c r="B247" t="s">
        <v>1843</v>
      </c>
      <c r="C247" t="s">
        <v>862</v>
      </c>
      <c r="D247" t="s">
        <v>919</v>
      </c>
      <c r="E247" t="s">
        <v>1</v>
      </c>
    </row>
    <row r="248" spans="1:5" x14ac:dyDescent="0.3">
      <c r="A248" t="s">
        <v>77</v>
      </c>
      <c r="B248" t="s">
        <v>1845</v>
      </c>
      <c r="C248" t="s">
        <v>1844</v>
      </c>
      <c r="D248" t="s">
        <v>919</v>
      </c>
      <c r="E248" t="s">
        <v>1</v>
      </c>
    </row>
    <row r="249" spans="1:5" x14ac:dyDescent="0.3">
      <c r="A249" t="s">
        <v>1200</v>
      </c>
      <c r="B249" t="s">
        <v>1847</v>
      </c>
      <c r="C249" t="s">
        <v>862</v>
      </c>
      <c r="D249" t="s">
        <v>1846</v>
      </c>
      <c r="E249" t="s">
        <v>781</v>
      </c>
    </row>
    <row r="250" spans="1:5" x14ac:dyDescent="0.3">
      <c r="A250" t="s">
        <v>1849</v>
      </c>
      <c r="B250" t="s">
        <v>1850</v>
      </c>
      <c r="C250" t="s">
        <v>862</v>
      </c>
      <c r="D250" t="s">
        <v>1848</v>
      </c>
      <c r="E250" t="s">
        <v>774</v>
      </c>
    </row>
    <row r="251" spans="1:5" x14ac:dyDescent="0.3">
      <c r="A251" t="s">
        <v>1851</v>
      </c>
      <c r="B251" t="s">
        <v>1853</v>
      </c>
      <c r="C251" t="s">
        <v>1852</v>
      </c>
      <c r="D251" t="s">
        <v>919</v>
      </c>
      <c r="E251" t="s">
        <v>1</v>
      </c>
    </row>
    <row r="252" spans="1:5" x14ac:dyDescent="0.3">
      <c r="A252" t="s">
        <v>1857</v>
      </c>
      <c r="B252" t="s">
        <v>1859</v>
      </c>
      <c r="C252" t="s">
        <v>1858</v>
      </c>
      <c r="D252" t="s">
        <v>919</v>
      </c>
      <c r="E252" t="s">
        <v>1</v>
      </c>
    </row>
    <row r="253" spans="1:5" x14ac:dyDescent="0.3">
      <c r="A253" t="s">
        <v>177</v>
      </c>
      <c r="B253" t="s">
        <v>1861</v>
      </c>
      <c r="C253" t="s">
        <v>1860</v>
      </c>
      <c r="D253" t="s">
        <v>751</v>
      </c>
      <c r="E253" t="s">
        <v>1</v>
      </c>
    </row>
    <row r="254" spans="1:5" x14ac:dyDescent="0.3">
      <c r="A254" t="s">
        <v>1862</v>
      </c>
      <c r="B254" t="s">
        <v>1864</v>
      </c>
      <c r="C254" t="s">
        <v>1863</v>
      </c>
      <c r="D254" t="s">
        <v>763</v>
      </c>
      <c r="E254" t="s">
        <v>1</v>
      </c>
    </row>
    <row r="255" spans="1:5" x14ac:dyDescent="0.3">
      <c r="A255" t="s">
        <v>820</v>
      </c>
      <c r="B255" t="s">
        <v>1865</v>
      </c>
      <c r="C255" t="s">
        <v>862</v>
      </c>
      <c r="D255" t="s">
        <v>751</v>
      </c>
      <c r="E255" t="s">
        <v>1</v>
      </c>
    </row>
    <row r="256" spans="1:5" x14ac:dyDescent="0.3">
      <c r="A256" t="s">
        <v>1523</v>
      </c>
      <c r="B256" t="s">
        <v>1867</v>
      </c>
      <c r="C256" t="s">
        <v>862</v>
      </c>
      <c r="D256" t="s">
        <v>1866</v>
      </c>
      <c r="E256" t="s">
        <v>774</v>
      </c>
    </row>
    <row r="257" spans="1:5" x14ac:dyDescent="0.3">
      <c r="A257" t="s">
        <v>195</v>
      </c>
      <c r="B257" t="s">
        <v>1871</v>
      </c>
      <c r="C257" t="s">
        <v>1870</v>
      </c>
      <c r="D257" t="s">
        <v>919</v>
      </c>
      <c r="E257" t="s">
        <v>1</v>
      </c>
    </row>
    <row r="258" spans="1:5" x14ac:dyDescent="0.3">
      <c r="A258" t="s">
        <v>1872</v>
      </c>
      <c r="B258" t="s">
        <v>1874</v>
      </c>
      <c r="C258" t="s">
        <v>1873</v>
      </c>
      <c r="D258" t="s">
        <v>763</v>
      </c>
      <c r="E258" t="s">
        <v>1</v>
      </c>
    </row>
    <row r="259" spans="1:5" x14ac:dyDescent="0.3">
      <c r="A259" t="s">
        <v>1875</v>
      </c>
      <c r="B259" t="s">
        <v>961</v>
      </c>
      <c r="C259" t="s">
        <v>862</v>
      </c>
      <c r="D259" t="s">
        <v>919</v>
      </c>
      <c r="E259" t="s">
        <v>1</v>
      </c>
    </row>
    <row r="260" spans="1:5" x14ac:dyDescent="0.3">
      <c r="A260" t="s">
        <v>50</v>
      </c>
      <c r="B260" t="s">
        <v>1877</v>
      </c>
      <c r="C260" t="s">
        <v>1876</v>
      </c>
      <c r="D260" t="s">
        <v>1509</v>
      </c>
      <c r="E260" t="s">
        <v>781</v>
      </c>
    </row>
    <row r="261" spans="1:5" x14ac:dyDescent="0.3">
      <c r="A261" t="s">
        <v>1077</v>
      </c>
      <c r="B261" t="s">
        <v>426</v>
      </c>
      <c r="C261" t="s">
        <v>1878</v>
      </c>
      <c r="D261" t="s">
        <v>769</v>
      </c>
      <c r="E261" t="s">
        <v>1</v>
      </c>
    </row>
    <row r="262" spans="1:5" x14ac:dyDescent="0.3">
      <c r="A262" t="s">
        <v>1879</v>
      </c>
      <c r="B262" t="s">
        <v>1394</v>
      </c>
      <c r="C262" t="s">
        <v>1880</v>
      </c>
      <c r="D262" t="s">
        <v>919</v>
      </c>
      <c r="E262" t="s">
        <v>1</v>
      </c>
    </row>
    <row r="263" spans="1:5" x14ac:dyDescent="0.3">
      <c r="A263" t="s">
        <v>19</v>
      </c>
      <c r="B263" t="s">
        <v>1881</v>
      </c>
      <c r="C263" t="s">
        <v>862</v>
      </c>
      <c r="D263" t="s">
        <v>919</v>
      </c>
      <c r="E263" t="s">
        <v>1</v>
      </c>
    </row>
    <row r="264" spans="1:5" x14ac:dyDescent="0.3">
      <c r="A264" t="s">
        <v>1884</v>
      </c>
      <c r="B264" t="s">
        <v>1886</v>
      </c>
      <c r="C264" t="s">
        <v>1885</v>
      </c>
      <c r="D264" t="s">
        <v>919</v>
      </c>
      <c r="E264" t="s">
        <v>1</v>
      </c>
    </row>
    <row r="265" spans="1:5" x14ac:dyDescent="0.3">
      <c r="A265" t="s">
        <v>1887</v>
      </c>
      <c r="B265" t="s">
        <v>1888</v>
      </c>
      <c r="C265" t="s">
        <v>518</v>
      </c>
      <c r="D265" t="s">
        <v>763</v>
      </c>
      <c r="E265" t="s">
        <v>1</v>
      </c>
    </row>
    <row r="266" spans="1:5" x14ac:dyDescent="0.3">
      <c r="A266" t="s">
        <v>1891</v>
      </c>
      <c r="B266" t="s">
        <v>1892</v>
      </c>
      <c r="C266" t="s">
        <v>862</v>
      </c>
      <c r="D266" t="s">
        <v>919</v>
      </c>
      <c r="E266" t="s">
        <v>1</v>
      </c>
    </row>
    <row r="267" spans="1:5" x14ac:dyDescent="0.3">
      <c r="A267" t="s">
        <v>1001</v>
      </c>
      <c r="B267" t="s">
        <v>1894</v>
      </c>
      <c r="C267" t="s">
        <v>862</v>
      </c>
      <c r="D267" t="s">
        <v>768</v>
      </c>
      <c r="E267" t="s">
        <v>1</v>
      </c>
    </row>
    <row r="268" spans="1:5" x14ac:dyDescent="0.3">
      <c r="A268" t="s">
        <v>1895</v>
      </c>
      <c r="B268" t="s">
        <v>1897</v>
      </c>
      <c r="C268" t="s">
        <v>1896</v>
      </c>
      <c r="D268" t="s">
        <v>919</v>
      </c>
      <c r="E268" t="s">
        <v>1</v>
      </c>
    </row>
    <row r="269" spans="1:5" x14ac:dyDescent="0.3">
      <c r="A269" t="s">
        <v>1153</v>
      </c>
      <c r="B269" t="s">
        <v>1900</v>
      </c>
      <c r="C269" t="s">
        <v>862</v>
      </c>
      <c r="D269" t="s">
        <v>919</v>
      </c>
      <c r="E269" t="s">
        <v>1</v>
      </c>
    </row>
    <row r="270" spans="1:5" x14ac:dyDescent="0.3">
      <c r="A270" t="s">
        <v>1001</v>
      </c>
      <c r="B270" t="s">
        <v>1904</v>
      </c>
      <c r="C270" t="s">
        <v>1903</v>
      </c>
      <c r="D270" t="s">
        <v>768</v>
      </c>
      <c r="E270" t="s">
        <v>1</v>
      </c>
    </row>
    <row r="271" spans="1:5" x14ac:dyDescent="0.3">
      <c r="A271" t="s">
        <v>1907</v>
      </c>
      <c r="B271" t="s">
        <v>1908</v>
      </c>
      <c r="C271" t="s">
        <v>862</v>
      </c>
      <c r="D271" t="s">
        <v>768</v>
      </c>
      <c r="E271" t="s">
        <v>1</v>
      </c>
    </row>
    <row r="272" spans="1:5" x14ac:dyDescent="0.3">
      <c r="A272" t="s">
        <v>826</v>
      </c>
      <c r="B272" t="s">
        <v>1910</v>
      </c>
      <c r="C272" t="s">
        <v>1909</v>
      </c>
      <c r="D272" t="s">
        <v>919</v>
      </c>
      <c r="E272" t="s">
        <v>1</v>
      </c>
    </row>
    <row r="273" spans="1:5" x14ac:dyDescent="0.3">
      <c r="A273" t="s">
        <v>1911</v>
      </c>
      <c r="B273" t="s">
        <v>1913</v>
      </c>
      <c r="C273" t="s">
        <v>1912</v>
      </c>
      <c r="D273" t="s">
        <v>919</v>
      </c>
      <c r="E273" t="s">
        <v>1</v>
      </c>
    </row>
    <row r="274" spans="1:5" x14ac:dyDescent="0.3">
      <c r="A274" t="s">
        <v>1914</v>
      </c>
      <c r="B274" t="s">
        <v>1915</v>
      </c>
      <c r="C274" t="s">
        <v>862</v>
      </c>
      <c r="D274" t="s">
        <v>769</v>
      </c>
      <c r="E274" t="s">
        <v>1</v>
      </c>
    </row>
    <row r="275" spans="1:5" x14ac:dyDescent="0.3">
      <c r="A275" t="s">
        <v>1916</v>
      </c>
      <c r="B275" t="s">
        <v>1918</v>
      </c>
      <c r="C275" t="s">
        <v>1917</v>
      </c>
      <c r="D275" t="s">
        <v>763</v>
      </c>
      <c r="E275" t="s">
        <v>1</v>
      </c>
    </row>
    <row r="276" spans="1:5" x14ac:dyDescent="0.3">
      <c r="A276" t="s">
        <v>1579</v>
      </c>
      <c r="B276" t="s">
        <v>197</v>
      </c>
      <c r="C276" t="s">
        <v>862</v>
      </c>
      <c r="D276" t="s">
        <v>906</v>
      </c>
      <c r="E276" t="s">
        <v>1</v>
      </c>
    </row>
    <row r="277" spans="1:5" x14ac:dyDescent="0.3">
      <c r="A277" t="s">
        <v>1271</v>
      </c>
      <c r="B277" t="s">
        <v>123</v>
      </c>
      <c r="C277" t="s">
        <v>862</v>
      </c>
      <c r="D277" t="s">
        <v>919</v>
      </c>
      <c r="E277" t="s">
        <v>1</v>
      </c>
    </row>
    <row r="278" spans="1:5" x14ac:dyDescent="0.3">
      <c r="A278" t="s">
        <v>100</v>
      </c>
      <c r="B278" t="s">
        <v>1923</v>
      </c>
      <c r="C278" t="s">
        <v>1922</v>
      </c>
      <c r="D278" t="s">
        <v>919</v>
      </c>
      <c r="E278" t="s">
        <v>1</v>
      </c>
    </row>
    <row r="279" spans="1:5" x14ac:dyDescent="0.3">
      <c r="A279" t="s">
        <v>1924</v>
      </c>
      <c r="B279" t="s">
        <v>1925</v>
      </c>
      <c r="C279" t="s">
        <v>862</v>
      </c>
      <c r="D279" t="s">
        <v>919</v>
      </c>
      <c r="E279" t="s">
        <v>1</v>
      </c>
    </row>
    <row r="280" spans="1:5" x14ac:dyDescent="0.3">
      <c r="A280" t="s">
        <v>331</v>
      </c>
      <c r="B280" t="s">
        <v>1927</v>
      </c>
      <c r="C280" t="s">
        <v>1926</v>
      </c>
      <c r="D280" t="s">
        <v>919</v>
      </c>
      <c r="E280" t="s">
        <v>1</v>
      </c>
    </row>
    <row r="281" spans="1:5" x14ac:dyDescent="0.3">
      <c r="A281" t="s">
        <v>1928</v>
      </c>
      <c r="B281" t="s">
        <v>1930</v>
      </c>
      <c r="C281" t="s">
        <v>1929</v>
      </c>
      <c r="D281" t="s">
        <v>906</v>
      </c>
      <c r="E281" t="s">
        <v>1</v>
      </c>
    </row>
    <row r="282" spans="1:5" x14ac:dyDescent="0.3">
      <c r="A282" t="s">
        <v>1934</v>
      </c>
      <c r="B282" t="s">
        <v>1935</v>
      </c>
      <c r="C282" t="s">
        <v>862</v>
      </c>
      <c r="D282" t="s">
        <v>751</v>
      </c>
      <c r="E282" t="s">
        <v>1</v>
      </c>
    </row>
    <row r="283" spans="1:5" x14ac:dyDescent="0.3">
      <c r="A283" t="s">
        <v>894</v>
      </c>
      <c r="B283" t="s">
        <v>1045</v>
      </c>
      <c r="C283" t="s">
        <v>1936</v>
      </c>
      <c r="D283" t="s">
        <v>919</v>
      </c>
      <c r="E283" t="s">
        <v>1</v>
      </c>
    </row>
    <row r="284" spans="1:5" x14ac:dyDescent="0.3">
      <c r="A284" t="s">
        <v>1937</v>
      </c>
      <c r="B284" t="s">
        <v>1939</v>
      </c>
      <c r="C284" t="s">
        <v>1938</v>
      </c>
      <c r="D284" t="s">
        <v>1500</v>
      </c>
      <c r="E284" t="s">
        <v>741</v>
      </c>
    </row>
    <row r="285" spans="1:5" x14ac:dyDescent="0.3">
      <c r="A285" t="s">
        <v>442</v>
      </c>
      <c r="B285" t="s">
        <v>1941</v>
      </c>
      <c r="C285" t="s">
        <v>862</v>
      </c>
      <c r="D285" t="s">
        <v>919</v>
      </c>
      <c r="E285" t="s">
        <v>1</v>
      </c>
    </row>
    <row r="286" spans="1:5" x14ac:dyDescent="0.3">
      <c r="A286" t="s">
        <v>1943</v>
      </c>
      <c r="B286" t="s">
        <v>1945</v>
      </c>
      <c r="C286" t="s">
        <v>1944</v>
      </c>
      <c r="D286" t="s">
        <v>751</v>
      </c>
      <c r="E286" t="s">
        <v>1</v>
      </c>
    </row>
    <row r="287" spans="1:5" x14ac:dyDescent="0.3">
      <c r="A287" t="s">
        <v>1946</v>
      </c>
      <c r="B287" t="s">
        <v>1947</v>
      </c>
      <c r="C287" t="s">
        <v>862</v>
      </c>
      <c r="D287" t="s">
        <v>919</v>
      </c>
      <c r="E287" t="s">
        <v>1</v>
      </c>
    </row>
    <row r="288" spans="1:5" x14ac:dyDescent="0.3">
      <c r="A288" t="s">
        <v>1687</v>
      </c>
      <c r="B288" t="s">
        <v>1948</v>
      </c>
      <c r="C288" t="s">
        <v>862</v>
      </c>
      <c r="D288" t="s">
        <v>981</v>
      </c>
      <c r="E288" t="s">
        <v>761</v>
      </c>
    </row>
    <row r="289" spans="1:5" x14ac:dyDescent="0.3">
      <c r="A289" t="s">
        <v>1031</v>
      </c>
      <c r="B289" t="s">
        <v>1950</v>
      </c>
      <c r="C289" t="s">
        <v>1949</v>
      </c>
      <c r="D289" t="s">
        <v>919</v>
      </c>
      <c r="E289" t="s">
        <v>1</v>
      </c>
    </row>
    <row r="290" spans="1:5" x14ac:dyDescent="0.3">
      <c r="A290" t="s">
        <v>1153</v>
      </c>
      <c r="B290" t="s">
        <v>1952</v>
      </c>
      <c r="C290" t="s">
        <v>1951</v>
      </c>
      <c r="D290" t="s">
        <v>769</v>
      </c>
      <c r="E290" t="s">
        <v>1</v>
      </c>
    </row>
    <row r="291" spans="1:5" x14ac:dyDescent="0.3">
      <c r="A291" t="s">
        <v>1954</v>
      </c>
      <c r="B291" t="s">
        <v>1955</v>
      </c>
      <c r="C291" t="s">
        <v>862</v>
      </c>
      <c r="D291" t="s">
        <v>769</v>
      </c>
      <c r="E291" t="s">
        <v>1</v>
      </c>
    </row>
    <row r="292" spans="1:5" x14ac:dyDescent="0.3">
      <c r="A292" t="s">
        <v>22</v>
      </c>
      <c r="B292" t="s">
        <v>1957</v>
      </c>
      <c r="C292" t="s">
        <v>1956</v>
      </c>
      <c r="D292" t="s">
        <v>919</v>
      </c>
      <c r="E292" t="s">
        <v>1</v>
      </c>
    </row>
    <row r="293" spans="1:5" x14ac:dyDescent="0.3">
      <c r="A293" t="s">
        <v>1068</v>
      </c>
      <c r="B293" t="s">
        <v>1958</v>
      </c>
      <c r="C293" t="s">
        <v>862</v>
      </c>
      <c r="D293" t="s">
        <v>919</v>
      </c>
      <c r="E293" t="s">
        <v>1</v>
      </c>
    </row>
    <row r="294" spans="1:5" x14ac:dyDescent="0.3">
      <c r="A294" t="s">
        <v>95</v>
      </c>
      <c r="B294" t="s">
        <v>1961</v>
      </c>
      <c r="C294" t="s">
        <v>1960</v>
      </c>
      <c r="D294" t="s">
        <v>1959</v>
      </c>
      <c r="E294" t="s">
        <v>774</v>
      </c>
    </row>
    <row r="295" spans="1:5" x14ac:dyDescent="0.3">
      <c r="A295" t="s">
        <v>104</v>
      </c>
      <c r="B295" t="s">
        <v>1963</v>
      </c>
      <c r="C295" t="s">
        <v>1962</v>
      </c>
      <c r="D295" t="s">
        <v>751</v>
      </c>
      <c r="E295" t="s">
        <v>1</v>
      </c>
    </row>
    <row r="296" spans="1:5" x14ac:dyDescent="0.3">
      <c r="A296" t="s">
        <v>1964</v>
      </c>
      <c r="B296" t="s">
        <v>1966</v>
      </c>
      <c r="C296" t="s">
        <v>1965</v>
      </c>
      <c r="D296" t="s">
        <v>919</v>
      </c>
      <c r="E296" t="s">
        <v>1</v>
      </c>
    </row>
    <row r="297" spans="1:5" x14ac:dyDescent="0.3">
      <c r="A297" t="s">
        <v>1971</v>
      </c>
      <c r="B297" t="s">
        <v>56</v>
      </c>
      <c r="C297" t="s">
        <v>518</v>
      </c>
      <c r="D297" t="s">
        <v>763</v>
      </c>
      <c r="E297" t="s">
        <v>1</v>
      </c>
    </row>
    <row r="298" spans="1:5" x14ac:dyDescent="0.3">
      <c r="A298" t="s">
        <v>1972</v>
      </c>
      <c r="B298" t="s">
        <v>120</v>
      </c>
      <c r="C298" t="s">
        <v>1973</v>
      </c>
      <c r="D298" t="s">
        <v>919</v>
      </c>
      <c r="E298" t="s">
        <v>1</v>
      </c>
    </row>
    <row r="299" spans="1:5" x14ac:dyDescent="0.3">
      <c r="A299" t="s">
        <v>181</v>
      </c>
      <c r="B299" t="s">
        <v>1975</v>
      </c>
      <c r="C299" t="s">
        <v>1974</v>
      </c>
      <c r="D299" t="s">
        <v>769</v>
      </c>
      <c r="E299" t="s">
        <v>1</v>
      </c>
    </row>
    <row r="300" spans="1:5" x14ac:dyDescent="0.3">
      <c r="A300" t="s">
        <v>1778</v>
      </c>
      <c r="B300" t="s">
        <v>1977</v>
      </c>
      <c r="C300" t="s">
        <v>862</v>
      </c>
      <c r="D300" t="s">
        <v>919</v>
      </c>
      <c r="E300" t="s">
        <v>1</v>
      </c>
    </row>
    <row r="301" spans="1:5" x14ac:dyDescent="0.3">
      <c r="A301" t="s">
        <v>1189</v>
      </c>
      <c r="B301" t="s">
        <v>1981</v>
      </c>
      <c r="C301" t="s">
        <v>1980</v>
      </c>
      <c r="D301" t="s">
        <v>981</v>
      </c>
      <c r="E301" t="s">
        <v>761</v>
      </c>
    </row>
    <row r="302" spans="1:5" x14ac:dyDescent="0.3">
      <c r="A302" t="s">
        <v>298</v>
      </c>
      <c r="B302" t="s">
        <v>401</v>
      </c>
      <c r="C302" t="s">
        <v>862</v>
      </c>
      <c r="D302" t="s">
        <v>919</v>
      </c>
      <c r="E302" t="s">
        <v>1</v>
      </c>
    </row>
    <row r="303" spans="1:5" x14ac:dyDescent="0.3">
      <c r="A303" t="s">
        <v>931</v>
      </c>
      <c r="B303" t="s">
        <v>1945</v>
      </c>
      <c r="C303" t="s">
        <v>1983</v>
      </c>
      <c r="D303" t="s">
        <v>906</v>
      </c>
      <c r="E303" t="s">
        <v>1</v>
      </c>
    </row>
    <row r="304" spans="1:5" x14ac:dyDescent="0.3">
      <c r="A304" t="s">
        <v>195</v>
      </c>
      <c r="B304" t="s">
        <v>1108</v>
      </c>
      <c r="C304" t="s">
        <v>1984</v>
      </c>
      <c r="D304" t="s">
        <v>763</v>
      </c>
      <c r="E304" t="s">
        <v>1</v>
      </c>
    </row>
    <row r="305" spans="1:5" x14ac:dyDescent="0.3">
      <c r="A305" t="s">
        <v>1985</v>
      </c>
      <c r="B305" t="s">
        <v>1986</v>
      </c>
      <c r="C305" t="s">
        <v>862</v>
      </c>
      <c r="D305" t="s">
        <v>751</v>
      </c>
      <c r="E305" t="s">
        <v>1</v>
      </c>
    </row>
    <row r="306" spans="1:5" x14ac:dyDescent="0.3">
      <c r="A306" t="s">
        <v>160</v>
      </c>
      <c r="B306" t="s">
        <v>1987</v>
      </c>
      <c r="C306" t="s">
        <v>862</v>
      </c>
      <c r="D306" t="s">
        <v>1676</v>
      </c>
      <c r="E306" t="s">
        <v>18</v>
      </c>
    </row>
    <row r="307" spans="1:5" x14ac:dyDescent="0.3">
      <c r="A307" t="s">
        <v>1990</v>
      </c>
      <c r="B307" t="s">
        <v>221</v>
      </c>
      <c r="C307" t="s">
        <v>1991</v>
      </c>
      <c r="D307" t="s">
        <v>919</v>
      </c>
      <c r="E307" t="s">
        <v>1</v>
      </c>
    </row>
    <row r="308" spans="1:5" x14ac:dyDescent="0.3">
      <c r="A308" t="s">
        <v>1993</v>
      </c>
      <c r="B308" t="s">
        <v>1994</v>
      </c>
      <c r="C308" t="s">
        <v>862</v>
      </c>
      <c r="D308" t="s">
        <v>919</v>
      </c>
      <c r="E308" t="s">
        <v>1</v>
      </c>
    </row>
    <row r="309" spans="1:5" x14ac:dyDescent="0.3">
      <c r="A309" t="s">
        <v>409</v>
      </c>
      <c r="B309" t="s">
        <v>1996</v>
      </c>
      <c r="C309" t="s">
        <v>1995</v>
      </c>
      <c r="D309" t="s">
        <v>919</v>
      </c>
      <c r="E309" t="s">
        <v>1</v>
      </c>
    </row>
    <row r="310" spans="1:5" x14ac:dyDescent="0.3">
      <c r="A310" t="s">
        <v>1997</v>
      </c>
      <c r="B310" t="s">
        <v>1471</v>
      </c>
      <c r="C310" t="s">
        <v>1998</v>
      </c>
      <c r="D310" t="s">
        <v>919</v>
      </c>
      <c r="E310" t="s">
        <v>1</v>
      </c>
    </row>
    <row r="311" spans="1:5" x14ac:dyDescent="0.3">
      <c r="A311" t="s">
        <v>1999</v>
      </c>
      <c r="B311" t="s">
        <v>2000</v>
      </c>
      <c r="C311" t="s">
        <v>862</v>
      </c>
      <c r="D311" t="s">
        <v>919</v>
      </c>
      <c r="E311" t="s">
        <v>1</v>
      </c>
    </row>
    <row r="312" spans="1:5" x14ac:dyDescent="0.3">
      <c r="A312" t="s">
        <v>2002</v>
      </c>
      <c r="B312" t="s">
        <v>429</v>
      </c>
      <c r="C312" t="s">
        <v>862</v>
      </c>
      <c r="D312" t="s">
        <v>2001</v>
      </c>
      <c r="E312" t="s">
        <v>761</v>
      </c>
    </row>
    <row r="313" spans="1:5" x14ac:dyDescent="0.3">
      <c r="A313" t="s">
        <v>850</v>
      </c>
      <c r="B313" t="s">
        <v>1025</v>
      </c>
      <c r="C313" t="s">
        <v>2003</v>
      </c>
      <c r="D313" t="s">
        <v>763</v>
      </c>
      <c r="E313" t="s">
        <v>1</v>
      </c>
    </row>
    <row r="314" spans="1:5" x14ac:dyDescent="0.3">
      <c r="A314" t="s">
        <v>2005</v>
      </c>
      <c r="B314" t="s">
        <v>2006</v>
      </c>
      <c r="C314" t="s">
        <v>862</v>
      </c>
      <c r="D314" t="s">
        <v>919</v>
      </c>
      <c r="E314" t="s">
        <v>1</v>
      </c>
    </row>
    <row r="315" spans="1:5" x14ac:dyDescent="0.3">
      <c r="A315" t="s">
        <v>2010</v>
      </c>
      <c r="B315" t="s">
        <v>2011</v>
      </c>
      <c r="C315" t="s">
        <v>862</v>
      </c>
      <c r="D315" t="s">
        <v>769</v>
      </c>
      <c r="E315" t="s">
        <v>1</v>
      </c>
    </row>
    <row r="316" spans="1:5" x14ac:dyDescent="0.3">
      <c r="A316" t="s">
        <v>1330</v>
      </c>
      <c r="B316" t="s">
        <v>896</v>
      </c>
      <c r="C316" t="s">
        <v>2012</v>
      </c>
      <c r="D316" t="s">
        <v>751</v>
      </c>
      <c r="E316" t="s">
        <v>1</v>
      </c>
    </row>
    <row r="317" spans="1:5" x14ac:dyDescent="0.3">
      <c r="A317" t="s">
        <v>1133</v>
      </c>
      <c r="B317" t="s">
        <v>2013</v>
      </c>
      <c r="C317" t="s">
        <v>862</v>
      </c>
      <c r="D317" t="s">
        <v>906</v>
      </c>
      <c r="E317" t="s">
        <v>1</v>
      </c>
    </row>
    <row r="318" spans="1:5" x14ac:dyDescent="0.3">
      <c r="A318" t="s">
        <v>2014</v>
      </c>
      <c r="B318" t="s">
        <v>2016</v>
      </c>
      <c r="C318" t="s">
        <v>2015</v>
      </c>
      <c r="D318" t="s">
        <v>919</v>
      </c>
      <c r="E318" t="s">
        <v>1</v>
      </c>
    </row>
    <row r="319" spans="1:5" x14ac:dyDescent="0.3">
      <c r="A319" t="s">
        <v>2017</v>
      </c>
      <c r="B319" t="s">
        <v>2019</v>
      </c>
      <c r="C319" t="s">
        <v>2018</v>
      </c>
      <c r="D319" t="s">
        <v>763</v>
      </c>
      <c r="E319" t="s">
        <v>1</v>
      </c>
    </row>
    <row r="320" spans="1:5" x14ac:dyDescent="0.3">
      <c r="A320" t="s">
        <v>2020</v>
      </c>
      <c r="B320" t="s">
        <v>2022</v>
      </c>
      <c r="C320" t="s">
        <v>2021</v>
      </c>
      <c r="D320" t="s">
        <v>869</v>
      </c>
      <c r="E320" t="s">
        <v>781</v>
      </c>
    </row>
    <row r="321" spans="1:5" x14ac:dyDescent="0.3">
      <c r="A321" t="s">
        <v>2023</v>
      </c>
      <c r="B321" t="s">
        <v>2025</v>
      </c>
      <c r="C321" t="s">
        <v>2024</v>
      </c>
      <c r="D321" t="s">
        <v>919</v>
      </c>
      <c r="E321" t="s">
        <v>1</v>
      </c>
    </row>
    <row r="322" spans="1:5" x14ac:dyDescent="0.3">
      <c r="A322" t="s">
        <v>368</v>
      </c>
      <c r="B322" t="s">
        <v>2026</v>
      </c>
      <c r="C322" t="s">
        <v>862</v>
      </c>
      <c r="D322" t="s">
        <v>906</v>
      </c>
      <c r="E322" t="s">
        <v>1</v>
      </c>
    </row>
    <row r="323" spans="1:5" x14ac:dyDescent="0.3">
      <c r="A323" t="s">
        <v>1921</v>
      </c>
      <c r="B323" t="s">
        <v>2028</v>
      </c>
      <c r="C323" t="s">
        <v>2027</v>
      </c>
      <c r="D323" t="s">
        <v>919</v>
      </c>
      <c r="E323" t="s">
        <v>1</v>
      </c>
    </row>
    <row r="324" spans="1:5" x14ac:dyDescent="0.3">
      <c r="A324" t="s">
        <v>2029</v>
      </c>
      <c r="B324" t="s">
        <v>2030</v>
      </c>
      <c r="C324" t="s">
        <v>862</v>
      </c>
      <c r="D324" t="s">
        <v>763</v>
      </c>
      <c r="E324" t="s">
        <v>1</v>
      </c>
    </row>
    <row r="325" spans="1:5" x14ac:dyDescent="0.3">
      <c r="A325" t="s">
        <v>2031</v>
      </c>
      <c r="B325" t="s">
        <v>2032</v>
      </c>
      <c r="C325" t="s">
        <v>862</v>
      </c>
      <c r="D325" t="s">
        <v>919</v>
      </c>
      <c r="E325" t="s">
        <v>1</v>
      </c>
    </row>
    <row r="326" spans="1:5" x14ac:dyDescent="0.3">
      <c r="A326" t="s">
        <v>259</v>
      </c>
      <c r="B326" t="s">
        <v>1244</v>
      </c>
      <c r="C326" t="s">
        <v>862</v>
      </c>
      <c r="D326" t="s">
        <v>1079</v>
      </c>
      <c r="E326" t="s">
        <v>774</v>
      </c>
    </row>
    <row r="327" spans="1:5" x14ac:dyDescent="0.3">
      <c r="A327" t="s">
        <v>2033</v>
      </c>
      <c r="B327" t="s">
        <v>2035</v>
      </c>
      <c r="C327" t="s">
        <v>2034</v>
      </c>
      <c r="D327" t="s">
        <v>751</v>
      </c>
      <c r="E327" t="s">
        <v>1</v>
      </c>
    </row>
    <row r="328" spans="1:5" x14ac:dyDescent="0.3">
      <c r="A328" t="s">
        <v>2036</v>
      </c>
      <c r="B328" t="s">
        <v>2038</v>
      </c>
      <c r="C328" t="s">
        <v>2037</v>
      </c>
      <c r="D328" t="s">
        <v>919</v>
      </c>
      <c r="E328" t="s">
        <v>1</v>
      </c>
    </row>
    <row r="329" spans="1:5" x14ac:dyDescent="0.3">
      <c r="A329" t="s">
        <v>894</v>
      </c>
      <c r="B329" t="s">
        <v>2040</v>
      </c>
      <c r="C329" t="s">
        <v>2039</v>
      </c>
      <c r="D329" t="s">
        <v>883</v>
      </c>
      <c r="E329" t="s">
        <v>1</v>
      </c>
    </row>
    <row r="330" spans="1:5" x14ac:dyDescent="0.3">
      <c r="A330" t="s">
        <v>2042</v>
      </c>
      <c r="B330" t="s">
        <v>2043</v>
      </c>
      <c r="C330" t="s">
        <v>862</v>
      </c>
      <c r="D330" t="s">
        <v>2041</v>
      </c>
      <c r="E330" t="s">
        <v>758</v>
      </c>
    </row>
    <row r="331" spans="1:5" x14ac:dyDescent="0.3">
      <c r="A331" t="s">
        <v>2044</v>
      </c>
      <c r="B331" t="s">
        <v>2045</v>
      </c>
      <c r="C331" t="s">
        <v>862</v>
      </c>
      <c r="D331" t="s">
        <v>919</v>
      </c>
      <c r="E331" t="s">
        <v>1</v>
      </c>
    </row>
    <row r="332" spans="1:5" x14ac:dyDescent="0.3">
      <c r="A332" t="s">
        <v>220</v>
      </c>
      <c r="B332" t="s">
        <v>2051</v>
      </c>
      <c r="C332" t="s">
        <v>862</v>
      </c>
      <c r="D332" t="s">
        <v>919</v>
      </c>
      <c r="E332" t="s">
        <v>1</v>
      </c>
    </row>
    <row r="333" spans="1:5" x14ac:dyDescent="0.3">
      <c r="A333" t="s">
        <v>2054</v>
      </c>
      <c r="B333" t="s">
        <v>2056</v>
      </c>
      <c r="C333" t="s">
        <v>2055</v>
      </c>
      <c r="D333" t="s">
        <v>763</v>
      </c>
      <c r="E333" t="s">
        <v>1</v>
      </c>
    </row>
    <row r="334" spans="1:5" x14ac:dyDescent="0.3">
      <c r="A334" t="s">
        <v>2057</v>
      </c>
      <c r="B334" t="s">
        <v>354</v>
      </c>
      <c r="C334" t="s">
        <v>2058</v>
      </c>
      <c r="D334" t="s">
        <v>763</v>
      </c>
      <c r="E334" t="s">
        <v>1</v>
      </c>
    </row>
    <row r="335" spans="1:5" x14ac:dyDescent="0.3">
      <c r="A335" t="s">
        <v>860</v>
      </c>
      <c r="B335" t="s">
        <v>2060</v>
      </c>
      <c r="C335" t="s">
        <v>2059</v>
      </c>
      <c r="D335" t="s">
        <v>919</v>
      </c>
      <c r="E335" t="s">
        <v>1</v>
      </c>
    </row>
    <row r="336" spans="1:5" x14ac:dyDescent="0.3">
      <c r="A336" t="s">
        <v>183</v>
      </c>
      <c r="B336" t="s">
        <v>2062</v>
      </c>
      <c r="C336" t="s">
        <v>2061</v>
      </c>
      <c r="D336" t="s">
        <v>919</v>
      </c>
      <c r="E336" t="s">
        <v>1</v>
      </c>
    </row>
    <row r="337" spans="1:5" x14ac:dyDescent="0.3">
      <c r="A337" t="s">
        <v>2063</v>
      </c>
      <c r="B337" t="s">
        <v>2064</v>
      </c>
      <c r="C337" t="s">
        <v>862</v>
      </c>
      <c r="D337" t="s">
        <v>768</v>
      </c>
      <c r="E337" t="s">
        <v>1</v>
      </c>
    </row>
    <row r="338" spans="1:5" x14ac:dyDescent="0.3">
      <c r="A338" t="s">
        <v>2065</v>
      </c>
      <c r="B338" t="s">
        <v>433</v>
      </c>
      <c r="C338" t="s">
        <v>2066</v>
      </c>
      <c r="D338" t="s">
        <v>919</v>
      </c>
      <c r="E338" t="s">
        <v>1</v>
      </c>
    </row>
    <row r="339" spans="1:5" x14ac:dyDescent="0.3">
      <c r="A339" t="s">
        <v>2067</v>
      </c>
      <c r="B339" t="s">
        <v>2068</v>
      </c>
      <c r="C339" t="s">
        <v>862</v>
      </c>
      <c r="D339" t="s">
        <v>919</v>
      </c>
      <c r="E339" t="s">
        <v>1</v>
      </c>
    </row>
    <row r="340" spans="1:5" x14ac:dyDescent="0.3">
      <c r="A340" t="s">
        <v>2069</v>
      </c>
      <c r="B340" t="s">
        <v>2070</v>
      </c>
      <c r="C340" t="s">
        <v>862</v>
      </c>
      <c r="D340" t="s">
        <v>895</v>
      </c>
      <c r="E340" t="s">
        <v>897</v>
      </c>
    </row>
    <row r="341" spans="1:5" x14ac:dyDescent="0.3">
      <c r="A341" t="s">
        <v>2073</v>
      </c>
      <c r="B341" t="s">
        <v>2075</v>
      </c>
      <c r="C341" t="s">
        <v>2074</v>
      </c>
      <c r="D341" t="s">
        <v>919</v>
      </c>
      <c r="E341" t="s">
        <v>1</v>
      </c>
    </row>
    <row r="342" spans="1:5" x14ac:dyDescent="0.3">
      <c r="A342" t="s">
        <v>1283</v>
      </c>
      <c r="B342" t="s">
        <v>2077</v>
      </c>
      <c r="C342" t="s">
        <v>862</v>
      </c>
      <c r="D342" t="s">
        <v>769</v>
      </c>
      <c r="E342" t="s">
        <v>1</v>
      </c>
    </row>
    <row r="343" spans="1:5" x14ac:dyDescent="0.3">
      <c r="A343" t="s">
        <v>190</v>
      </c>
      <c r="B343" t="s">
        <v>2078</v>
      </c>
      <c r="C343" t="s">
        <v>862</v>
      </c>
      <c r="D343" t="s">
        <v>919</v>
      </c>
      <c r="E343" t="s">
        <v>1</v>
      </c>
    </row>
    <row r="344" spans="1:5" x14ac:dyDescent="0.3">
      <c r="A344" t="s">
        <v>153</v>
      </c>
      <c r="B344" t="s">
        <v>2081</v>
      </c>
      <c r="C344" t="s">
        <v>862</v>
      </c>
      <c r="D344" t="s">
        <v>751</v>
      </c>
      <c r="E344" t="s">
        <v>1</v>
      </c>
    </row>
    <row r="345" spans="1:5" x14ac:dyDescent="0.3">
      <c r="A345" t="s">
        <v>2082</v>
      </c>
      <c r="B345" t="s">
        <v>2083</v>
      </c>
      <c r="C345" t="s">
        <v>862</v>
      </c>
      <c r="D345" t="s">
        <v>919</v>
      </c>
      <c r="E345" t="s">
        <v>1</v>
      </c>
    </row>
    <row r="346" spans="1:5" x14ac:dyDescent="0.3">
      <c r="A346" t="s">
        <v>2084</v>
      </c>
      <c r="B346" t="s">
        <v>2086</v>
      </c>
      <c r="C346" t="s">
        <v>2085</v>
      </c>
      <c r="D346" t="s">
        <v>919</v>
      </c>
      <c r="E346" t="s">
        <v>1</v>
      </c>
    </row>
    <row r="347" spans="1:5" x14ac:dyDescent="0.3">
      <c r="A347" t="s">
        <v>1777</v>
      </c>
      <c r="B347" t="s">
        <v>2088</v>
      </c>
      <c r="C347" t="s">
        <v>2087</v>
      </c>
      <c r="D347" t="s">
        <v>763</v>
      </c>
      <c r="E347" t="s">
        <v>1</v>
      </c>
    </row>
    <row r="348" spans="1:5" x14ac:dyDescent="0.3">
      <c r="A348" t="s">
        <v>2091</v>
      </c>
      <c r="B348" t="s">
        <v>2092</v>
      </c>
      <c r="C348" t="s">
        <v>862</v>
      </c>
      <c r="D348" t="s">
        <v>919</v>
      </c>
      <c r="E348" t="s">
        <v>1</v>
      </c>
    </row>
    <row r="349" spans="1:5" x14ac:dyDescent="0.3">
      <c r="A349" t="s">
        <v>2094</v>
      </c>
      <c r="B349" t="s">
        <v>2095</v>
      </c>
      <c r="C349" t="s">
        <v>862</v>
      </c>
      <c r="D349" t="s">
        <v>2093</v>
      </c>
      <c r="E349" t="s">
        <v>774</v>
      </c>
    </row>
    <row r="350" spans="1:5" x14ac:dyDescent="0.3">
      <c r="A350" t="s">
        <v>2096</v>
      </c>
      <c r="B350" t="s">
        <v>2097</v>
      </c>
      <c r="C350" t="s">
        <v>518</v>
      </c>
      <c r="D350" t="s">
        <v>919</v>
      </c>
      <c r="E350" t="s">
        <v>1</v>
      </c>
    </row>
    <row r="351" spans="1:5" x14ac:dyDescent="0.3">
      <c r="A351" t="s">
        <v>2098</v>
      </c>
      <c r="B351" t="s">
        <v>2100</v>
      </c>
      <c r="C351" t="s">
        <v>2099</v>
      </c>
      <c r="D351" t="s">
        <v>919</v>
      </c>
      <c r="E351" t="s">
        <v>1</v>
      </c>
    </row>
    <row r="352" spans="1:5" x14ac:dyDescent="0.3">
      <c r="A352" t="s">
        <v>2101</v>
      </c>
      <c r="B352" t="s">
        <v>433</v>
      </c>
      <c r="C352" t="s">
        <v>2102</v>
      </c>
      <c r="D352" t="s">
        <v>769</v>
      </c>
      <c r="E352" t="s">
        <v>1</v>
      </c>
    </row>
    <row r="353" spans="1:5" x14ac:dyDescent="0.3">
      <c r="A353" t="s">
        <v>1679</v>
      </c>
      <c r="B353" t="s">
        <v>2103</v>
      </c>
      <c r="C353" t="s">
        <v>518</v>
      </c>
      <c r="D353" t="s">
        <v>763</v>
      </c>
      <c r="E353" t="s">
        <v>1</v>
      </c>
    </row>
    <row r="354" spans="1:5" x14ac:dyDescent="0.3">
      <c r="A354" t="s">
        <v>1435</v>
      </c>
      <c r="B354" t="s">
        <v>86</v>
      </c>
      <c r="C354" t="s">
        <v>2104</v>
      </c>
      <c r="D354" t="s">
        <v>751</v>
      </c>
      <c r="E354" t="s">
        <v>1</v>
      </c>
    </row>
    <row r="355" spans="1:5" x14ac:dyDescent="0.3">
      <c r="A355" t="s">
        <v>2106</v>
      </c>
      <c r="B355" t="s">
        <v>2108</v>
      </c>
      <c r="C355" t="s">
        <v>2107</v>
      </c>
      <c r="D355" t="s">
        <v>919</v>
      </c>
      <c r="E355" t="s">
        <v>1</v>
      </c>
    </row>
    <row r="356" spans="1:5" x14ac:dyDescent="0.3">
      <c r="A356" t="s">
        <v>259</v>
      </c>
      <c r="B356" t="s">
        <v>2110</v>
      </c>
      <c r="C356" t="s">
        <v>862</v>
      </c>
      <c r="D356" t="s">
        <v>919</v>
      </c>
      <c r="E356" t="s">
        <v>1</v>
      </c>
    </row>
    <row r="357" spans="1:5" x14ac:dyDescent="0.3">
      <c r="A357" t="s">
        <v>160</v>
      </c>
      <c r="B357" t="s">
        <v>2112</v>
      </c>
      <c r="C357" t="s">
        <v>862</v>
      </c>
      <c r="D357" t="s">
        <v>919</v>
      </c>
      <c r="E357" t="s">
        <v>1</v>
      </c>
    </row>
    <row r="358" spans="1:5" x14ac:dyDescent="0.3">
      <c r="A358" t="s">
        <v>2114</v>
      </c>
      <c r="B358" t="s">
        <v>2115</v>
      </c>
      <c r="C358" t="s">
        <v>862</v>
      </c>
      <c r="D358" t="s">
        <v>751</v>
      </c>
      <c r="E358" t="s">
        <v>1</v>
      </c>
    </row>
    <row r="359" spans="1:5" x14ac:dyDescent="0.3">
      <c r="A359" t="s">
        <v>116</v>
      </c>
      <c r="B359" t="s">
        <v>2117</v>
      </c>
      <c r="C359" t="s">
        <v>455</v>
      </c>
      <c r="D359" t="s">
        <v>763</v>
      </c>
      <c r="E359" t="s">
        <v>1</v>
      </c>
    </row>
    <row r="360" spans="1:5" x14ac:dyDescent="0.3">
      <c r="A360" t="s">
        <v>2118</v>
      </c>
      <c r="B360" t="s">
        <v>2119</v>
      </c>
      <c r="C360" t="s">
        <v>862</v>
      </c>
      <c r="D360" t="s">
        <v>1303</v>
      </c>
      <c r="E360" t="s">
        <v>761</v>
      </c>
    </row>
    <row r="361" spans="1:5" x14ac:dyDescent="0.3">
      <c r="A361" t="s">
        <v>2121</v>
      </c>
      <c r="B361" t="s">
        <v>2123</v>
      </c>
      <c r="C361" t="s">
        <v>2122</v>
      </c>
      <c r="D361" t="s">
        <v>2120</v>
      </c>
      <c r="E361" t="s">
        <v>774</v>
      </c>
    </row>
    <row r="362" spans="1:5" x14ac:dyDescent="0.3">
      <c r="A362" t="s">
        <v>153</v>
      </c>
      <c r="B362" t="s">
        <v>877</v>
      </c>
      <c r="C362" t="s">
        <v>2124</v>
      </c>
      <c r="D362" t="s">
        <v>751</v>
      </c>
      <c r="E362" t="s">
        <v>1</v>
      </c>
    </row>
    <row r="363" spans="1:5" x14ac:dyDescent="0.3">
      <c r="A363" t="s">
        <v>97</v>
      </c>
      <c r="B363" t="s">
        <v>2126</v>
      </c>
      <c r="C363" t="s">
        <v>2125</v>
      </c>
      <c r="D363" t="s">
        <v>769</v>
      </c>
      <c r="E363" t="s">
        <v>1</v>
      </c>
    </row>
    <row r="364" spans="1:5" x14ac:dyDescent="0.3">
      <c r="A364" t="s">
        <v>2128</v>
      </c>
      <c r="B364" t="s">
        <v>974</v>
      </c>
      <c r="C364" t="s">
        <v>2129</v>
      </c>
      <c r="D364" t="s">
        <v>2127</v>
      </c>
      <c r="E364" t="s">
        <v>774</v>
      </c>
    </row>
    <row r="365" spans="1:5" x14ac:dyDescent="0.3">
      <c r="A365" t="s">
        <v>1223</v>
      </c>
      <c r="B365" t="s">
        <v>2131</v>
      </c>
      <c r="C365" t="s">
        <v>2130</v>
      </c>
      <c r="D365" t="s">
        <v>763</v>
      </c>
      <c r="E365" t="s">
        <v>1</v>
      </c>
    </row>
    <row r="366" spans="1:5" x14ac:dyDescent="0.3">
      <c r="A366" t="s">
        <v>41</v>
      </c>
      <c r="B366" t="s">
        <v>2133</v>
      </c>
      <c r="C366" t="s">
        <v>2132</v>
      </c>
      <c r="D366" t="s">
        <v>919</v>
      </c>
      <c r="E366" t="s">
        <v>1</v>
      </c>
    </row>
    <row r="367" spans="1:5" x14ac:dyDescent="0.3">
      <c r="A367" t="s">
        <v>89</v>
      </c>
      <c r="B367" t="s">
        <v>2134</v>
      </c>
      <c r="C367" t="s">
        <v>518</v>
      </c>
      <c r="D367" t="s">
        <v>763</v>
      </c>
      <c r="E367" t="s">
        <v>1</v>
      </c>
    </row>
    <row r="368" spans="1:5" x14ac:dyDescent="0.3">
      <c r="A368" t="s">
        <v>2135</v>
      </c>
      <c r="B368" t="s">
        <v>2136</v>
      </c>
      <c r="C368" t="s">
        <v>862</v>
      </c>
      <c r="D368" t="s">
        <v>919</v>
      </c>
      <c r="E368" t="s">
        <v>1</v>
      </c>
    </row>
    <row r="369" spans="1:5" x14ac:dyDescent="0.3">
      <c r="A369" t="s">
        <v>2137</v>
      </c>
      <c r="B369" t="s">
        <v>1814</v>
      </c>
      <c r="C369" t="s">
        <v>862</v>
      </c>
      <c r="D369" t="s">
        <v>919</v>
      </c>
      <c r="E369" t="s">
        <v>1</v>
      </c>
    </row>
    <row r="370" spans="1:5" x14ac:dyDescent="0.3">
      <c r="A370" t="s">
        <v>2138</v>
      </c>
      <c r="B370" t="s">
        <v>2140</v>
      </c>
      <c r="C370" t="s">
        <v>2139</v>
      </c>
      <c r="D370" t="s">
        <v>787</v>
      </c>
      <c r="E370" t="s">
        <v>1</v>
      </c>
    </row>
    <row r="371" spans="1:5" x14ac:dyDescent="0.3">
      <c r="A371" t="s">
        <v>224</v>
      </c>
      <c r="B371" t="s">
        <v>2142</v>
      </c>
      <c r="C371" t="s">
        <v>2141</v>
      </c>
      <c r="D371" t="s">
        <v>1782</v>
      </c>
      <c r="E371" t="s">
        <v>774</v>
      </c>
    </row>
    <row r="372" spans="1:5" x14ac:dyDescent="0.3">
      <c r="A372" t="s">
        <v>2145</v>
      </c>
      <c r="B372" t="s">
        <v>2147</v>
      </c>
      <c r="C372" t="s">
        <v>2146</v>
      </c>
      <c r="D372" t="s">
        <v>919</v>
      </c>
      <c r="E372" t="s">
        <v>1</v>
      </c>
    </row>
    <row r="373" spans="1:5" x14ac:dyDescent="0.3">
      <c r="A373" t="s">
        <v>421</v>
      </c>
      <c r="B373" t="s">
        <v>2148</v>
      </c>
      <c r="C373" t="s">
        <v>862</v>
      </c>
      <c r="D373" t="s">
        <v>919</v>
      </c>
      <c r="E373" t="s">
        <v>1</v>
      </c>
    </row>
    <row r="374" spans="1:5" x14ac:dyDescent="0.3">
      <c r="A374" t="s">
        <v>1267</v>
      </c>
      <c r="B374" t="s">
        <v>2150</v>
      </c>
      <c r="C374" t="s">
        <v>2149</v>
      </c>
      <c r="D374" t="s">
        <v>763</v>
      </c>
      <c r="E374" t="s">
        <v>1</v>
      </c>
    </row>
    <row r="375" spans="1:5" x14ac:dyDescent="0.3">
      <c r="A375" t="s">
        <v>2152</v>
      </c>
      <c r="B375" t="s">
        <v>2153</v>
      </c>
      <c r="C375" t="s">
        <v>862</v>
      </c>
      <c r="D375" t="s">
        <v>2151</v>
      </c>
      <c r="E375" t="s">
        <v>774</v>
      </c>
    </row>
    <row r="376" spans="1:5" x14ac:dyDescent="0.3">
      <c r="A376" t="s">
        <v>1297</v>
      </c>
      <c r="B376" t="s">
        <v>294</v>
      </c>
      <c r="C376" t="s">
        <v>2155</v>
      </c>
      <c r="D376" t="s">
        <v>919</v>
      </c>
      <c r="E376" t="s">
        <v>1</v>
      </c>
    </row>
    <row r="377" spans="1:5" x14ac:dyDescent="0.3">
      <c r="A377" t="s">
        <v>2156</v>
      </c>
      <c r="B377" t="s">
        <v>2158</v>
      </c>
      <c r="C377" t="s">
        <v>2157</v>
      </c>
      <c r="D377" t="s">
        <v>763</v>
      </c>
      <c r="E377" t="s">
        <v>1</v>
      </c>
    </row>
    <row r="378" spans="1:5" x14ac:dyDescent="0.3">
      <c r="A378" t="s">
        <v>2162</v>
      </c>
      <c r="B378" t="s">
        <v>2163</v>
      </c>
      <c r="C378" t="s">
        <v>862</v>
      </c>
      <c r="D378" t="s">
        <v>919</v>
      </c>
      <c r="E378" t="s">
        <v>1</v>
      </c>
    </row>
    <row r="379" spans="1:5" x14ac:dyDescent="0.3">
      <c r="A379" t="s">
        <v>752</v>
      </c>
      <c r="B379" t="s">
        <v>2165</v>
      </c>
      <c r="C379" t="s">
        <v>2164</v>
      </c>
      <c r="D379" t="s">
        <v>919</v>
      </c>
      <c r="E379" t="s">
        <v>1</v>
      </c>
    </row>
    <row r="380" spans="1:5" x14ac:dyDescent="0.3">
      <c r="A380" t="s">
        <v>259</v>
      </c>
      <c r="B380" t="s">
        <v>2167</v>
      </c>
      <c r="C380" t="s">
        <v>2166</v>
      </c>
      <c r="D380" t="s">
        <v>919</v>
      </c>
      <c r="E380" t="s">
        <v>1</v>
      </c>
    </row>
    <row r="381" spans="1:5" x14ac:dyDescent="0.3">
      <c r="A381" t="s">
        <v>2168</v>
      </c>
      <c r="B381" t="s">
        <v>2170</v>
      </c>
      <c r="C381" t="s">
        <v>2169</v>
      </c>
      <c r="D381" t="s">
        <v>906</v>
      </c>
      <c r="E381" t="s">
        <v>1</v>
      </c>
    </row>
    <row r="382" spans="1:5" x14ac:dyDescent="0.3">
      <c r="A382" t="s">
        <v>2174</v>
      </c>
      <c r="B382" t="s">
        <v>1694</v>
      </c>
      <c r="C382" t="s">
        <v>862</v>
      </c>
      <c r="D382" t="s">
        <v>2173</v>
      </c>
      <c r="E382" t="s">
        <v>2175</v>
      </c>
    </row>
    <row r="383" spans="1:5" x14ac:dyDescent="0.3">
      <c r="A383" t="s">
        <v>1140</v>
      </c>
      <c r="B383" t="s">
        <v>2178</v>
      </c>
      <c r="C383" t="s">
        <v>2177</v>
      </c>
      <c r="D383" t="s">
        <v>919</v>
      </c>
      <c r="E383" t="s">
        <v>1</v>
      </c>
    </row>
    <row r="384" spans="1:5" x14ac:dyDescent="0.3">
      <c r="A384" t="s">
        <v>2180</v>
      </c>
      <c r="B384" t="s">
        <v>2182</v>
      </c>
      <c r="C384" t="s">
        <v>2181</v>
      </c>
      <c r="D384" t="s">
        <v>751</v>
      </c>
      <c r="E384" t="s">
        <v>1</v>
      </c>
    </row>
    <row r="385" spans="1:5" x14ac:dyDescent="0.3">
      <c r="A385" t="s">
        <v>411</v>
      </c>
      <c r="B385" t="s">
        <v>2183</v>
      </c>
      <c r="C385" t="s">
        <v>862</v>
      </c>
      <c r="D385" t="s">
        <v>919</v>
      </c>
      <c r="E385" t="s">
        <v>1</v>
      </c>
    </row>
    <row r="386" spans="1:5" x14ac:dyDescent="0.3">
      <c r="A386" t="s">
        <v>2184</v>
      </c>
      <c r="B386" t="s">
        <v>2185</v>
      </c>
      <c r="C386" t="s">
        <v>862</v>
      </c>
      <c r="D386" t="s">
        <v>763</v>
      </c>
      <c r="E386" t="s">
        <v>1</v>
      </c>
    </row>
    <row r="387" spans="1:5" x14ac:dyDescent="0.3">
      <c r="A387" t="s">
        <v>1793</v>
      </c>
      <c r="B387" t="s">
        <v>1535</v>
      </c>
      <c r="C387" t="s">
        <v>2186</v>
      </c>
      <c r="D387" t="s">
        <v>919</v>
      </c>
      <c r="E387" t="s">
        <v>1</v>
      </c>
    </row>
    <row r="388" spans="1:5" x14ac:dyDescent="0.3">
      <c r="A388" t="s">
        <v>2189</v>
      </c>
      <c r="B388" t="s">
        <v>2191</v>
      </c>
      <c r="C388" t="s">
        <v>2190</v>
      </c>
      <c r="D388" t="s">
        <v>919</v>
      </c>
      <c r="E388" t="s">
        <v>1</v>
      </c>
    </row>
    <row r="389" spans="1:5" x14ac:dyDescent="0.3">
      <c r="A389" t="s">
        <v>184</v>
      </c>
      <c r="B389" t="s">
        <v>2193</v>
      </c>
      <c r="C389" t="s">
        <v>2192</v>
      </c>
      <c r="D389" t="s">
        <v>751</v>
      </c>
      <c r="E389" t="s">
        <v>1</v>
      </c>
    </row>
    <row r="390" spans="1:5" x14ac:dyDescent="0.3">
      <c r="A390" t="s">
        <v>60</v>
      </c>
      <c r="B390" t="s">
        <v>2194</v>
      </c>
      <c r="C390" t="s">
        <v>862</v>
      </c>
      <c r="D390" t="s">
        <v>906</v>
      </c>
      <c r="E390" t="s">
        <v>1</v>
      </c>
    </row>
    <row r="391" spans="1:5" x14ac:dyDescent="0.3">
      <c r="A391" t="s">
        <v>1393</v>
      </c>
      <c r="B391" t="s">
        <v>426</v>
      </c>
      <c r="C391" t="s">
        <v>862</v>
      </c>
      <c r="D391" t="s">
        <v>2195</v>
      </c>
      <c r="E391" t="s">
        <v>774</v>
      </c>
    </row>
    <row r="392" spans="1:5" x14ac:dyDescent="0.3">
      <c r="A392" t="s">
        <v>1825</v>
      </c>
      <c r="B392" t="s">
        <v>2198</v>
      </c>
      <c r="C392" t="s">
        <v>2197</v>
      </c>
      <c r="D392" t="s">
        <v>2196</v>
      </c>
      <c r="E392" t="s">
        <v>774</v>
      </c>
    </row>
    <row r="393" spans="1:5" x14ac:dyDescent="0.3">
      <c r="A393" t="s">
        <v>2201</v>
      </c>
      <c r="B393" t="s">
        <v>210</v>
      </c>
      <c r="C393" t="s">
        <v>2202</v>
      </c>
      <c r="D393" t="s">
        <v>919</v>
      </c>
      <c r="E393" t="s">
        <v>1</v>
      </c>
    </row>
    <row r="394" spans="1:5" x14ac:dyDescent="0.3">
      <c r="A394" t="s">
        <v>14</v>
      </c>
      <c r="B394" t="s">
        <v>2204</v>
      </c>
      <c r="C394" t="s">
        <v>862</v>
      </c>
      <c r="D394" t="s">
        <v>2203</v>
      </c>
      <c r="E394" t="s">
        <v>774</v>
      </c>
    </row>
    <row r="395" spans="1:5" x14ac:dyDescent="0.3">
      <c r="A395" t="s">
        <v>2205</v>
      </c>
      <c r="B395" t="s">
        <v>2206</v>
      </c>
      <c r="C395" t="s">
        <v>862</v>
      </c>
      <c r="D395" t="s">
        <v>919</v>
      </c>
      <c r="E395" t="s">
        <v>1</v>
      </c>
    </row>
    <row r="396" spans="1:5" x14ac:dyDescent="0.3">
      <c r="A396" t="s">
        <v>2207</v>
      </c>
      <c r="B396" t="s">
        <v>1753</v>
      </c>
      <c r="C396" t="s">
        <v>518</v>
      </c>
      <c r="D396" t="s">
        <v>763</v>
      </c>
      <c r="E396" t="s">
        <v>1</v>
      </c>
    </row>
    <row r="397" spans="1:5" x14ac:dyDescent="0.3">
      <c r="A397" t="s">
        <v>2209</v>
      </c>
      <c r="B397" t="s">
        <v>1305</v>
      </c>
      <c r="C397" t="s">
        <v>2210</v>
      </c>
      <c r="D397" t="s">
        <v>751</v>
      </c>
      <c r="E397" t="s">
        <v>1</v>
      </c>
    </row>
    <row r="398" spans="1:5" x14ac:dyDescent="0.3">
      <c r="A398" t="s">
        <v>2211</v>
      </c>
      <c r="B398" t="s">
        <v>2213</v>
      </c>
      <c r="C398" t="s">
        <v>2212</v>
      </c>
      <c r="D398" t="s">
        <v>919</v>
      </c>
      <c r="E398" t="s">
        <v>1</v>
      </c>
    </row>
    <row r="399" spans="1:5" x14ac:dyDescent="0.3">
      <c r="A399" t="s">
        <v>2214</v>
      </c>
      <c r="B399" t="s">
        <v>2216</v>
      </c>
      <c r="C399" t="s">
        <v>2215</v>
      </c>
      <c r="D399" t="s">
        <v>919</v>
      </c>
      <c r="E399" t="s">
        <v>1</v>
      </c>
    </row>
    <row r="400" spans="1:5" x14ac:dyDescent="0.3">
      <c r="A400" t="s">
        <v>1017</v>
      </c>
      <c r="B400" t="s">
        <v>2218</v>
      </c>
      <c r="C400" t="s">
        <v>2217</v>
      </c>
      <c r="D400" t="s">
        <v>919</v>
      </c>
      <c r="E400" t="s">
        <v>1</v>
      </c>
    </row>
    <row r="401" spans="1:5" x14ac:dyDescent="0.3">
      <c r="A401" t="s">
        <v>2219</v>
      </c>
      <c r="B401" t="s">
        <v>2221</v>
      </c>
      <c r="C401" t="s">
        <v>2220</v>
      </c>
      <c r="D401" t="s">
        <v>751</v>
      </c>
      <c r="E401" t="s">
        <v>1</v>
      </c>
    </row>
    <row r="402" spans="1:5" x14ac:dyDescent="0.3">
      <c r="A402" t="s">
        <v>2222</v>
      </c>
      <c r="B402" t="s">
        <v>2223</v>
      </c>
      <c r="C402" t="s">
        <v>862</v>
      </c>
      <c r="D402" t="s">
        <v>919</v>
      </c>
      <c r="E402" t="s">
        <v>1</v>
      </c>
    </row>
    <row r="403" spans="1:5" x14ac:dyDescent="0.3">
      <c r="A403" t="s">
        <v>2225</v>
      </c>
      <c r="B403" t="s">
        <v>2226</v>
      </c>
      <c r="C403" t="s">
        <v>862</v>
      </c>
      <c r="D403" t="s">
        <v>968</v>
      </c>
      <c r="E403" t="s">
        <v>781</v>
      </c>
    </row>
    <row r="404" spans="1:5" x14ac:dyDescent="0.3">
      <c r="A404" t="s">
        <v>2229</v>
      </c>
      <c r="B404" t="s">
        <v>2231</v>
      </c>
      <c r="C404" t="s">
        <v>2230</v>
      </c>
      <c r="D404" t="s">
        <v>769</v>
      </c>
      <c r="E404" t="s">
        <v>1</v>
      </c>
    </row>
    <row r="405" spans="1:5" x14ac:dyDescent="0.3">
      <c r="A405" t="s">
        <v>2234</v>
      </c>
      <c r="B405" t="s">
        <v>1081</v>
      </c>
      <c r="C405" t="s">
        <v>862</v>
      </c>
      <c r="D405" t="s">
        <v>2233</v>
      </c>
      <c r="E405" t="s">
        <v>774</v>
      </c>
    </row>
    <row r="406" spans="1:5" x14ac:dyDescent="0.3">
      <c r="A406" t="s">
        <v>2235</v>
      </c>
      <c r="B406" t="s">
        <v>205</v>
      </c>
      <c r="C406" t="s">
        <v>995</v>
      </c>
      <c r="D406" t="s">
        <v>975</v>
      </c>
      <c r="E406" t="s">
        <v>741</v>
      </c>
    </row>
    <row r="407" spans="1:5" x14ac:dyDescent="0.3">
      <c r="A407" t="s">
        <v>185</v>
      </c>
      <c r="B407" t="s">
        <v>2238</v>
      </c>
      <c r="C407" t="s">
        <v>2237</v>
      </c>
      <c r="D407" t="s">
        <v>919</v>
      </c>
      <c r="E407" t="s">
        <v>1</v>
      </c>
    </row>
    <row r="408" spans="1:5" x14ac:dyDescent="0.3">
      <c r="A408" t="s">
        <v>2239</v>
      </c>
      <c r="B408" t="s">
        <v>1351</v>
      </c>
      <c r="C408" t="s">
        <v>862</v>
      </c>
      <c r="D408" t="s">
        <v>919</v>
      </c>
      <c r="E408" t="s">
        <v>1</v>
      </c>
    </row>
    <row r="409" spans="1:5" x14ac:dyDescent="0.3">
      <c r="A409" t="s">
        <v>22</v>
      </c>
      <c r="B409" t="s">
        <v>2241</v>
      </c>
      <c r="C409" t="s">
        <v>2240</v>
      </c>
      <c r="D409" t="s">
        <v>895</v>
      </c>
      <c r="E409" t="s">
        <v>897</v>
      </c>
    </row>
    <row r="410" spans="1:5" x14ac:dyDescent="0.3">
      <c r="A410" t="s">
        <v>2242</v>
      </c>
      <c r="B410" t="s">
        <v>2243</v>
      </c>
      <c r="C410" t="s">
        <v>518</v>
      </c>
      <c r="D410" t="s">
        <v>919</v>
      </c>
      <c r="E410" t="s">
        <v>1</v>
      </c>
    </row>
    <row r="411" spans="1:5" x14ac:dyDescent="0.3">
      <c r="A411" t="s">
        <v>1077</v>
      </c>
      <c r="B411" t="s">
        <v>171</v>
      </c>
      <c r="C411" t="s">
        <v>862</v>
      </c>
      <c r="D411" t="s">
        <v>919</v>
      </c>
      <c r="E411" t="s">
        <v>1</v>
      </c>
    </row>
    <row r="412" spans="1:5" x14ac:dyDescent="0.3">
      <c r="A412" t="s">
        <v>2245</v>
      </c>
      <c r="B412" t="s">
        <v>2247</v>
      </c>
      <c r="C412" t="s">
        <v>2246</v>
      </c>
      <c r="D412" t="s">
        <v>2244</v>
      </c>
      <c r="E412" t="s">
        <v>774</v>
      </c>
    </row>
    <row r="413" spans="1:5" x14ac:dyDescent="0.3">
      <c r="A413" t="s">
        <v>2248</v>
      </c>
      <c r="B413" t="s">
        <v>2249</v>
      </c>
      <c r="C413" t="s">
        <v>862</v>
      </c>
      <c r="D413" t="s">
        <v>763</v>
      </c>
      <c r="E413" t="s">
        <v>1</v>
      </c>
    </row>
    <row r="414" spans="1:5" x14ac:dyDescent="0.3">
      <c r="A414" t="s">
        <v>195</v>
      </c>
      <c r="B414" t="s">
        <v>2251</v>
      </c>
      <c r="C414" t="s">
        <v>2250</v>
      </c>
      <c r="D414" t="s">
        <v>919</v>
      </c>
      <c r="E414" t="s">
        <v>1</v>
      </c>
    </row>
    <row r="415" spans="1:5" x14ac:dyDescent="0.3">
      <c r="A415" t="s">
        <v>938</v>
      </c>
      <c r="B415" t="s">
        <v>2253</v>
      </c>
      <c r="C415" t="s">
        <v>2252</v>
      </c>
      <c r="D415" t="s">
        <v>1367</v>
      </c>
      <c r="E415" t="s">
        <v>774</v>
      </c>
    </row>
    <row r="416" spans="1:5" x14ac:dyDescent="0.3">
      <c r="A416" t="s">
        <v>2255</v>
      </c>
      <c r="B416" t="s">
        <v>2256</v>
      </c>
      <c r="C416" t="s">
        <v>862</v>
      </c>
      <c r="D416" t="s">
        <v>2254</v>
      </c>
      <c r="E416" t="s">
        <v>774</v>
      </c>
    </row>
    <row r="417" spans="1:5" x14ac:dyDescent="0.3">
      <c r="A417" t="s">
        <v>2257</v>
      </c>
      <c r="B417" t="s">
        <v>2258</v>
      </c>
      <c r="C417" t="s">
        <v>862</v>
      </c>
      <c r="D417" t="s">
        <v>1942</v>
      </c>
      <c r="E417" t="s">
        <v>774</v>
      </c>
    </row>
    <row r="418" spans="1:5" x14ac:dyDescent="0.3">
      <c r="A418" t="s">
        <v>2259</v>
      </c>
      <c r="B418" t="s">
        <v>2261</v>
      </c>
      <c r="C418" t="s">
        <v>2260</v>
      </c>
      <c r="D418" t="s">
        <v>906</v>
      </c>
      <c r="E418" t="s">
        <v>1</v>
      </c>
    </row>
    <row r="419" spans="1:5" x14ac:dyDescent="0.3">
      <c r="A419" t="s">
        <v>2262</v>
      </c>
      <c r="B419" t="s">
        <v>2263</v>
      </c>
      <c r="C419" t="s">
        <v>518</v>
      </c>
      <c r="D419" t="s">
        <v>1942</v>
      </c>
      <c r="E419" t="s">
        <v>774</v>
      </c>
    </row>
    <row r="420" spans="1:5" x14ac:dyDescent="0.3">
      <c r="A420" t="s">
        <v>2265</v>
      </c>
      <c r="B420" t="s">
        <v>2267</v>
      </c>
      <c r="C420" t="s">
        <v>2266</v>
      </c>
      <c r="D420" t="s">
        <v>763</v>
      </c>
      <c r="E420" t="s">
        <v>1</v>
      </c>
    </row>
    <row r="421" spans="1:5" x14ac:dyDescent="0.3">
      <c r="A421" t="s">
        <v>2268</v>
      </c>
      <c r="B421" t="s">
        <v>2270</v>
      </c>
      <c r="C421" t="s">
        <v>2269</v>
      </c>
      <c r="D421" t="s">
        <v>906</v>
      </c>
      <c r="E421" t="s">
        <v>1</v>
      </c>
    </row>
    <row r="422" spans="1:5" x14ac:dyDescent="0.3">
      <c r="A422" t="s">
        <v>900</v>
      </c>
      <c r="B422" t="s">
        <v>2272</v>
      </c>
      <c r="C422" t="s">
        <v>2271</v>
      </c>
      <c r="D422" t="s">
        <v>751</v>
      </c>
      <c r="E422" t="s">
        <v>1</v>
      </c>
    </row>
    <row r="423" spans="1:5" x14ac:dyDescent="0.3">
      <c r="A423" t="s">
        <v>41</v>
      </c>
      <c r="B423" t="s">
        <v>2275</v>
      </c>
      <c r="C423" t="s">
        <v>2274</v>
      </c>
      <c r="D423" t="s">
        <v>763</v>
      </c>
      <c r="E423" t="s">
        <v>1</v>
      </c>
    </row>
    <row r="424" spans="1:5" x14ac:dyDescent="0.3">
      <c r="A424" t="s">
        <v>2281</v>
      </c>
      <c r="B424" t="s">
        <v>2283</v>
      </c>
      <c r="C424" t="s">
        <v>2282</v>
      </c>
      <c r="D424" t="s">
        <v>751</v>
      </c>
      <c r="E424" t="s">
        <v>1</v>
      </c>
    </row>
    <row r="425" spans="1:5" x14ac:dyDescent="0.3">
      <c r="A425" t="s">
        <v>2285</v>
      </c>
      <c r="B425" t="s">
        <v>2286</v>
      </c>
      <c r="C425" t="s">
        <v>862</v>
      </c>
      <c r="D425" t="s">
        <v>751</v>
      </c>
      <c r="E425" t="s">
        <v>1</v>
      </c>
    </row>
    <row r="426" spans="1:5" x14ac:dyDescent="0.3">
      <c r="A426" t="s">
        <v>190</v>
      </c>
      <c r="B426" t="s">
        <v>2288</v>
      </c>
      <c r="C426" t="s">
        <v>2287</v>
      </c>
      <c r="D426" t="s">
        <v>919</v>
      </c>
      <c r="E426" t="s">
        <v>1</v>
      </c>
    </row>
    <row r="427" spans="1:5" x14ac:dyDescent="0.3">
      <c r="A427" t="s">
        <v>44</v>
      </c>
      <c r="B427" t="s">
        <v>2290</v>
      </c>
      <c r="C427" t="s">
        <v>2289</v>
      </c>
      <c r="D427" t="s">
        <v>919</v>
      </c>
      <c r="E427" t="s">
        <v>1</v>
      </c>
    </row>
    <row r="428" spans="1:5" x14ac:dyDescent="0.3">
      <c r="A428" t="s">
        <v>2291</v>
      </c>
      <c r="B428" t="s">
        <v>2293</v>
      </c>
      <c r="C428" t="s">
        <v>2292</v>
      </c>
      <c r="D428" t="s">
        <v>919</v>
      </c>
      <c r="E428" t="s">
        <v>1</v>
      </c>
    </row>
    <row r="429" spans="1:5" x14ac:dyDescent="0.3">
      <c r="A429" t="s">
        <v>2294</v>
      </c>
      <c r="B429" t="s">
        <v>2295</v>
      </c>
      <c r="C429" t="s">
        <v>862</v>
      </c>
      <c r="D429" t="s">
        <v>919</v>
      </c>
      <c r="E429" t="s">
        <v>1</v>
      </c>
    </row>
    <row r="430" spans="1:5" x14ac:dyDescent="0.3">
      <c r="A430" t="s">
        <v>2296</v>
      </c>
      <c r="B430" t="s">
        <v>2297</v>
      </c>
      <c r="C430" t="s">
        <v>862</v>
      </c>
      <c r="D430" t="s">
        <v>919</v>
      </c>
      <c r="E430" t="s">
        <v>1</v>
      </c>
    </row>
    <row r="431" spans="1:5" x14ac:dyDescent="0.3">
      <c r="A431" t="s">
        <v>2298</v>
      </c>
      <c r="B431" t="s">
        <v>2300</v>
      </c>
      <c r="C431" t="s">
        <v>2299</v>
      </c>
      <c r="D431" t="s">
        <v>919</v>
      </c>
      <c r="E431" t="s">
        <v>1</v>
      </c>
    </row>
    <row r="432" spans="1:5" x14ac:dyDescent="0.3">
      <c r="A432" t="s">
        <v>2301</v>
      </c>
      <c r="B432" t="s">
        <v>2303</v>
      </c>
      <c r="C432" t="s">
        <v>2302</v>
      </c>
      <c r="D432" t="s">
        <v>763</v>
      </c>
      <c r="E432" t="s">
        <v>1</v>
      </c>
    </row>
    <row r="433" spans="1:5" x14ac:dyDescent="0.3">
      <c r="A433" t="s">
        <v>1330</v>
      </c>
      <c r="B433" t="s">
        <v>2307</v>
      </c>
      <c r="C433" t="s">
        <v>2306</v>
      </c>
      <c r="D433" t="s">
        <v>2305</v>
      </c>
      <c r="E433" t="s">
        <v>774</v>
      </c>
    </row>
    <row r="434" spans="1:5" x14ac:dyDescent="0.3">
      <c r="A434" t="s">
        <v>2309</v>
      </c>
      <c r="B434" t="s">
        <v>2311</v>
      </c>
      <c r="C434" t="s">
        <v>2310</v>
      </c>
      <c r="D434" t="s">
        <v>768</v>
      </c>
      <c r="E434" t="s">
        <v>1</v>
      </c>
    </row>
    <row r="435" spans="1:5" x14ac:dyDescent="0.3">
      <c r="A435" t="s">
        <v>2314</v>
      </c>
      <c r="B435" t="s">
        <v>2316</v>
      </c>
      <c r="C435" t="s">
        <v>2315</v>
      </c>
      <c r="D435" t="s">
        <v>2313</v>
      </c>
      <c r="E435" t="s">
        <v>741</v>
      </c>
    </row>
    <row r="436" spans="1:5" x14ac:dyDescent="0.3">
      <c r="A436" t="s">
        <v>224</v>
      </c>
      <c r="B436" t="s">
        <v>2317</v>
      </c>
      <c r="C436" t="s">
        <v>862</v>
      </c>
      <c r="D436" t="s">
        <v>919</v>
      </c>
      <c r="E436" t="s">
        <v>1</v>
      </c>
    </row>
    <row r="437" spans="1:5" x14ac:dyDescent="0.3">
      <c r="A437" t="s">
        <v>2071</v>
      </c>
      <c r="B437" t="s">
        <v>2319</v>
      </c>
      <c r="C437" t="s">
        <v>2318</v>
      </c>
      <c r="D437" t="s">
        <v>751</v>
      </c>
      <c r="E437" t="s">
        <v>1</v>
      </c>
    </row>
    <row r="438" spans="1:5" x14ac:dyDescent="0.3">
      <c r="A438" t="s">
        <v>2320</v>
      </c>
      <c r="B438" t="s">
        <v>2322</v>
      </c>
      <c r="C438" t="s">
        <v>2321</v>
      </c>
      <c r="D438" t="s">
        <v>919</v>
      </c>
      <c r="E438" t="s">
        <v>1</v>
      </c>
    </row>
    <row r="439" spans="1:5" x14ac:dyDescent="0.3">
      <c r="A439" t="s">
        <v>109</v>
      </c>
      <c r="B439" t="s">
        <v>1814</v>
      </c>
      <c r="C439" t="s">
        <v>2323</v>
      </c>
      <c r="D439" t="s">
        <v>751</v>
      </c>
      <c r="E439" t="s">
        <v>1</v>
      </c>
    </row>
    <row r="440" spans="1:5" x14ac:dyDescent="0.3">
      <c r="A440" t="s">
        <v>14</v>
      </c>
      <c r="B440" t="s">
        <v>2325</v>
      </c>
      <c r="C440" t="s">
        <v>2324</v>
      </c>
      <c r="D440" t="s">
        <v>763</v>
      </c>
      <c r="E440" t="s">
        <v>1</v>
      </c>
    </row>
    <row r="441" spans="1:5" x14ac:dyDescent="0.3">
      <c r="A441" t="s">
        <v>50</v>
      </c>
      <c r="B441" t="s">
        <v>2329</v>
      </c>
      <c r="C441" t="s">
        <v>2328</v>
      </c>
      <c r="D441" t="s">
        <v>919</v>
      </c>
      <c r="E441" t="s">
        <v>1</v>
      </c>
    </row>
    <row r="442" spans="1:5" x14ac:dyDescent="0.3">
      <c r="A442" t="s">
        <v>220</v>
      </c>
      <c r="B442" t="s">
        <v>2331</v>
      </c>
      <c r="C442" t="s">
        <v>862</v>
      </c>
      <c r="D442" t="s">
        <v>919</v>
      </c>
      <c r="E442" t="s">
        <v>1</v>
      </c>
    </row>
    <row r="443" spans="1:5" x14ac:dyDescent="0.3">
      <c r="A443" t="s">
        <v>2337</v>
      </c>
      <c r="B443" t="s">
        <v>2338</v>
      </c>
      <c r="C443" t="s">
        <v>862</v>
      </c>
      <c r="D443" t="s">
        <v>1716</v>
      </c>
      <c r="E443" t="s">
        <v>741</v>
      </c>
    </row>
    <row r="444" spans="1:5" x14ac:dyDescent="0.3">
      <c r="A444" t="s">
        <v>1172</v>
      </c>
      <c r="B444" t="s">
        <v>240</v>
      </c>
      <c r="C444" t="s">
        <v>2339</v>
      </c>
      <c r="D444" t="s">
        <v>919</v>
      </c>
      <c r="E444" t="s">
        <v>1</v>
      </c>
    </row>
    <row r="445" spans="1:5" x14ac:dyDescent="0.3">
      <c r="A445" t="s">
        <v>64</v>
      </c>
      <c r="B445" t="s">
        <v>179</v>
      </c>
      <c r="C445" t="s">
        <v>455</v>
      </c>
      <c r="D445" t="s">
        <v>951</v>
      </c>
      <c r="E445" t="s">
        <v>1</v>
      </c>
    </row>
    <row r="446" spans="1:5" x14ac:dyDescent="0.3">
      <c r="A446" t="s">
        <v>77</v>
      </c>
      <c r="B446" t="s">
        <v>2341</v>
      </c>
      <c r="C446" t="s">
        <v>2271</v>
      </c>
      <c r="D446" t="s">
        <v>919</v>
      </c>
      <c r="E446" t="s">
        <v>1</v>
      </c>
    </row>
    <row r="447" spans="1:5" x14ac:dyDescent="0.3">
      <c r="A447" t="s">
        <v>2344</v>
      </c>
      <c r="B447" t="s">
        <v>2345</v>
      </c>
      <c r="C447" t="s">
        <v>862</v>
      </c>
      <c r="D447" t="s">
        <v>919</v>
      </c>
      <c r="E447" t="s">
        <v>1</v>
      </c>
    </row>
    <row r="448" spans="1:5" x14ac:dyDescent="0.3">
      <c r="A448" t="s">
        <v>2346</v>
      </c>
      <c r="B448" t="s">
        <v>2347</v>
      </c>
      <c r="C448" t="s">
        <v>862</v>
      </c>
      <c r="D448" t="s">
        <v>906</v>
      </c>
      <c r="E448" t="s">
        <v>1</v>
      </c>
    </row>
    <row r="449" spans="1:5" x14ac:dyDescent="0.3">
      <c r="A449" t="s">
        <v>150</v>
      </c>
      <c r="B449" t="s">
        <v>2355</v>
      </c>
      <c r="C449" t="s">
        <v>862</v>
      </c>
      <c r="D449" t="s">
        <v>751</v>
      </c>
      <c r="E449" t="s">
        <v>1</v>
      </c>
    </row>
    <row r="450" spans="1:5" x14ac:dyDescent="0.3">
      <c r="A450" t="s">
        <v>2113</v>
      </c>
      <c r="B450" t="s">
        <v>2357</v>
      </c>
      <c r="C450" t="s">
        <v>2356</v>
      </c>
      <c r="D450" t="s">
        <v>1682</v>
      </c>
      <c r="E450" t="s">
        <v>841</v>
      </c>
    </row>
    <row r="451" spans="1:5" x14ac:dyDescent="0.3">
      <c r="A451" t="s">
        <v>2358</v>
      </c>
      <c r="B451" t="s">
        <v>2359</v>
      </c>
      <c r="C451" t="s">
        <v>862</v>
      </c>
      <c r="D451" t="s">
        <v>769</v>
      </c>
      <c r="E451" t="s">
        <v>1</v>
      </c>
    </row>
    <row r="452" spans="1:5" x14ac:dyDescent="0.3">
      <c r="A452" t="s">
        <v>1696</v>
      </c>
      <c r="B452" t="s">
        <v>985</v>
      </c>
      <c r="C452" t="s">
        <v>2360</v>
      </c>
      <c r="D452" t="s">
        <v>1500</v>
      </c>
      <c r="E452" t="s">
        <v>741</v>
      </c>
    </row>
    <row r="453" spans="1:5" x14ac:dyDescent="0.3">
      <c r="A453" t="s">
        <v>752</v>
      </c>
      <c r="B453" t="s">
        <v>350</v>
      </c>
      <c r="C453" t="s">
        <v>2361</v>
      </c>
      <c r="D453" t="s">
        <v>1303</v>
      </c>
      <c r="E453" t="s">
        <v>761</v>
      </c>
    </row>
    <row r="454" spans="1:5" x14ac:dyDescent="0.3">
      <c r="A454" t="s">
        <v>1221</v>
      </c>
      <c r="B454" t="s">
        <v>2362</v>
      </c>
      <c r="C454" t="s">
        <v>518</v>
      </c>
      <c r="D454" t="s">
        <v>919</v>
      </c>
      <c r="E454" t="s">
        <v>1</v>
      </c>
    </row>
    <row r="455" spans="1:5" x14ac:dyDescent="0.3">
      <c r="A455" t="s">
        <v>2365</v>
      </c>
      <c r="B455" t="s">
        <v>2366</v>
      </c>
      <c r="C455" t="s">
        <v>862</v>
      </c>
      <c r="D455" t="s">
        <v>751</v>
      </c>
      <c r="E455" t="s">
        <v>1</v>
      </c>
    </row>
    <row r="456" spans="1:5" x14ac:dyDescent="0.3">
      <c r="A456" t="s">
        <v>2370</v>
      </c>
      <c r="B456" t="s">
        <v>2372</v>
      </c>
      <c r="C456" t="s">
        <v>2371</v>
      </c>
      <c r="D456" t="s">
        <v>763</v>
      </c>
      <c r="E456" t="s">
        <v>1</v>
      </c>
    </row>
    <row r="457" spans="1:5" x14ac:dyDescent="0.3">
      <c r="A457" t="s">
        <v>35</v>
      </c>
      <c r="B457" t="s">
        <v>2376</v>
      </c>
      <c r="C457" t="s">
        <v>862</v>
      </c>
      <c r="D457" t="s">
        <v>2375</v>
      </c>
      <c r="E457" t="s">
        <v>774</v>
      </c>
    </row>
    <row r="458" spans="1:5" x14ac:dyDescent="0.3">
      <c r="A458" t="s">
        <v>2378</v>
      </c>
      <c r="B458" t="s">
        <v>2380</v>
      </c>
      <c r="C458" t="s">
        <v>2379</v>
      </c>
      <c r="D458" t="s">
        <v>763</v>
      </c>
      <c r="E458" t="s">
        <v>1</v>
      </c>
    </row>
    <row r="459" spans="1:5" x14ac:dyDescent="0.3">
      <c r="A459" t="s">
        <v>331</v>
      </c>
      <c r="B459" t="s">
        <v>2386</v>
      </c>
      <c r="C459" t="s">
        <v>1640</v>
      </c>
      <c r="D459" t="s">
        <v>2385</v>
      </c>
      <c r="E459" t="s">
        <v>774</v>
      </c>
    </row>
    <row r="460" spans="1:5" x14ac:dyDescent="0.3">
      <c r="A460" t="s">
        <v>1494</v>
      </c>
      <c r="B460" t="s">
        <v>2387</v>
      </c>
      <c r="C460" t="s">
        <v>1926</v>
      </c>
      <c r="D460" t="s">
        <v>975</v>
      </c>
      <c r="E460" t="s">
        <v>741</v>
      </c>
    </row>
    <row r="461" spans="1:5" x14ac:dyDescent="0.3">
      <c r="A461" t="s">
        <v>2391</v>
      </c>
      <c r="B461" t="s">
        <v>2392</v>
      </c>
      <c r="C461" t="s">
        <v>862</v>
      </c>
      <c r="D461" t="s">
        <v>751</v>
      </c>
      <c r="E461" t="s">
        <v>1</v>
      </c>
    </row>
    <row r="462" spans="1:5" x14ac:dyDescent="0.3">
      <c r="A462" t="s">
        <v>229</v>
      </c>
      <c r="B462" t="s">
        <v>2397</v>
      </c>
      <c r="C462" t="s">
        <v>2396</v>
      </c>
      <c r="D462" t="s">
        <v>2395</v>
      </c>
      <c r="E462" t="s">
        <v>774</v>
      </c>
    </row>
    <row r="463" spans="1:5" x14ac:dyDescent="0.3">
      <c r="A463" t="s">
        <v>387</v>
      </c>
      <c r="B463" t="s">
        <v>2400</v>
      </c>
      <c r="C463" t="s">
        <v>2399</v>
      </c>
      <c r="D463" t="s">
        <v>910</v>
      </c>
      <c r="E463" t="s">
        <v>1</v>
      </c>
    </row>
    <row r="464" spans="1:5" x14ac:dyDescent="0.3">
      <c r="A464" t="s">
        <v>224</v>
      </c>
      <c r="B464" t="s">
        <v>2402</v>
      </c>
      <c r="C464" t="s">
        <v>862</v>
      </c>
      <c r="D464" t="s">
        <v>982</v>
      </c>
      <c r="E464" t="s">
        <v>1</v>
      </c>
    </row>
    <row r="465" spans="1:5" x14ac:dyDescent="0.3">
      <c r="A465" t="s">
        <v>2403</v>
      </c>
      <c r="B465" t="s">
        <v>2405</v>
      </c>
      <c r="C465" t="s">
        <v>2404</v>
      </c>
      <c r="D465" t="s">
        <v>982</v>
      </c>
      <c r="E465" t="s">
        <v>1</v>
      </c>
    </row>
    <row r="466" spans="1:5" x14ac:dyDescent="0.3">
      <c r="A466" t="s">
        <v>224</v>
      </c>
      <c r="B466" t="s">
        <v>2411</v>
      </c>
      <c r="C466" t="s">
        <v>2410</v>
      </c>
      <c r="D466" t="s">
        <v>981</v>
      </c>
      <c r="E466" t="s">
        <v>761</v>
      </c>
    </row>
    <row r="467" spans="1:5" x14ac:dyDescent="0.3">
      <c r="A467" t="s">
        <v>1278</v>
      </c>
      <c r="B467" t="s">
        <v>1025</v>
      </c>
      <c r="C467" t="s">
        <v>2414</v>
      </c>
      <c r="D467" t="s">
        <v>2413</v>
      </c>
      <c r="E467" t="s">
        <v>897</v>
      </c>
    </row>
    <row r="468" spans="1:5" x14ac:dyDescent="0.3">
      <c r="A468" t="s">
        <v>2415</v>
      </c>
      <c r="B468" t="s">
        <v>2417</v>
      </c>
      <c r="C468" t="s">
        <v>2416</v>
      </c>
      <c r="D468" t="s">
        <v>982</v>
      </c>
      <c r="E468" t="s">
        <v>1</v>
      </c>
    </row>
    <row r="469" spans="1:5" x14ac:dyDescent="0.3">
      <c r="A469" t="s">
        <v>224</v>
      </c>
      <c r="B469" t="s">
        <v>2421</v>
      </c>
      <c r="C469" t="s">
        <v>2420</v>
      </c>
      <c r="D469" t="s">
        <v>787</v>
      </c>
      <c r="E469" t="s">
        <v>1</v>
      </c>
    </row>
    <row r="470" spans="1:5" x14ac:dyDescent="0.3">
      <c r="A470" t="s">
        <v>195</v>
      </c>
      <c r="B470" t="s">
        <v>2422</v>
      </c>
      <c r="C470" t="s">
        <v>862</v>
      </c>
      <c r="D470" t="s">
        <v>982</v>
      </c>
      <c r="E470" t="s">
        <v>1</v>
      </c>
    </row>
    <row r="471" spans="1:5" x14ac:dyDescent="0.3">
      <c r="A471" t="s">
        <v>2424</v>
      </c>
      <c r="B471" t="s">
        <v>2426</v>
      </c>
      <c r="C471" t="s">
        <v>2425</v>
      </c>
      <c r="D471" t="s">
        <v>908</v>
      </c>
      <c r="E471" t="s">
        <v>1</v>
      </c>
    </row>
    <row r="472" spans="1:5" x14ac:dyDescent="0.3">
      <c r="A472" t="s">
        <v>190</v>
      </c>
      <c r="B472" t="s">
        <v>2430</v>
      </c>
      <c r="C472" t="s">
        <v>862</v>
      </c>
      <c r="D472" t="s">
        <v>968</v>
      </c>
      <c r="E472" t="s">
        <v>781</v>
      </c>
    </row>
    <row r="473" spans="1:5" x14ac:dyDescent="0.3">
      <c r="A473" t="s">
        <v>864</v>
      </c>
      <c r="B473" t="s">
        <v>221</v>
      </c>
      <c r="C473" t="s">
        <v>862</v>
      </c>
      <c r="D473" t="s">
        <v>763</v>
      </c>
      <c r="E473" t="s">
        <v>1</v>
      </c>
    </row>
    <row r="474" spans="1:5" x14ac:dyDescent="0.3">
      <c r="A474" t="s">
        <v>2438</v>
      </c>
      <c r="B474" t="s">
        <v>2440</v>
      </c>
      <c r="C474" t="s">
        <v>2439</v>
      </c>
      <c r="D474" t="s">
        <v>975</v>
      </c>
      <c r="E474" t="s">
        <v>741</v>
      </c>
    </row>
    <row r="475" spans="1:5" x14ac:dyDescent="0.3">
      <c r="A475" t="s">
        <v>2441</v>
      </c>
      <c r="B475" t="s">
        <v>2442</v>
      </c>
      <c r="C475" t="s">
        <v>862</v>
      </c>
      <c r="D475" t="s">
        <v>751</v>
      </c>
      <c r="E475" t="s">
        <v>1</v>
      </c>
    </row>
    <row r="476" spans="1:5" x14ac:dyDescent="0.3">
      <c r="A476" t="s">
        <v>2443</v>
      </c>
      <c r="B476" t="s">
        <v>1331</v>
      </c>
      <c r="C476" t="s">
        <v>862</v>
      </c>
      <c r="D476" t="s">
        <v>906</v>
      </c>
      <c r="E476" t="s">
        <v>1</v>
      </c>
    </row>
    <row r="477" spans="1:5" x14ac:dyDescent="0.3">
      <c r="A477" t="s">
        <v>2446</v>
      </c>
      <c r="B477" t="s">
        <v>2448</v>
      </c>
      <c r="C477" t="s">
        <v>2447</v>
      </c>
      <c r="D477" t="s">
        <v>771</v>
      </c>
      <c r="E477" t="s">
        <v>743</v>
      </c>
    </row>
    <row r="478" spans="1:5" x14ac:dyDescent="0.3">
      <c r="A478" t="s">
        <v>123</v>
      </c>
      <c r="B478" t="s">
        <v>1453</v>
      </c>
      <c r="C478" t="s">
        <v>2449</v>
      </c>
      <c r="D478" t="s">
        <v>2049</v>
      </c>
      <c r="E478" t="s">
        <v>841</v>
      </c>
    </row>
    <row r="479" spans="1:5" x14ac:dyDescent="0.3">
      <c r="A479" t="s">
        <v>2450</v>
      </c>
      <c r="B479" t="s">
        <v>2452</v>
      </c>
      <c r="C479" t="s">
        <v>2451</v>
      </c>
      <c r="D479" t="s">
        <v>739</v>
      </c>
      <c r="E479" t="s">
        <v>741</v>
      </c>
    </row>
    <row r="480" spans="1:5" x14ac:dyDescent="0.3">
      <c r="A480" t="s">
        <v>331</v>
      </c>
      <c r="B480" t="s">
        <v>2455</v>
      </c>
      <c r="C480" t="s">
        <v>2454</v>
      </c>
      <c r="D480" t="s">
        <v>2453</v>
      </c>
      <c r="E480" t="s">
        <v>774</v>
      </c>
    </row>
    <row r="481" spans="1:5" x14ac:dyDescent="0.3">
      <c r="A481" t="s">
        <v>2462</v>
      </c>
      <c r="B481" t="s">
        <v>2464</v>
      </c>
      <c r="C481" t="s">
        <v>2463</v>
      </c>
      <c r="D481" t="s">
        <v>1526</v>
      </c>
      <c r="E481" t="s">
        <v>75</v>
      </c>
    </row>
    <row r="482" spans="1:5" x14ac:dyDescent="0.3">
      <c r="A482" t="s">
        <v>2437</v>
      </c>
      <c r="B482" t="s">
        <v>2465</v>
      </c>
      <c r="C482" t="s">
        <v>862</v>
      </c>
      <c r="D482" t="s">
        <v>975</v>
      </c>
      <c r="E482" t="s">
        <v>741</v>
      </c>
    </row>
    <row r="483" spans="1:5" x14ac:dyDescent="0.3">
      <c r="A483" t="s">
        <v>851</v>
      </c>
      <c r="B483" t="s">
        <v>2467</v>
      </c>
      <c r="C483" t="s">
        <v>2466</v>
      </c>
      <c r="D483" t="s">
        <v>754</v>
      </c>
      <c r="E483" t="s">
        <v>741</v>
      </c>
    </row>
    <row r="484" spans="1:5" x14ac:dyDescent="0.3">
      <c r="A484" t="s">
        <v>56</v>
      </c>
      <c r="B484" t="s">
        <v>779</v>
      </c>
      <c r="C484" t="s">
        <v>2469</v>
      </c>
      <c r="D484" t="s">
        <v>769</v>
      </c>
      <c r="E484" t="s">
        <v>1</v>
      </c>
    </row>
    <row r="485" spans="1:5" x14ac:dyDescent="0.3">
      <c r="A485" t="s">
        <v>224</v>
      </c>
      <c r="B485" t="s">
        <v>2471</v>
      </c>
      <c r="C485" t="s">
        <v>2470</v>
      </c>
      <c r="D485" t="s">
        <v>910</v>
      </c>
      <c r="E485" t="s">
        <v>1</v>
      </c>
    </row>
    <row r="486" spans="1:5" x14ac:dyDescent="0.3">
      <c r="A486" t="s">
        <v>220</v>
      </c>
      <c r="B486" t="s">
        <v>1262</v>
      </c>
      <c r="C486" t="s">
        <v>862</v>
      </c>
      <c r="D486" t="s">
        <v>751</v>
      </c>
      <c r="E486" t="s">
        <v>1</v>
      </c>
    </row>
    <row r="487" spans="1:5" x14ac:dyDescent="0.3">
      <c r="A487" t="s">
        <v>2474</v>
      </c>
      <c r="B487" t="s">
        <v>1049</v>
      </c>
      <c r="C487" t="s">
        <v>862</v>
      </c>
      <c r="D487" t="s">
        <v>919</v>
      </c>
      <c r="E487" t="s">
        <v>1</v>
      </c>
    </row>
    <row r="488" spans="1:5" x14ac:dyDescent="0.3">
      <c r="A488" t="s">
        <v>2475</v>
      </c>
      <c r="B488" t="s">
        <v>1824</v>
      </c>
      <c r="C488" t="s">
        <v>862</v>
      </c>
      <c r="D488" t="s">
        <v>906</v>
      </c>
      <c r="E488" t="s">
        <v>1</v>
      </c>
    </row>
    <row r="489" spans="1:5" x14ac:dyDescent="0.3">
      <c r="A489" t="s">
        <v>1062</v>
      </c>
      <c r="B489" t="s">
        <v>2476</v>
      </c>
      <c r="C489" t="s">
        <v>862</v>
      </c>
      <c r="D489" t="s">
        <v>919</v>
      </c>
      <c r="E489" t="s">
        <v>1</v>
      </c>
    </row>
    <row r="490" spans="1:5" x14ac:dyDescent="0.3">
      <c r="A490" t="s">
        <v>1220</v>
      </c>
      <c r="B490" t="s">
        <v>2480</v>
      </c>
      <c r="C490" t="s">
        <v>1755</v>
      </c>
      <c r="D490" t="s">
        <v>763</v>
      </c>
      <c r="E490" t="s">
        <v>1</v>
      </c>
    </row>
    <row r="491" spans="1:5" x14ac:dyDescent="0.3">
      <c r="A491" t="s">
        <v>2048</v>
      </c>
      <c r="B491" t="s">
        <v>2484</v>
      </c>
      <c r="C491" t="s">
        <v>862</v>
      </c>
      <c r="D491" t="s">
        <v>787</v>
      </c>
      <c r="E491" t="s">
        <v>1</v>
      </c>
    </row>
    <row r="492" spans="1:5" x14ac:dyDescent="0.3">
      <c r="A492" t="s">
        <v>2489</v>
      </c>
      <c r="B492" t="s">
        <v>2490</v>
      </c>
      <c r="C492" t="s">
        <v>862</v>
      </c>
      <c r="D492" t="s">
        <v>2488</v>
      </c>
      <c r="E492" t="s">
        <v>75</v>
      </c>
    </row>
    <row r="493" spans="1:5" x14ac:dyDescent="0.3">
      <c r="A493" t="s">
        <v>2491</v>
      </c>
      <c r="B493" t="s">
        <v>2493</v>
      </c>
      <c r="C493" t="s">
        <v>2492</v>
      </c>
      <c r="D493" t="s">
        <v>739</v>
      </c>
      <c r="E493" t="s">
        <v>741</v>
      </c>
    </row>
    <row r="494" spans="1:5" x14ac:dyDescent="0.3">
      <c r="A494" t="s">
        <v>2495</v>
      </c>
      <c r="B494" t="s">
        <v>54</v>
      </c>
      <c r="C494" t="s">
        <v>862</v>
      </c>
      <c r="D494" t="s">
        <v>906</v>
      </c>
      <c r="E494" t="s">
        <v>1</v>
      </c>
    </row>
    <row r="495" spans="1:5" x14ac:dyDescent="0.3">
      <c r="A495" t="s">
        <v>2496</v>
      </c>
      <c r="B495" t="s">
        <v>2497</v>
      </c>
      <c r="C495" t="s">
        <v>1755</v>
      </c>
      <c r="D495" t="s">
        <v>763</v>
      </c>
      <c r="E495" t="s">
        <v>1</v>
      </c>
    </row>
    <row r="496" spans="1:5" x14ac:dyDescent="0.3">
      <c r="A496" t="s">
        <v>112</v>
      </c>
      <c r="B496" t="s">
        <v>2500</v>
      </c>
      <c r="C496" t="s">
        <v>862</v>
      </c>
      <c r="D496" t="s">
        <v>982</v>
      </c>
      <c r="E496" t="s">
        <v>1</v>
      </c>
    </row>
    <row r="497" spans="1:5" x14ac:dyDescent="0.3">
      <c r="A497" t="s">
        <v>2504</v>
      </c>
      <c r="B497" t="s">
        <v>2505</v>
      </c>
      <c r="C497" t="s">
        <v>862</v>
      </c>
      <c r="D497" t="s">
        <v>2503</v>
      </c>
      <c r="E497" t="s">
        <v>781</v>
      </c>
    </row>
    <row r="498" spans="1:5" x14ac:dyDescent="0.3">
      <c r="A498" t="s">
        <v>224</v>
      </c>
      <c r="B498" t="s">
        <v>2509</v>
      </c>
      <c r="C498" t="s">
        <v>862</v>
      </c>
      <c r="D498" t="s">
        <v>883</v>
      </c>
      <c r="E498" t="s">
        <v>1</v>
      </c>
    </row>
    <row r="499" spans="1:5" x14ac:dyDescent="0.3">
      <c r="A499" t="s">
        <v>2514</v>
      </c>
      <c r="B499" t="s">
        <v>2515</v>
      </c>
      <c r="C499" t="s">
        <v>862</v>
      </c>
      <c r="D499" t="s">
        <v>763</v>
      </c>
      <c r="E499" t="s">
        <v>1</v>
      </c>
    </row>
    <row r="500" spans="1:5" x14ac:dyDescent="0.3">
      <c r="A500" t="s">
        <v>2187</v>
      </c>
      <c r="B500" t="s">
        <v>2518</v>
      </c>
      <c r="C500" t="s">
        <v>2517</v>
      </c>
      <c r="D500" t="s">
        <v>910</v>
      </c>
      <c r="E500" t="s">
        <v>1</v>
      </c>
    </row>
    <row r="501" spans="1:5" x14ac:dyDescent="0.3">
      <c r="A501" t="s">
        <v>2520</v>
      </c>
      <c r="B501" t="s">
        <v>2522</v>
      </c>
      <c r="C501" t="s">
        <v>2521</v>
      </c>
      <c r="D501" t="s">
        <v>1967</v>
      </c>
      <c r="E501" t="s">
        <v>741</v>
      </c>
    </row>
    <row r="502" spans="1:5" x14ac:dyDescent="0.3">
      <c r="A502" t="s">
        <v>50</v>
      </c>
      <c r="B502" t="s">
        <v>2523</v>
      </c>
      <c r="C502" t="s">
        <v>862</v>
      </c>
      <c r="D502" t="s">
        <v>751</v>
      </c>
      <c r="E502" t="s">
        <v>1</v>
      </c>
    </row>
    <row r="503" spans="1:5" x14ac:dyDescent="0.3">
      <c r="A503" t="s">
        <v>2525</v>
      </c>
      <c r="B503" t="s">
        <v>1517</v>
      </c>
      <c r="C503" t="s">
        <v>862</v>
      </c>
      <c r="D503" t="s">
        <v>919</v>
      </c>
      <c r="E503" t="s">
        <v>1</v>
      </c>
    </row>
    <row r="504" spans="1:5" x14ac:dyDescent="0.3">
      <c r="A504" t="s">
        <v>157</v>
      </c>
      <c r="B504" t="s">
        <v>2529</v>
      </c>
      <c r="C504" t="s">
        <v>2528</v>
      </c>
      <c r="D504" t="s">
        <v>769</v>
      </c>
      <c r="E504" t="s">
        <v>1</v>
      </c>
    </row>
    <row r="505" spans="1:5" x14ac:dyDescent="0.3">
      <c r="A505" t="s">
        <v>421</v>
      </c>
      <c r="B505" t="s">
        <v>2532</v>
      </c>
      <c r="C505" t="s">
        <v>2531</v>
      </c>
      <c r="D505" t="s">
        <v>2530</v>
      </c>
      <c r="E505" t="s">
        <v>774</v>
      </c>
    </row>
    <row r="506" spans="1:5" x14ac:dyDescent="0.3">
      <c r="A506" t="s">
        <v>2412</v>
      </c>
      <c r="B506" t="s">
        <v>2533</v>
      </c>
      <c r="C506" t="s">
        <v>862</v>
      </c>
      <c r="D506" t="s">
        <v>769</v>
      </c>
      <c r="E506" t="s">
        <v>1</v>
      </c>
    </row>
    <row r="507" spans="1:5" x14ac:dyDescent="0.3">
      <c r="A507" t="s">
        <v>1393</v>
      </c>
      <c r="B507" t="s">
        <v>2536</v>
      </c>
      <c r="C507" t="s">
        <v>2535</v>
      </c>
      <c r="D507" t="s">
        <v>754</v>
      </c>
      <c r="E507" t="s">
        <v>741</v>
      </c>
    </row>
    <row r="508" spans="1:5" x14ac:dyDescent="0.3">
      <c r="A508" t="s">
        <v>184</v>
      </c>
      <c r="B508" t="s">
        <v>2538</v>
      </c>
      <c r="C508" t="s">
        <v>2537</v>
      </c>
      <c r="D508" t="s">
        <v>883</v>
      </c>
      <c r="E508" t="s">
        <v>1</v>
      </c>
    </row>
    <row r="509" spans="1:5" x14ac:dyDescent="0.3">
      <c r="A509" t="s">
        <v>2539</v>
      </c>
      <c r="B509" t="s">
        <v>2540</v>
      </c>
      <c r="C509" t="s">
        <v>862</v>
      </c>
      <c r="D509" t="s">
        <v>919</v>
      </c>
      <c r="E509" t="s">
        <v>1</v>
      </c>
    </row>
    <row r="510" spans="1:5" x14ac:dyDescent="0.3">
      <c r="A510" t="s">
        <v>195</v>
      </c>
      <c r="B510" t="s">
        <v>2551</v>
      </c>
      <c r="C510" t="s">
        <v>2550</v>
      </c>
      <c r="D510" t="s">
        <v>1183</v>
      </c>
      <c r="E510" t="s">
        <v>1</v>
      </c>
    </row>
    <row r="511" spans="1:5" x14ac:dyDescent="0.3">
      <c r="A511" t="s">
        <v>2552</v>
      </c>
      <c r="B511" t="s">
        <v>2045</v>
      </c>
      <c r="C511" t="s">
        <v>862</v>
      </c>
      <c r="D511" t="s">
        <v>919</v>
      </c>
      <c r="E511" t="s">
        <v>1</v>
      </c>
    </row>
    <row r="512" spans="1:5" x14ac:dyDescent="0.3">
      <c r="A512" t="s">
        <v>2553</v>
      </c>
      <c r="B512" t="s">
        <v>2554</v>
      </c>
      <c r="C512" t="s">
        <v>862</v>
      </c>
      <c r="D512" t="s">
        <v>883</v>
      </c>
      <c r="E512" t="s">
        <v>1</v>
      </c>
    </row>
    <row r="513" spans="1:5" x14ac:dyDescent="0.3">
      <c r="A513" t="s">
        <v>224</v>
      </c>
      <c r="B513" t="s">
        <v>2555</v>
      </c>
      <c r="C513" t="s">
        <v>862</v>
      </c>
      <c r="D513" t="s">
        <v>919</v>
      </c>
      <c r="E513" t="s">
        <v>1</v>
      </c>
    </row>
    <row r="514" spans="1:5" x14ac:dyDescent="0.3">
      <c r="A514" t="s">
        <v>1688</v>
      </c>
      <c r="B514" t="s">
        <v>1141</v>
      </c>
      <c r="C514" t="s">
        <v>2556</v>
      </c>
      <c r="D514" t="s">
        <v>747</v>
      </c>
      <c r="E514" t="s">
        <v>1</v>
      </c>
    </row>
    <row r="515" spans="1:5" x14ac:dyDescent="0.3">
      <c r="A515" t="s">
        <v>2557</v>
      </c>
      <c r="B515" t="s">
        <v>2558</v>
      </c>
      <c r="C515" t="s">
        <v>862</v>
      </c>
      <c r="D515" t="s">
        <v>968</v>
      </c>
      <c r="E515" t="s">
        <v>781</v>
      </c>
    </row>
    <row r="516" spans="1:5" x14ac:dyDescent="0.3">
      <c r="A516" t="s">
        <v>2560</v>
      </c>
      <c r="B516" t="s">
        <v>1363</v>
      </c>
      <c r="C516" t="s">
        <v>862</v>
      </c>
      <c r="D516" t="s">
        <v>883</v>
      </c>
      <c r="E516" t="s">
        <v>1</v>
      </c>
    </row>
    <row r="517" spans="1:5" x14ac:dyDescent="0.3">
      <c r="A517" t="s">
        <v>2563</v>
      </c>
      <c r="B517" t="s">
        <v>2564</v>
      </c>
      <c r="C517" t="s">
        <v>862</v>
      </c>
      <c r="D517" t="s">
        <v>763</v>
      </c>
      <c r="E517" t="s">
        <v>1</v>
      </c>
    </row>
    <row r="518" spans="1:5" x14ac:dyDescent="0.3">
      <c r="A518" t="s">
        <v>428</v>
      </c>
      <c r="B518" t="s">
        <v>1945</v>
      </c>
      <c r="C518" t="s">
        <v>862</v>
      </c>
      <c r="D518" t="s">
        <v>763</v>
      </c>
      <c r="E518" t="s">
        <v>1</v>
      </c>
    </row>
    <row r="519" spans="1:5" x14ac:dyDescent="0.3">
      <c r="A519" t="s">
        <v>2565</v>
      </c>
      <c r="B519" t="s">
        <v>197</v>
      </c>
      <c r="C519" t="s">
        <v>862</v>
      </c>
      <c r="D519" t="s">
        <v>1104</v>
      </c>
      <c r="E519" t="s">
        <v>781</v>
      </c>
    </row>
    <row r="520" spans="1:5" x14ac:dyDescent="0.3">
      <c r="A520" t="s">
        <v>1325</v>
      </c>
      <c r="B520" t="s">
        <v>2572</v>
      </c>
      <c r="C520" t="s">
        <v>2571</v>
      </c>
      <c r="D520" t="s">
        <v>982</v>
      </c>
      <c r="E520" t="s">
        <v>1</v>
      </c>
    </row>
    <row r="521" spans="1:5" x14ac:dyDescent="0.3">
      <c r="A521" t="s">
        <v>190</v>
      </c>
      <c r="B521" t="s">
        <v>2576</v>
      </c>
      <c r="C521" t="s">
        <v>2575</v>
      </c>
      <c r="D521" t="s">
        <v>739</v>
      </c>
      <c r="E521" t="s">
        <v>741</v>
      </c>
    </row>
    <row r="522" spans="1:5" x14ac:dyDescent="0.3">
      <c r="A522" t="s">
        <v>100</v>
      </c>
      <c r="B522" t="s">
        <v>2578</v>
      </c>
      <c r="C522" t="s">
        <v>862</v>
      </c>
      <c r="D522" t="s">
        <v>919</v>
      </c>
      <c r="E522" t="s">
        <v>1</v>
      </c>
    </row>
    <row r="523" spans="1:5" x14ac:dyDescent="0.3">
      <c r="A523" t="s">
        <v>1659</v>
      </c>
      <c r="B523" t="s">
        <v>1298</v>
      </c>
      <c r="C523" t="s">
        <v>862</v>
      </c>
      <c r="D523" t="s">
        <v>751</v>
      </c>
      <c r="E523" t="s">
        <v>1</v>
      </c>
    </row>
    <row r="524" spans="1:5" x14ac:dyDescent="0.3">
      <c r="A524" t="s">
        <v>808</v>
      </c>
      <c r="B524" t="s">
        <v>2580</v>
      </c>
      <c r="C524" t="s">
        <v>862</v>
      </c>
      <c r="D524" t="s">
        <v>754</v>
      </c>
      <c r="E524" t="s">
        <v>741</v>
      </c>
    </row>
    <row r="525" spans="1:5" x14ac:dyDescent="0.3">
      <c r="A525" t="s">
        <v>206</v>
      </c>
      <c r="B525" t="s">
        <v>2583</v>
      </c>
      <c r="C525" t="s">
        <v>862</v>
      </c>
      <c r="D525" t="s">
        <v>919</v>
      </c>
      <c r="E525" t="s">
        <v>1</v>
      </c>
    </row>
    <row r="526" spans="1:5" x14ac:dyDescent="0.3">
      <c r="A526" t="s">
        <v>2585</v>
      </c>
      <c r="B526" t="s">
        <v>2586</v>
      </c>
      <c r="C526" t="s">
        <v>862</v>
      </c>
      <c r="D526" t="s">
        <v>747</v>
      </c>
      <c r="E526" t="s">
        <v>1</v>
      </c>
    </row>
    <row r="527" spans="1:5" x14ac:dyDescent="0.3">
      <c r="A527" t="s">
        <v>1330</v>
      </c>
      <c r="B527" t="s">
        <v>2588</v>
      </c>
      <c r="C527" t="s">
        <v>2587</v>
      </c>
      <c r="D527" t="s">
        <v>769</v>
      </c>
      <c r="E527" t="s">
        <v>1</v>
      </c>
    </row>
    <row r="528" spans="1:5" x14ac:dyDescent="0.3">
      <c r="A528" t="s">
        <v>2590</v>
      </c>
      <c r="B528" t="s">
        <v>199</v>
      </c>
      <c r="C528" t="s">
        <v>862</v>
      </c>
      <c r="D528" t="s">
        <v>2171</v>
      </c>
      <c r="E528" t="s">
        <v>741</v>
      </c>
    </row>
    <row r="529" spans="1:5" x14ac:dyDescent="0.3">
      <c r="A529" t="s">
        <v>177</v>
      </c>
      <c r="B529" t="s">
        <v>2593</v>
      </c>
      <c r="C529" t="s">
        <v>862</v>
      </c>
      <c r="D529" t="s">
        <v>883</v>
      </c>
      <c r="E529" t="s">
        <v>1</v>
      </c>
    </row>
    <row r="530" spans="1:5" x14ac:dyDescent="0.3">
      <c r="A530" t="s">
        <v>89</v>
      </c>
      <c r="B530" t="s">
        <v>2595</v>
      </c>
      <c r="C530" t="s">
        <v>2594</v>
      </c>
      <c r="D530" t="s">
        <v>968</v>
      </c>
      <c r="E530" t="s">
        <v>781</v>
      </c>
    </row>
    <row r="531" spans="1:5" x14ac:dyDescent="0.3">
      <c r="A531" t="s">
        <v>2596</v>
      </c>
      <c r="B531" t="s">
        <v>2597</v>
      </c>
      <c r="C531" t="s">
        <v>862</v>
      </c>
      <c r="D531" t="s">
        <v>769</v>
      </c>
      <c r="E531" t="s">
        <v>1</v>
      </c>
    </row>
    <row r="532" spans="1:5" x14ac:dyDescent="0.3">
      <c r="A532" t="s">
        <v>2598</v>
      </c>
      <c r="B532" t="s">
        <v>56</v>
      </c>
      <c r="C532" t="s">
        <v>862</v>
      </c>
      <c r="D532" t="s">
        <v>751</v>
      </c>
      <c r="E532" t="s">
        <v>1</v>
      </c>
    </row>
    <row r="533" spans="1:5" x14ac:dyDescent="0.3">
      <c r="A533" t="s">
        <v>2600</v>
      </c>
      <c r="B533" t="s">
        <v>2601</v>
      </c>
      <c r="C533" t="s">
        <v>862</v>
      </c>
      <c r="D533" t="s">
        <v>763</v>
      </c>
      <c r="E533" t="s">
        <v>1</v>
      </c>
    </row>
    <row r="534" spans="1:5" x14ac:dyDescent="0.3">
      <c r="A534" t="s">
        <v>2604</v>
      </c>
      <c r="B534" t="s">
        <v>2605</v>
      </c>
      <c r="C534" t="s">
        <v>862</v>
      </c>
      <c r="D534" t="s">
        <v>1246</v>
      </c>
      <c r="E534" t="s">
        <v>1</v>
      </c>
    </row>
    <row r="535" spans="1:5" x14ac:dyDescent="0.3">
      <c r="A535" t="s">
        <v>2606</v>
      </c>
      <c r="B535" t="s">
        <v>362</v>
      </c>
      <c r="C535" t="s">
        <v>862</v>
      </c>
      <c r="D535" t="s">
        <v>763</v>
      </c>
      <c r="E535" t="s">
        <v>1</v>
      </c>
    </row>
    <row r="536" spans="1:5" x14ac:dyDescent="0.3">
      <c r="A536" t="s">
        <v>2608</v>
      </c>
      <c r="B536" t="s">
        <v>2610</v>
      </c>
      <c r="C536" t="s">
        <v>2609</v>
      </c>
      <c r="D536" t="s">
        <v>769</v>
      </c>
      <c r="E536" t="s">
        <v>1</v>
      </c>
    </row>
    <row r="537" spans="1:5" x14ac:dyDescent="0.3">
      <c r="A537" t="s">
        <v>823</v>
      </c>
      <c r="B537" t="s">
        <v>2613</v>
      </c>
      <c r="C537" t="s">
        <v>2612</v>
      </c>
      <c r="D537" t="s">
        <v>1408</v>
      </c>
      <c r="E537" t="s">
        <v>1</v>
      </c>
    </row>
    <row r="538" spans="1:5" x14ac:dyDescent="0.3">
      <c r="A538" t="s">
        <v>27</v>
      </c>
      <c r="B538" t="s">
        <v>371</v>
      </c>
      <c r="C538" t="s">
        <v>862</v>
      </c>
      <c r="D538" t="s">
        <v>2616</v>
      </c>
      <c r="E538" t="s">
        <v>75</v>
      </c>
    </row>
    <row r="539" spans="1:5" x14ac:dyDescent="0.3">
      <c r="A539" t="s">
        <v>2143</v>
      </c>
      <c r="B539" t="s">
        <v>2623</v>
      </c>
      <c r="C539" t="s">
        <v>2622</v>
      </c>
      <c r="D539" t="s">
        <v>2352</v>
      </c>
      <c r="E539" t="s">
        <v>781</v>
      </c>
    </row>
    <row r="540" spans="1:5" x14ac:dyDescent="0.3">
      <c r="A540" t="s">
        <v>2625</v>
      </c>
      <c r="B540" t="s">
        <v>2626</v>
      </c>
      <c r="C540" t="s">
        <v>862</v>
      </c>
      <c r="D540" t="s">
        <v>769</v>
      </c>
      <c r="E540" t="s">
        <v>1</v>
      </c>
    </row>
    <row r="541" spans="1:5" x14ac:dyDescent="0.3">
      <c r="A541" t="s">
        <v>798</v>
      </c>
      <c r="B541" t="s">
        <v>1432</v>
      </c>
      <c r="C541" t="s">
        <v>862</v>
      </c>
      <c r="D541" t="s">
        <v>763</v>
      </c>
      <c r="E541" t="s">
        <v>1</v>
      </c>
    </row>
    <row r="542" spans="1:5" x14ac:dyDescent="0.3">
      <c r="A542" t="s">
        <v>1869</v>
      </c>
      <c r="B542" t="s">
        <v>2630</v>
      </c>
      <c r="C542" t="s">
        <v>2629</v>
      </c>
      <c r="D542" t="s">
        <v>751</v>
      </c>
      <c r="E542" t="s">
        <v>1</v>
      </c>
    </row>
    <row r="543" spans="1:5" x14ac:dyDescent="0.3">
      <c r="A543" t="s">
        <v>1081</v>
      </c>
      <c r="B543" t="s">
        <v>2634</v>
      </c>
      <c r="C543" t="s">
        <v>862</v>
      </c>
      <c r="D543" t="s">
        <v>895</v>
      </c>
      <c r="E543" t="s">
        <v>897</v>
      </c>
    </row>
    <row r="544" spans="1:5" x14ac:dyDescent="0.3">
      <c r="A544" t="s">
        <v>2635</v>
      </c>
      <c r="B544" t="s">
        <v>1432</v>
      </c>
      <c r="C544" t="s">
        <v>518</v>
      </c>
      <c r="D544" t="s">
        <v>1676</v>
      </c>
      <c r="E544" t="s">
        <v>18</v>
      </c>
    </row>
    <row r="545" spans="1:5" x14ac:dyDescent="0.3">
      <c r="A545" t="s">
        <v>259</v>
      </c>
      <c r="B545" t="s">
        <v>2637</v>
      </c>
      <c r="C545" t="s">
        <v>2636</v>
      </c>
      <c r="D545" t="s">
        <v>739</v>
      </c>
      <c r="E545" t="s">
        <v>741</v>
      </c>
    </row>
    <row r="546" spans="1:5" x14ac:dyDescent="0.3">
      <c r="A546" t="s">
        <v>1595</v>
      </c>
      <c r="B546" t="s">
        <v>2643</v>
      </c>
      <c r="C546" t="s">
        <v>862</v>
      </c>
      <c r="D546" t="s">
        <v>769</v>
      </c>
      <c r="E546" t="s">
        <v>1</v>
      </c>
    </row>
    <row r="547" spans="1:5" x14ac:dyDescent="0.3">
      <c r="A547" t="s">
        <v>2646</v>
      </c>
      <c r="B547" t="s">
        <v>2647</v>
      </c>
      <c r="C547" t="s">
        <v>862</v>
      </c>
      <c r="D547" t="s">
        <v>769</v>
      </c>
      <c r="E547" t="s">
        <v>1</v>
      </c>
    </row>
    <row r="548" spans="1:5" x14ac:dyDescent="0.3">
      <c r="A548" t="s">
        <v>2649</v>
      </c>
      <c r="B548" t="s">
        <v>2650</v>
      </c>
      <c r="C548" t="s">
        <v>862</v>
      </c>
      <c r="D548" t="s">
        <v>919</v>
      </c>
      <c r="E548" t="s">
        <v>1</v>
      </c>
    </row>
    <row r="549" spans="1:5" x14ac:dyDescent="0.3">
      <c r="A549" t="s">
        <v>45</v>
      </c>
      <c r="B549" t="s">
        <v>433</v>
      </c>
      <c r="C549" t="s">
        <v>862</v>
      </c>
      <c r="D549" t="s">
        <v>769</v>
      </c>
      <c r="E549" t="s">
        <v>1</v>
      </c>
    </row>
    <row r="550" spans="1:5" x14ac:dyDescent="0.3">
      <c r="A550" t="s">
        <v>884</v>
      </c>
      <c r="B550" t="s">
        <v>45</v>
      </c>
      <c r="C550" t="s">
        <v>862</v>
      </c>
      <c r="D550" t="s">
        <v>751</v>
      </c>
      <c r="E550" t="s">
        <v>1</v>
      </c>
    </row>
    <row r="551" spans="1:5" x14ac:dyDescent="0.3">
      <c r="A551" t="s">
        <v>2651</v>
      </c>
      <c r="B551" t="s">
        <v>2652</v>
      </c>
      <c r="C551" t="s">
        <v>862</v>
      </c>
      <c r="D551" t="s">
        <v>751</v>
      </c>
      <c r="E551" t="s">
        <v>1</v>
      </c>
    </row>
    <row r="552" spans="1:5" x14ac:dyDescent="0.3">
      <c r="A552" t="s">
        <v>1088</v>
      </c>
      <c r="B552" t="s">
        <v>46</v>
      </c>
      <c r="C552" t="s">
        <v>862</v>
      </c>
      <c r="D552" t="s">
        <v>895</v>
      </c>
      <c r="E552" t="s">
        <v>897</v>
      </c>
    </row>
    <row r="553" spans="1:5" x14ac:dyDescent="0.3">
      <c r="A553" t="s">
        <v>2655</v>
      </c>
      <c r="B553" t="s">
        <v>2657</v>
      </c>
      <c r="C553" t="s">
        <v>2656</v>
      </c>
      <c r="D553" t="s">
        <v>751</v>
      </c>
      <c r="E553" t="s">
        <v>1</v>
      </c>
    </row>
    <row r="554" spans="1:5" x14ac:dyDescent="0.3">
      <c r="A554" t="s">
        <v>2659</v>
      </c>
      <c r="B554" t="s">
        <v>2660</v>
      </c>
      <c r="C554" t="s">
        <v>862</v>
      </c>
      <c r="D554" t="s">
        <v>747</v>
      </c>
      <c r="E554" t="s">
        <v>1</v>
      </c>
    </row>
    <row r="555" spans="1:5" x14ac:dyDescent="0.3">
      <c r="A555" t="s">
        <v>1220</v>
      </c>
      <c r="B555" t="s">
        <v>2661</v>
      </c>
      <c r="C555" t="s">
        <v>862</v>
      </c>
      <c r="D555" t="s">
        <v>1246</v>
      </c>
      <c r="E555" t="s">
        <v>1</v>
      </c>
    </row>
    <row r="556" spans="1:5" x14ac:dyDescent="0.3">
      <c r="A556" t="s">
        <v>41</v>
      </c>
      <c r="B556" t="s">
        <v>2664</v>
      </c>
      <c r="C556" t="s">
        <v>862</v>
      </c>
      <c r="D556" t="s">
        <v>2663</v>
      </c>
      <c r="E556" t="s">
        <v>774</v>
      </c>
    </row>
    <row r="557" spans="1:5" x14ac:dyDescent="0.3">
      <c r="A557" t="s">
        <v>1267</v>
      </c>
      <c r="B557" t="s">
        <v>2667</v>
      </c>
      <c r="C557" t="s">
        <v>862</v>
      </c>
      <c r="D557" t="s">
        <v>751</v>
      </c>
      <c r="E557" t="s">
        <v>1</v>
      </c>
    </row>
    <row r="558" spans="1:5" x14ac:dyDescent="0.3">
      <c r="A558" t="s">
        <v>2671</v>
      </c>
      <c r="B558" t="s">
        <v>2673</v>
      </c>
      <c r="C558" t="s">
        <v>2672</v>
      </c>
      <c r="D558" t="s">
        <v>951</v>
      </c>
      <c r="E558" t="s">
        <v>1</v>
      </c>
    </row>
    <row r="559" spans="1:5" x14ac:dyDescent="0.3">
      <c r="A559" t="s">
        <v>2674</v>
      </c>
      <c r="B559" t="s">
        <v>2675</v>
      </c>
      <c r="C559" t="s">
        <v>862</v>
      </c>
      <c r="D559" t="s">
        <v>751</v>
      </c>
      <c r="E559" t="s">
        <v>1</v>
      </c>
    </row>
    <row r="560" spans="1:5" x14ac:dyDescent="0.3">
      <c r="A560" t="s">
        <v>2676</v>
      </c>
      <c r="B560" t="s">
        <v>2678</v>
      </c>
      <c r="C560" t="s">
        <v>2677</v>
      </c>
      <c r="D560" t="s">
        <v>883</v>
      </c>
      <c r="E560" t="s">
        <v>1</v>
      </c>
    </row>
    <row r="561" spans="1:5" x14ac:dyDescent="0.3">
      <c r="A561" t="s">
        <v>2681</v>
      </c>
      <c r="B561" t="s">
        <v>2683</v>
      </c>
      <c r="C561" t="s">
        <v>2682</v>
      </c>
      <c r="D561" t="s">
        <v>895</v>
      </c>
      <c r="E561" t="s">
        <v>897</v>
      </c>
    </row>
    <row r="562" spans="1:5" x14ac:dyDescent="0.3">
      <c r="A562" t="s">
        <v>131</v>
      </c>
      <c r="B562" t="s">
        <v>2688</v>
      </c>
      <c r="C562" t="s">
        <v>2687</v>
      </c>
      <c r="D562" t="s">
        <v>751</v>
      </c>
      <c r="E562" t="s">
        <v>1</v>
      </c>
    </row>
    <row r="563" spans="1:5" x14ac:dyDescent="0.3">
      <c r="A563" t="s">
        <v>167</v>
      </c>
      <c r="B563" t="s">
        <v>2691</v>
      </c>
      <c r="C563" t="s">
        <v>2690</v>
      </c>
      <c r="D563" t="s">
        <v>919</v>
      </c>
      <c r="E563" t="s">
        <v>1</v>
      </c>
    </row>
    <row r="564" spans="1:5" x14ac:dyDescent="0.3">
      <c r="A564" t="s">
        <v>2692</v>
      </c>
      <c r="B564" t="s">
        <v>2693</v>
      </c>
      <c r="C564" t="s">
        <v>862</v>
      </c>
      <c r="D564" t="s">
        <v>919</v>
      </c>
      <c r="E564" t="s">
        <v>1</v>
      </c>
    </row>
    <row r="565" spans="1:5" x14ac:dyDescent="0.3">
      <c r="A565" t="s">
        <v>2327</v>
      </c>
      <c r="B565" t="s">
        <v>2694</v>
      </c>
      <c r="C565" t="s">
        <v>862</v>
      </c>
      <c r="D565" t="s">
        <v>869</v>
      </c>
      <c r="E565" t="s">
        <v>781</v>
      </c>
    </row>
    <row r="566" spans="1:5" x14ac:dyDescent="0.3">
      <c r="A566" t="s">
        <v>1869</v>
      </c>
      <c r="B566" t="s">
        <v>2698</v>
      </c>
      <c r="C566" t="s">
        <v>862</v>
      </c>
      <c r="D566" t="s">
        <v>919</v>
      </c>
      <c r="E566" t="s">
        <v>1</v>
      </c>
    </row>
    <row r="567" spans="1:5" x14ac:dyDescent="0.3">
      <c r="A567" t="s">
        <v>1212</v>
      </c>
      <c r="B567" t="s">
        <v>2700</v>
      </c>
      <c r="C567" t="s">
        <v>2699</v>
      </c>
      <c r="D567" t="s">
        <v>751</v>
      </c>
      <c r="E567" t="s">
        <v>1</v>
      </c>
    </row>
    <row r="568" spans="1:5" x14ac:dyDescent="0.3">
      <c r="A568" t="s">
        <v>30</v>
      </c>
      <c r="B568" t="s">
        <v>2705</v>
      </c>
      <c r="C568" t="s">
        <v>2704</v>
      </c>
      <c r="D568" t="s">
        <v>2703</v>
      </c>
      <c r="E568" t="s">
        <v>774</v>
      </c>
    </row>
    <row r="569" spans="1:5" x14ac:dyDescent="0.3">
      <c r="A569" t="s">
        <v>1792</v>
      </c>
      <c r="B569" t="s">
        <v>1058</v>
      </c>
      <c r="C569" t="s">
        <v>862</v>
      </c>
      <c r="D569" t="s">
        <v>2706</v>
      </c>
      <c r="E569" t="s">
        <v>774</v>
      </c>
    </row>
    <row r="570" spans="1:5" x14ac:dyDescent="0.3">
      <c r="A570" t="s">
        <v>177</v>
      </c>
      <c r="B570" t="s">
        <v>2707</v>
      </c>
      <c r="C570" t="s">
        <v>862</v>
      </c>
      <c r="D570" t="s">
        <v>1080</v>
      </c>
      <c r="E570" t="s">
        <v>1</v>
      </c>
    </row>
    <row r="571" spans="1:5" x14ac:dyDescent="0.3">
      <c r="A571" t="s">
        <v>1146</v>
      </c>
      <c r="B571" t="s">
        <v>2710</v>
      </c>
      <c r="C571" t="s">
        <v>2709</v>
      </c>
      <c r="D571" t="s">
        <v>2708</v>
      </c>
      <c r="E571" t="s">
        <v>774</v>
      </c>
    </row>
    <row r="572" spans="1:5" x14ac:dyDescent="0.3">
      <c r="A572" t="s">
        <v>1213</v>
      </c>
      <c r="B572" t="s">
        <v>2714</v>
      </c>
      <c r="C572" t="s">
        <v>862</v>
      </c>
      <c r="D572" t="s">
        <v>751</v>
      </c>
      <c r="E572" t="s">
        <v>1</v>
      </c>
    </row>
    <row r="573" spans="1:5" x14ac:dyDescent="0.3">
      <c r="A573" t="s">
        <v>182</v>
      </c>
      <c r="B573" t="s">
        <v>2717</v>
      </c>
      <c r="C573" t="s">
        <v>2716</v>
      </c>
      <c r="D573" t="s">
        <v>960</v>
      </c>
      <c r="E573" t="s">
        <v>774</v>
      </c>
    </row>
    <row r="574" spans="1:5" x14ac:dyDescent="0.3">
      <c r="A574" t="s">
        <v>2719</v>
      </c>
      <c r="B574" t="s">
        <v>2720</v>
      </c>
      <c r="C574" t="s">
        <v>862</v>
      </c>
      <c r="D574" t="s">
        <v>2718</v>
      </c>
      <c r="E574" t="s">
        <v>781</v>
      </c>
    </row>
    <row r="575" spans="1:5" x14ac:dyDescent="0.3">
      <c r="A575" t="s">
        <v>132</v>
      </c>
      <c r="B575" t="s">
        <v>2722</v>
      </c>
      <c r="C575" t="s">
        <v>2721</v>
      </c>
      <c r="D575" t="s">
        <v>869</v>
      </c>
      <c r="E575" t="s">
        <v>781</v>
      </c>
    </row>
    <row r="576" spans="1:5" x14ac:dyDescent="0.3">
      <c r="A576" t="s">
        <v>2723</v>
      </c>
      <c r="B576" t="s">
        <v>348</v>
      </c>
      <c r="C576" t="s">
        <v>862</v>
      </c>
      <c r="D576" t="s">
        <v>968</v>
      </c>
      <c r="E576" t="s">
        <v>781</v>
      </c>
    </row>
    <row r="577" spans="1:5" x14ac:dyDescent="0.3">
      <c r="A577" t="s">
        <v>1050</v>
      </c>
      <c r="B577" t="s">
        <v>2724</v>
      </c>
      <c r="C577" t="s">
        <v>862</v>
      </c>
      <c r="D577" t="s">
        <v>768</v>
      </c>
      <c r="E577" t="s">
        <v>1</v>
      </c>
    </row>
    <row r="578" spans="1:5" x14ac:dyDescent="0.3">
      <c r="A578" t="s">
        <v>53</v>
      </c>
      <c r="B578" t="s">
        <v>2725</v>
      </c>
      <c r="C578" t="s">
        <v>862</v>
      </c>
      <c r="D578" t="s">
        <v>919</v>
      </c>
      <c r="E578" t="s">
        <v>1</v>
      </c>
    </row>
    <row r="579" spans="1:5" x14ac:dyDescent="0.3">
      <c r="A579" t="s">
        <v>1469</v>
      </c>
      <c r="B579" t="s">
        <v>2726</v>
      </c>
      <c r="C579" t="s">
        <v>862</v>
      </c>
      <c r="D579" t="s">
        <v>981</v>
      </c>
      <c r="E579" t="s">
        <v>761</v>
      </c>
    </row>
    <row r="580" spans="1:5" x14ac:dyDescent="0.3">
      <c r="A580" t="s">
        <v>2728</v>
      </c>
      <c r="B580" t="s">
        <v>86</v>
      </c>
      <c r="C580" t="s">
        <v>862</v>
      </c>
      <c r="D580" t="s">
        <v>1183</v>
      </c>
      <c r="E580" t="s">
        <v>1</v>
      </c>
    </row>
    <row r="581" spans="1:5" x14ac:dyDescent="0.3">
      <c r="A581" t="s">
        <v>2729</v>
      </c>
      <c r="B581" t="s">
        <v>1833</v>
      </c>
      <c r="C581" t="s">
        <v>862</v>
      </c>
      <c r="D581" t="s">
        <v>1246</v>
      </c>
      <c r="E581" t="s">
        <v>1</v>
      </c>
    </row>
    <row r="582" spans="1:5" x14ac:dyDescent="0.3">
      <c r="A582" t="s">
        <v>64</v>
      </c>
      <c r="B582" t="s">
        <v>2731</v>
      </c>
      <c r="C582" t="s">
        <v>862</v>
      </c>
      <c r="D582" t="s">
        <v>982</v>
      </c>
      <c r="E582" t="s">
        <v>1</v>
      </c>
    </row>
    <row r="583" spans="1:5" x14ac:dyDescent="0.3">
      <c r="A583" t="s">
        <v>2482</v>
      </c>
      <c r="B583" t="s">
        <v>2733</v>
      </c>
      <c r="C583" t="s">
        <v>2732</v>
      </c>
      <c r="D583" t="s">
        <v>2567</v>
      </c>
      <c r="E583" t="s">
        <v>75</v>
      </c>
    </row>
    <row r="584" spans="1:5" x14ac:dyDescent="0.3">
      <c r="A584" t="s">
        <v>2734</v>
      </c>
      <c r="B584" t="s">
        <v>2736</v>
      </c>
      <c r="C584" t="s">
        <v>2735</v>
      </c>
      <c r="D584" t="s">
        <v>968</v>
      </c>
      <c r="E584" t="s">
        <v>781</v>
      </c>
    </row>
    <row r="585" spans="1:5" x14ac:dyDescent="0.3">
      <c r="A585" t="s">
        <v>864</v>
      </c>
      <c r="B585" t="s">
        <v>2739</v>
      </c>
      <c r="C585" t="s">
        <v>2738</v>
      </c>
      <c r="D585" t="s">
        <v>895</v>
      </c>
      <c r="E585" t="s">
        <v>897</v>
      </c>
    </row>
    <row r="586" spans="1:5" x14ac:dyDescent="0.3">
      <c r="A586" t="s">
        <v>2742</v>
      </c>
      <c r="B586" t="s">
        <v>2743</v>
      </c>
      <c r="C586" t="s">
        <v>862</v>
      </c>
      <c r="D586" t="s">
        <v>769</v>
      </c>
      <c r="E586" t="s">
        <v>1</v>
      </c>
    </row>
    <row r="587" spans="1:5" x14ac:dyDescent="0.3">
      <c r="A587" t="s">
        <v>2745</v>
      </c>
      <c r="B587" t="s">
        <v>999</v>
      </c>
      <c r="C587" t="s">
        <v>2746</v>
      </c>
      <c r="D587" t="s">
        <v>751</v>
      </c>
      <c r="E587" t="s">
        <v>1</v>
      </c>
    </row>
    <row r="588" spans="1:5" x14ac:dyDescent="0.3">
      <c r="A588" t="s">
        <v>2747</v>
      </c>
      <c r="B588" t="s">
        <v>2749</v>
      </c>
      <c r="C588" t="s">
        <v>2748</v>
      </c>
      <c r="D588" t="s">
        <v>1691</v>
      </c>
      <c r="E588" t="s">
        <v>897</v>
      </c>
    </row>
    <row r="589" spans="1:5" x14ac:dyDescent="0.3">
      <c r="A589" t="s">
        <v>2750</v>
      </c>
      <c r="B589" t="s">
        <v>2752</v>
      </c>
      <c r="C589" t="s">
        <v>2751</v>
      </c>
      <c r="D589" t="s">
        <v>751</v>
      </c>
      <c r="E589" t="s">
        <v>1</v>
      </c>
    </row>
    <row r="590" spans="1:5" x14ac:dyDescent="0.3">
      <c r="A590" t="s">
        <v>1591</v>
      </c>
      <c r="B590" t="s">
        <v>2383</v>
      </c>
      <c r="C590" t="s">
        <v>862</v>
      </c>
      <c r="D590" t="s">
        <v>919</v>
      </c>
      <c r="E590" t="s">
        <v>1</v>
      </c>
    </row>
    <row r="591" spans="1:5" x14ac:dyDescent="0.3">
      <c r="A591" t="s">
        <v>1330</v>
      </c>
      <c r="B591" t="s">
        <v>2754</v>
      </c>
      <c r="C591" t="s">
        <v>2753</v>
      </c>
      <c r="D591" t="s">
        <v>2444</v>
      </c>
      <c r="E591" t="s">
        <v>741</v>
      </c>
    </row>
    <row r="592" spans="1:5" x14ac:dyDescent="0.3">
      <c r="A592" t="s">
        <v>2756</v>
      </c>
      <c r="B592" t="s">
        <v>1432</v>
      </c>
      <c r="C592" t="s">
        <v>862</v>
      </c>
      <c r="D592" t="s">
        <v>751</v>
      </c>
      <c r="E592" t="s">
        <v>1</v>
      </c>
    </row>
    <row r="593" spans="1:5" x14ac:dyDescent="0.3">
      <c r="A593" t="s">
        <v>45</v>
      </c>
      <c r="B593" t="s">
        <v>308</v>
      </c>
      <c r="C593" t="s">
        <v>2757</v>
      </c>
      <c r="D593" t="s">
        <v>869</v>
      </c>
      <c r="E593" t="s">
        <v>781</v>
      </c>
    </row>
    <row r="594" spans="1:5" x14ac:dyDescent="0.3">
      <c r="A594" t="s">
        <v>66</v>
      </c>
      <c r="B594" t="s">
        <v>2685</v>
      </c>
      <c r="C594" t="s">
        <v>2758</v>
      </c>
      <c r="D594" t="s">
        <v>968</v>
      </c>
      <c r="E594" t="s">
        <v>781</v>
      </c>
    </row>
    <row r="595" spans="1:5" x14ac:dyDescent="0.3">
      <c r="A595" t="s">
        <v>428</v>
      </c>
      <c r="B595" t="s">
        <v>2760</v>
      </c>
      <c r="C595" t="s">
        <v>2759</v>
      </c>
      <c r="D595" t="s">
        <v>1509</v>
      </c>
      <c r="E595" t="s">
        <v>781</v>
      </c>
    </row>
    <row r="596" spans="1:5" x14ac:dyDescent="0.3">
      <c r="A596" t="s">
        <v>224</v>
      </c>
      <c r="B596" t="s">
        <v>2761</v>
      </c>
      <c r="C596" t="s">
        <v>862</v>
      </c>
      <c r="D596" t="s">
        <v>751</v>
      </c>
      <c r="E596" t="s">
        <v>1</v>
      </c>
    </row>
    <row r="597" spans="1:5" x14ac:dyDescent="0.3">
      <c r="A597" t="s">
        <v>1170</v>
      </c>
      <c r="B597" t="s">
        <v>2762</v>
      </c>
      <c r="C597" t="s">
        <v>862</v>
      </c>
      <c r="D597" t="s">
        <v>2173</v>
      </c>
      <c r="E597" t="s">
        <v>2175</v>
      </c>
    </row>
    <row r="598" spans="1:5" x14ac:dyDescent="0.3">
      <c r="A598" t="s">
        <v>224</v>
      </c>
      <c r="B598" t="s">
        <v>2763</v>
      </c>
      <c r="C598" t="s">
        <v>862</v>
      </c>
      <c r="D598" t="s">
        <v>919</v>
      </c>
      <c r="E598" t="s">
        <v>1</v>
      </c>
    </row>
    <row r="599" spans="1:5" x14ac:dyDescent="0.3">
      <c r="A599" t="s">
        <v>1745</v>
      </c>
      <c r="B599" t="s">
        <v>2765</v>
      </c>
      <c r="C599" t="s">
        <v>862</v>
      </c>
      <c r="D599" t="s">
        <v>763</v>
      </c>
      <c r="E599" t="s">
        <v>1</v>
      </c>
    </row>
    <row r="600" spans="1:5" x14ac:dyDescent="0.3">
      <c r="A600" t="s">
        <v>2766</v>
      </c>
      <c r="B600" t="s">
        <v>2767</v>
      </c>
      <c r="C600" t="s">
        <v>862</v>
      </c>
      <c r="D600" t="s">
        <v>769</v>
      </c>
      <c r="E600" t="s">
        <v>1</v>
      </c>
    </row>
    <row r="601" spans="1:5" x14ac:dyDescent="0.3">
      <c r="A601" t="s">
        <v>2768</v>
      </c>
      <c r="B601" t="s">
        <v>2770</v>
      </c>
      <c r="C601" t="s">
        <v>2769</v>
      </c>
      <c r="D601" t="s">
        <v>919</v>
      </c>
      <c r="E601" t="s">
        <v>1</v>
      </c>
    </row>
    <row r="602" spans="1:5" x14ac:dyDescent="0.3">
      <c r="A602" t="s">
        <v>997</v>
      </c>
      <c r="B602" t="s">
        <v>315</v>
      </c>
      <c r="C602" t="s">
        <v>862</v>
      </c>
      <c r="D602" t="s">
        <v>751</v>
      </c>
      <c r="E602" t="s">
        <v>1</v>
      </c>
    </row>
    <row r="603" spans="1:5" x14ac:dyDescent="0.3">
      <c r="A603" t="s">
        <v>206</v>
      </c>
      <c r="B603" t="s">
        <v>2778</v>
      </c>
      <c r="C603" t="s">
        <v>467</v>
      </c>
      <c r="D603" t="s">
        <v>2777</v>
      </c>
      <c r="E603" t="s">
        <v>75</v>
      </c>
    </row>
    <row r="604" spans="1:5" x14ac:dyDescent="0.3">
      <c r="A604" t="s">
        <v>41</v>
      </c>
      <c r="B604" t="s">
        <v>42</v>
      </c>
      <c r="C604" t="s">
        <v>43</v>
      </c>
      <c r="D604" t="s">
        <v>747</v>
      </c>
      <c r="E604" t="s">
        <v>1</v>
      </c>
    </row>
    <row r="605" spans="1:5" x14ac:dyDescent="0.3">
      <c r="A605" t="s">
        <v>2790</v>
      </c>
      <c r="B605" t="s">
        <v>2792</v>
      </c>
      <c r="C605" t="s">
        <v>2791</v>
      </c>
      <c r="D605" t="s">
        <v>763</v>
      </c>
      <c r="E605" t="s">
        <v>1</v>
      </c>
    </row>
    <row r="606" spans="1:5" x14ac:dyDescent="0.3">
      <c r="A606" t="s">
        <v>2798</v>
      </c>
      <c r="B606" t="s">
        <v>2800</v>
      </c>
      <c r="C606" t="s">
        <v>2799</v>
      </c>
      <c r="D606" t="s">
        <v>2797</v>
      </c>
      <c r="E606" t="s">
        <v>741</v>
      </c>
    </row>
    <row r="607" spans="1:5" x14ac:dyDescent="0.3">
      <c r="A607" t="s">
        <v>298</v>
      </c>
      <c r="B607" t="s">
        <v>2802</v>
      </c>
      <c r="C607" t="s">
        <v>461</v>
      </c>
      <c r="D607" t="s">
        <v>2796</v>
      </c>
      <c r="E607" t="s">
        <v>75</v>
      </c>
    </row>
    <row r="608" spans="1:5" x14ac:dyDescent="0.3">
      <c r="A608" t="s">
        <v>184</v>
      </c>
      <c r="B608" t="s">
        <v>2817</v>
      </c>
      <c r="C608" t="s">
        <v>456</v>
      </c>
      <c r="D608" t="s">
        <v>1660</v>
      </c>
      <c r="E608" t="s">
        <v>781</v>
      </c>
    </row>
    <row r="609" spans="1:5" x14ac:dyDescent="0.3">
      <c r="A609" t="s">
        <v>2819</v>
      </c>
      <c r="B609" t="s">
        <v>1758</v>
      </c>
      <c r="C609" t="s">
        <v>461</v>
      </c>
      <c r="D609" t="s">
        <v>2818</v>
      </c>
      <c r="E609" t="s">
        <v>743</v>
      </c>
    </row>
    <row r="610" spans="1:5" x14ac:dyDescent="0.3">
      <c r="A610" t="s">
        <v>82</v>
      </c>
      <c r="B610" t="s">
        <v>2822</v>
      </c>
      <c r="C610" t="s">
        <v>461</v>
      </c>
      <c r="D610" t="s">
        <v>990</v>
      </c>
      <c r="E610" t="s">
        <v>758</v>
      </c>
    </row>
    <row r="611" spans="1:5" x14ac:dyDescent="0.3">
      <c r="A611" t="s">
        <v>298</v>
      </c>
      <c r="B611" t="s">
        <v>2824</v>
      </c>
      <c r="C611" t="s">
        <v>460</v>
      </c>
      <c r="D611" t="s">
        <v>2823</v>
      </c>
      <c r="E611" t="s">
        <v>75</v>
      </c>
    </row>
    <row r="612" spans="1:5" x14ac:dyDescent="0.3">
      <c r="A612" t="s">
        <v>931</v>
      </c>
      <c r="B612" t="s">
        <v>2843</v>
      </c>
      <c r="C612" t="s">
        <v>2842</v>
      </c>
      <c r="D612" t="s">
        <v>2841</v>
      </c>
      <c r="E612" t="s">
        <v>774</v>
      </c>
    </row>
    <row r="613" spans="1:5" x14ac:dyDescent="0.3">
      <c r="A613" t="s">
        <v>68</v>
      </c>
      <c r="B613" t="s">
        <v>2844</v>
      </c>
      <c r="C613" t="s">
        <v>460</v>
      </c>
      <c r="D613" t="s">
        <v>2840</v>
      </c>
      <c r="E613" t="s">
        <v>75</v>
      </c>
    </row>
    <row r="614" spans="1:5" x14ac:dyDescent="0.3">
      <c r="A614" t="s">
        <v>2846</v>
      </c>
      <c r="B614" t="s">
        <v>2847</v>
      </c>
      <c r="C614" t="s">
        <v>460</v>
      </c>
      <c r="D614" t="s">
        <v>2845</v>
      </c>
      <c r="E614" t="s">
        <v>75</v>
      </c>
    </row>
    <row r="615" spans="1:5" x14ac:dyDescent="0.3">
      <c r="A615" t="s">
        <v>2849</v>
      </c>
      <c r="B615" t="s">
        <v>2851</v>
      </c>
      <c r="C615" t="s">
        <v>467</v>
      </c>
      <c r="D615" t="s">
        <v>2850</v>
      </c>
      <c r="E615" t="s">
        <v>75</v>
      </c>
    </row>
    <row r="616" spans="1:5" x14ac:dyDescent="0.3">
      <c r="A616" t="s">
        <v>87</v>
      </c>
      <c r="B616" t="s">
        <v>2854</v>
      </c>
      <c r="C616" t="s">
        <v>2853</v>
      </c>
      <c r="D616" t="s">
        <v>2852</v>
      </c>
      <c r="E616" t="s">
        <v>75</v>
      </c>
    </row>
    <row r="617" spans="1:5" x14ac:dyDescent="0.3">
      <c r="A617" t="s">
        <v>2860</v>
      </c>
      <c r="B617" t="s">
        <v>1742</v>
      </c>
      <c r="C617" t="s">
        <v>720</v>
      </c>
      <c r="D617" t="s">
        <v>2859</v>
      </c>
      <c r="E617" t="s">
        <v>774</v>
      </c>
    </row>
    <row r="618" spans="1:5" x14ac:dyDescent="0.3">
      <c r="A618" t="s">
        <v>182</v>
      </c>
      <c r="B618" t="s">
        <v>342</v>
      </c>
      <c r="C618" t="s">
        <v>460</v>
      </c>
      <c r="D618" t="s">
        <v>2861</v>
      </c>
      <c r="E618" t="s">
        <v>75</v>
      </c>
    </row>
    <row r="619" spans="1:5" x14ac:dyDescent="0.3">
      <c r="A619" t="s">
        <v>894</v>
      </c>
      <c r="B619" t="s">
        <v>2863</v>
      </c>
      <c r="C619" t="s">
        <v>461</v>
      </c>
      <c r="D619" t="s">
        <v>2862</v>
      </c>
      <c r="E619" t="s">
        <v>774</v>
      </c>
    </row>
    <row r="620" spans="1:5" x14ac:dyDescent="0.3">
      <c r="A620" t="s">
        <v>50</v>
      </c>
      <c r="B620" t="s">
        <v>1370</v>
      </c>
      <c r="C620" t="s">
        <v>461</v>
      </c>
      <c r="D620" t="s">
        <v>2864</v>
      </c>
      <c r="E620" t="s">
        <v>781</v>
      </c>
    </row>
    <row r="621" spans="1:5" x14ac:dyDescent="0.3">
      <c r="A621" t="s">
        <v>435</v>
      </c>
      <c r="B621" t="s">
        <v>2867</v>
      </c>
      <c r="C621" t="s">
        <v>2866</v>
      </c>
      <c r="D621" t="s">
        <v>2865</v>
      </c>
      <c r="E621" t="s">
        <v>774</v>
      </c>
    </row>
    <row r="622" spans="1:5" x14ac:dyDescent="0.3">
      <c r="A622" t="s">
        <v>2870</v>
      </c>
      <c r="B622" t="s">
        <v>2872</v>
      </c>
      <c r="C622" t="s">
        <v>2871</v>
      </c>
      <c r="D622" t="s">
        <v>2869</v>
      </c>
      <c r="E622" t="s">
        <v>841</v>
      </c>
    </row>
    <row r="623" spans="1:5" x14ac:dyDescent="0.3">
      <c r="A623" t="s">
        <v>1334</v>
      </c>
      <c r="B623" t="s">
        <v>2874</v>
      </c>
      <c r="C623" t="s">
        <v>467</v>
      </c>
      <c r="D623" t="s">
        <v>2873</v>
      </c>
      <c r="E623" t="s">
        <v>75</v>
      </c>
    </row>
    <row r="624" spans="1:5" x14ac:dyDescent="0.3">
      <c r="A624" t="s">
        <v>224</v>
      </c>
      <c r="B624" t="s">
        <v>950</v>
      </c>
      <c r="C624" t="s">
        <v>467</v>
      </c>
      <c r="D624" t="s">
        <v>2875</v>
      </c>
      <c r="E624" t="s">
        <v>75</v>
      </c>
    </row>
    <row r="625" spans="1:5" x14ac:dyDescent="0.3">
      <c r="A625" t="s">
        <v>2876</v>
      </c>
      <c r="B625" t="s">
        <v>2877</v>
      </c>
      <c r="C625" t="s">
        <v>862</v>
      </c>
      <c r="D625" t="s">
        <v>919</v>
      </c>
      <c r="E625" t="s">
        <v>1</v>
      </c>
    </row>
    <row r="626" spans="1:5" x14ac:dyDescent="0.3">
      <c r="A626" t="s">
        <v>1404</v>
      </c>
      <c r="B626" t="s">
        <v>2883</v>
      </c>
      <c r="C626" t="s">
        <v>701</v>
      </c>
      <c r="D626" t="s">
        <v>2882</v>
      </c>
      <c r="E626" t="s">
        <v>774</v>
      </c>
    </row>
    <row r="627" spans="1:5" x14ac:dyDescent="0.3">
      <c r="A627" t="s">
        <v>851</v>
      </c>
      <c r="B627" t="s">
        <v>2695</v>
      </c>
      <c r="C627" t="s">
        <v>2885</v>
      </c>
      <c r="D627" t="s">
        <v>2884</v>
      </c>
      <c r="E627" t="s">
        <v>774</v>
      </c>
    </row>
    <row r="628" spans="1:5" x14ac:dyDescent="0.3">
      <c r="A628" t="s">
        <v>2890</v>
      </c>
      <c r="B628" t="s">
        <v>1101</v>
      </c>
      <c r="C628" t="s">
        <v>2891</v>
      </c>
      <c r="D628" t="s">
        <v>2889</v>
      </c>
      <c r="E628" t="s">
        <v>774</v>
      </c>
    </row>
    <row r="629" spans="1:5" x14ac:dyDescent="0.3">
      <c r="A629" t="s">
        <v>2893</v>
      </c>
      <c r="B629" t="s">
        <v>2894</v>
      </c>
      <c r="C629" t="s">
        <v>718</v>
      </c>
      <c r="D629" t="s">
        <v>1428</v>
      </c>
      <c r="E629" t="s">
        <v>897</v>
      </c>
    </row>
    <row r="630" spans="1:5" x14ac:dyDescent="0.3">
      <c r="A630" t="s">
        <v>2897</v>
      </c>
      <c r="B630" t="s">
        <v>2898</v>
      </c>
      <c r="C630" t="s">
        <v>719</v>
      </c>
      <c r="D630" t="s">
        <v>2478</v>
      </c>
      <c r="E630" t="s">
        <v>841</v>
      </c>
    </row>
    <row r="631" spans="1:5" x14ac:dyDescent="0.3">
      <c r="A631" t="s">
        <v>2903</v>
      </c>
      <c r="B631" t="s">
        <v>2905</v>
      </c>
      <c r="C631" t="s">
        <v>2904</v>
      </c>
      <c r="D631" t="s">
        <v>2902</v>
      </c>
      <c r="E631" t="s">
        <v>774</v>
      </c>
    </row>
    <row r="632" spans="1:5" x14ac:dyDescent="0.3">
      <c r="A632" t="s">
        <v>875</v>
      </c>
      <c r="B632" t="s">
        <v>2911</v>
      </c>
      <c r="C632" t="s">
        <v>2910</v>
      </c>
      <c r="D632" t="s">
        <v>2909</v>
      </c>
      <c r="E632" t="s">
        <v>841</v>
      </c>
    </row>
    <row r="633" spans="1:5" x14ac:dyDescent="0.3">
      <c r="A633" t="s">
        <v>2913</v>
      </c>
      <c r="B633" t="s">
        <v>2914</v>
      </c>
      <c r="C633" t="s">
        <v>460</v>
      </c>
      <c r="D633" t="s">
        <v>2912</v>
      </c>
      <c r="E633" t="s">
        <v>75</v>
      </c>
    </row>
    <row r="634" spans="1:5" x14ac:dyDescent="0.3">
      <c r="A634" t="s">
        <v>2179</v>
      </c>
      <c r="B634" t="s">
        <v>2925</v>
      </c>
      <c r="C634" t="s">
        <v>457</v>
      </c>
      <c r="D634" t="s">
        <v>2921</v>
      </c>
      <c r="E634" t="s">
        <v>75</v>
      </c>
    </row>
    <row r="635" spans="1:5" x14ac:dyDescent="0.3">
      <c r="A635" t="s">
        <v>2927</v>
      </c>
      <c r="B635" t="s">
        <v>2929</v>
      </c>
      <c r="C635" t="s">
        <v>2928</v>
      </c>
      <c r="D635" t="s">
        <v>2926</v>
      </c>
      <c r="E635" t="s">
        <v>774</v>
      </c>
    </row>
    <row r="636" spans="1:5" x14ac:dyDescent="0.3">
      <c r="A636" t="s">
        <v>313</v>
      </c>
      <c r="B636" t="s">
        <v>616</v>
      </c>
      <c r="C636" t="s">
        <v>2931</v>
      </c>
      <c r="D636" t="s">
        <v>2930</v>
      </c>
      <c r="E636" t="s">
        <v>774</v>
      </c>
    </row>
    <row r="637" spans="1:5" x14ac:dyDescent="0.3">
      <c r="A637" t="s">
        <v>860</v>
      </c>
      <c r="B637" t="s">
        <v>2934</v>
      </c>
      <c r="C637" t="s">
        <v>2933</v>
      </c>
      <c r="D637" t="s">
        <v>2932</v>
      </c>
      <c r="E637" t="s">
        <v>774</v>
      </c>
    </row>
    <row r="638" spans="1:5" x14ac:dyDescent="0.3">
      <c r="A638" t="s">
        <v>2936</v>
      </c>
      <c r="B638" t="s">
        <v>2938</v>
      </c>
      <c r="C638" t="s">
        <v>2937</v>
      </c>
      <c r="D638" t="s">
        <v>2935</v>
      </c>
      <c r="E638" t="s">
        <v>774</v>
      </c>
    </row>
    <row r="639" spans="1:5" x14ac:dyDescent="0.3">
      <c r="A639" t="s">
        <v>184</v>
      </c>
      <c r="B639" t="s">
        <v>384</v>
      </c>
      <c r="C639" t="s">
        <v>457</v>
      </c>
      <c r="D639" t="s">
        <v>2946</v>
      </c>
      <c r="E639" t="s">
        <v>781</v>
      </c>
    </row>
    <row r="640" spans="1:5" x14ac:dyDescent="0.3">
      <c r="A640" t="s">
        <v>39</v>
      </c>
      <c r="B640" t="s">
        <v>1045</v>
      </c>
      <c r="C640" t="s">
        <v>467</v>
      </c>
      <c r="D640" t="s">
        <v>2946</v>
      </c>
      <c r="E640" t="s">
        <v>781</v>
      </c>
    </row>
    <row r="641" spans="1:5" x14ac:dyDescent="0.3">
      <c r="A641" t="s">
        <v>41</v>
      </c>
      <c r="B641" t="s">
        <v>2951</v>
      </c>
      <c r="C641" t="s">
        <v>2950</v>
      </c>
      <c r="D641" t="s">
        <v>1080</v>
      </c>
      <c r="E641" t="s">
        <v>1</v>
      </c>
    </row>
    <row r="642" spans="1:5" x14ac:dyDescent="0.3">
      <c r="A642" t="s">
        <v>2957</v>
      </c>
      <c r="B642" t="s">
        <v>2958</v>
      </c>
      <c r="C642" t="s">
        <v>862</v>
      </c>
      <c r="D642" t="s">
        <v>1080</v>
      </c>
      <c r="E642" t="s">
        <v>1</v>
      </c>
    </row>
    <row r="643" spans="1:5" x14ac:dyDescent="0.3">
      <c r="A643" t="s">
        <v>279</v>
      </c>
      <c r="B643" t="s">
        <v>2959</v>
      </c>
      <c r="C643" t="s">
        <v>518</v>
      </c>
      <c r="D643" t="s">
        <v>1080</v>
      </c>
      <c r="E643" t="s">
        <v>1</v>
      </c>
    </row>
    <row r="644" spans="1:5" x14ac:dyDescent="0.3">
      <c r="A644" t="s">
        <v>150</v>
      </c>
      <c r="B644" t="s">
        <v>3002</v>
      </c>
      <c r="C644" t="s">
        <v>3001</v>
      </c>
      <c r="D644" t="s">
        <v>1080</v>
      </c>
      <c r="E644" t="s">
        <v>1</v>
      </c>
    </row>
    <row r="645" spans="1:5" x14ac:dyDescent="0.3">
      <c r="A645" t="s">
        <v>132</v>
      </c>
      <c r="B645" t="s">
        <v>3008</v>
      </c>
      <c r="C645" t="s">
        <v>459</v>
      </c>
      <c r="D645" t="s">
        <v>3004</v>
      </c>
      <c r="E645" t="s">
        <v>75</v>
      </c>
    </row>
    <row r="646" spans="1:5" x14ac:dyDescent="0.3">
      <c r="A646" t="s">
        <v>315</v>
      </c>
      <c r="B646" t="s">
        <v>1521</v>
      </c>
      <c r="C646" t="s">
        <v>457</v>
      </c>
      <c r="D646" t="s">
        <v>3010</v>
      </c>
      <c r="E646" t="s">
        <v>75</v>
      </c>
    </row>
    <row r="647" spans="1:5" x14ac:dyDescent="0.3">
      <c r="A647" t="s">
        <v>89</v>
      </c>
      <c r="B647" t="s">
        <v>1761</v>
      </c>
      <c r="C647" t="s">
        <v>460</v>
      </c>
      <c r="D647" t="s">
        <v>3013</v>
      </c>
      <c r="E647" t="s">
        <v>758</v>
      </c>
    </row>
    <row r="648" spans="1:5" x14ac:dyDescent="0.3">
      <c r="A648" t="s">
        <v>2599</v>
      </c>
      <c r="B648" t="s">
        <v>3008</v>
      </c>
      <c r="C648" t="s">
        <v>862</v>
      </c>
      <c r="D648" t="s">
        <v>3016</v>
      </c>
      <c r="E648" t="s">
        <v>897</v>
      </c>
    </row>
    <row r="649" spans="1:5" x14ac:dyDescent="0.3">
      <c r="A649" t="s">
        <v>182</v>
      </c>
      <c r="B649" t="s">
        <v>3017</v>
      </c>
      <c r="C649" t="s">
        <v>457</v>
      </c>
      <c r="D649" t="s">
        <v>3016</v>
      </c>
      <c r="E649" t="s">
        <v>897</v>
      </c>
    </row>
    <row r="650" spans="1:5" x14ac:dyDescent="0.3">
      <c r="A650" t="s">
        <v>3018</v>
      </c>
      <c r="B650" t="s">
        <v>3020</v>
      </c>
      <c r="C650" t="s">
        <v>3019</v>
      </c>
      <c r="D650" t="s">
        <v>3016</v>
      </c>
      <c r="E650" t="s">
        <v>897</v>
      </c>
    </row>
    <row r="651" spans="1:5" x14ac:dyDescent="0.3">
      <c r="A651" t="s">
        <v>41</v>
      </c>
      <c r="B651" t="s">
        <v>3021</v>
      </c>
      <c r="C651" t="s">
        <v>459</v>
      </c>
      <c r="D651" t="s">
        <v>3016</v>
      </c>
      <c r="E651" t="s">
        <v>897</v>
      </c>
    </row>
    <row r="652" spans="1:5" x14ac:dyDescent="0.3">
      <c r="A652" t="s">
        <v>3026</v>
      </c>
      <c r="B652" t="s">
        <v>3027</v>
      </c>
      <c r="C652" t="s">
        <v>461</v>
      </c>
      <c r="D652" t="s">
        <v>3025</v>
      </c>
      <c r="E652" t="s">
        <v>75</v>
      </c>
    </row>
    <row r="653" spans="1:5" x14ac:dyDescent="0.3">
      <c r="A653" t="s">
        <v>44</v>
      </c>
      <c r="B653" t="s">
        <v>3032</v>
      </c>
      <c r="C653" t="s">
        <v>461</v>
      </c>
      <c r="D653" t="s">
        <v>3031</v>
      </c>
      <c r="E653" t="s">
        <v>2175</v>
      </c>
    </row>
    <row r="654" spans="1:5" x14ac:dyDescent="0.3">
      <c r="A654" t="s">
        <v>41</v>
      </c>
      <c r="B654" t="s">
        <v>750</v>
      </c>
      <c r="C654" t="s">
        <v>454</v>
      </c>
      <c r="D654" t="s">
        <v>3031</v>
      </c>
      <c r="E654" t="s">
        <v>2175</v>
      </c>
    </row>
    <row r="655" spans="1:5" x14ac:dyDescent="0.3">
      <c r="A655" t="s">
        <v>102</v>
      </c>
      <c r="B655" t="s">
        <v>1150</v>
      </c>
      <c r="C655" t="s">
        <v>467</v>
      </c>
      <c r="D655" t="s">
        <v>3041</v>
      </c>
      <c r="E655" t="s">
        <v>741</v>
      </c>
    </row>
    <row r="656" spans="1:5" x14ac:dyDescent="0.3">
      <c r="A656" t="s">
        <v>131</v>
      </c>
      <c r="B656" t="s">
        <v>3046</v>
      </c>
      <c r="C656" t="s">
        <v>3045</v>
      </c>
      <c r="D656" t="s">
        <v>833</v>
      </c>
      <c r="E656" t="s">
        <v>741</v>
      </c>
    </row>
    <row r="657" spans="1:5" x14ac:dyDescent="0.3">
      <c r="A657" t="s">
        <v>3047</v>
      </c>
      <c r="B657" t="s">
        <v>3048</v>
      </c>
      <c r="C657" t="s">
        <v>862</v>
      </c>
      <c r="D657" t="s">
        <v>833</v>
      </c>
      <c r="E657" t="s">
        <v>741</v>
      </c>
    </row>
    <row r="658" spans="1:5" x14ac:dyDescent="0.3">
      <c r="A658" t="s">
        <v>2304</v>
      </c>
      <c r="B658" t="s">
        <v>1824</v>
      </c>
      <c r="C658" t="s">
        <v>862</v>
      </c>
      <c r="D658" t="s">
        <v>833</v>
      </c>
      <c r="E658" t="s">
        <v>741</v>
      </c>
    </row>
    <row r="659" spans="1:5" x14ac:dyDescent="0.3">
      <c r="A659" t="s">
        <v>1937</v>
      </c>
      <c r="B659" t="s">
        <v>3052</v>
      </c>
      <c r="C659" t="s">
        <v>2571</v>
      </c>
      <c r="D659" t="s">
        <v>833</v>
      </c>
      <c r="E659" t="s">
        <v>741</v>
      </c>
    </row>
    <row r="660" spans="1:5" x14ac:dyDescent="0.3">
      <c r="A660" t="s">
        <v>59</v>
      </c>
      <c r="B660" t="s">
        <v>3054</v>
      </c>
      <c r="C660" t="s">
        <v>862</v>
      </c>
      <c r="D660" t="s">
        <v>833</v>
      </c>
      <c r="E660" t="s">
        <v>741</v>
      </c>
    </row>
    <row r="661" spans="1:5" x14ac:dyDescent="0.3">
      <c r="A661" t="s">
        <v>190</v>
      </c>
      <c r="B661" t="s">
        <v>3057</v>
      </c>
      <c r="C661" t="s">
        <v>3056</v>
      </c>
      <c r="D661" t="s">
        <v>833</v>
      </c>
      <c r="E661" t="s">
        <v>741</v>
      </c>
    </row>
    <row r="662" spans="1:5" x14ac:dyDescent="0.3">
      <c r="A662" t="s">
        <v>3058</v>
      </c>
      <c r="B662" t="s">
        <v>3059</v>
      </c>
      <c r="C662" t="s">
        <v>461</v>
      </c>
      <c r="D662" t="s">
        <v>833</v>
      </c>
      <c r="E662" t="s">
        <v>741</v>
      </c>
    </row>
    <row r="663" spans="1:5" x14ac:dyDescent="0.3">
      <c r="A663" t="s">
        <v>3079</v>
      </c>
      <c r="B663" t="s">
        <v>3081</v>
      </c>
      <c r="C663" t="s">
        <v>3080</v>
      </c>
      <c r="D663" t="s">
        <v>3078</v>
      </c>
      <c r="E663" t="s">
        <v>774</v>
      </c>
    </row>
    <row r="664" spans="1:5" x14ac:dyDescent="0.3">
      <c r="A664" t="s">
        <v>146</v>
      </c>
      <c r="B664" t="s">
        <v>3084</v>
      </c>
      <c r="C664" t="s">
        <v>3083</v>
      </c>
      <c r="D664" t="s">
        <v>3082</v>
      </c>
      <c r="E664" t="s">
        <v>781</v>
      </c>
    </row>
    <row r="665" spans="1:5" x14ac:dyDescent="0.3">
      <c r="A665" t="s">
        <v>304</v>
      </c>
      <c r="B665" t="s">
        <v>973</v>
      </c>
      <c r="C665" t="s">
        <v>467</v>
      </c>
      <c r="D665" t="s">
        <v>3087</v>
      </c>
      <c r="E665" t="s">
        <v>741</v>
      </c>
    </row>
    <row r="666" spans="1:5" x14ac:dyDescent="0.3">
      <c r="A666" t="s">
        <v>2599</v>
      </c>
      <c r="B666" t="s">
        <v>3098</v>
      </c>
      <c r="C666" t="s">
        <v>459</v>
      </c>
      <c r="D666" t="s">
        <v>3095</v>
      </c>
      <c r="E666" t="s">
        <v>774</v>
      </c>
    </row>
    <row r="667" spans="1:5" x14ac:dyDescent="0.3">
      <c r="A667" t="s">
        <v>41</v>
      </c>
      <c r="B667" t="s">
        <v>3102</v>
      </c>
      <c r="C667" t="s">
        <v>718</v>
      </c>
      <c r="D667" t="s">
        <v>3101</v>
      </c>
      <c r="E667" t="s">
        <v>761</v>
      </c>
    </row>
    <row r="668" spans="1:5" x14ac:dyDescent="0.3">
      <c r="A668" t="s">
        <v>846</v>
      </c>
      <c r="B668" t="s">
        <v>3107</v>
      </c>
      <c r="C668" t="s">
        <v>698</v>
      </c>
      <c r="D668" t="s">
        <v>3105</v>
      </c>
      <c r="E668" t="s">
        <v>75</v>
      </c>
    </row>
    <row r="669" spans="1:5" x14ac:dyDescent="0.3">
      <c r="A669" t="s">
        <v>206</v>
      </c>
      <c r="B669" t="s">
        <v>3108</v>
      </c>
      <c r="C669" t="s">
        <v>461</v>
      </c>
      <c r="D669" t="s">
        <v>3105</v>
      </c>
      <c r="E669" t="s">
        <v>75</v>
      </c>
    </row>
    <row r="670" spans="1:5" x14ac:dyDescent="0.3">
      <c r="A670" t="s">
        <v>41</v>
      </c>
      <c r="B670" t="s">
        <v>1443</v>
      </c>
      <c r="C670" t="s">
        <v>3109</v>
      </c>
      <c r="D670" t="s">
        <v>3105</v>
      </c>
      <c r="E670" t="s">
        <v>75</v>
      </c>
    </row>
    <row r="671" spans="1:5" x14ac:dyDescent="0.3">
      <c r="A671" t="s">
        <v>3113</v>
      </c>
      <c r="B671" t="s">
        <v>3114</v>
      </c>
      <c r="C671" t="s">
        <v>461</v>
      </c>
      <c r="D671" t="s">
        <v>3111</v>
      </c>
      <c r="E671" t="s">
        <v>741</v>
      </c>
    </row>
    <row r="672" spans="1:5" x14ac:dyDescent="0.3">
      <c r="A672" t="s">
        <v>3115</v>
      </c>
      <c r="B672" t="s">
        <v>3116</v>
      </c>
      <c r="C672" t="s">
        <v>467</v>
      </c>
      <c r="D672" t="s">
        <v>3111</v>
      </c>
      <c r="E672" t="s">
        <v>741</v>
      </c>
    </row>
    <row r="673" spans="1:5" x14ac:dyDescent="0.3">
      <c r="A673" t="s">
        <v>1396</v>
      </c>
      <c r="B673" t="s">
        <v>3122</v>
      </c>
      <c r="C673" t="s">
        <v>467</v>
      </c>
      <c r="D673" t="s">
        <v>2313</v>
      </c>
      <c r="E673" t="s">
        <v>741</v>
      </c>
    </row>
    <row r="674" spans="1:5" x14ac:dyDescent="0.3">
      <c r="A674" t="s">
        <v>41</v>
      </c>
      <c r="B674" t="s">
        <v>3074</v>
      </c>
      <c r="C674" t="s">
        <v>467</v>
      </c>
      <c r="D674" t="s">
        <v>2173</v>
      </c>
      <c r="E674" t="s">
        <v>2175</v>
      </c>
    </row>
    <row r="675" spans="1:5" x14ac:dyDescent="0.3">
      <c r="A675" t="s">
        <v>2224</v>
      </c>
      <c r="B675" t="s">
        <v>3127</v>
      </c>
      <c r="C675" t="s">
        <v>628</v>
      </c>
      <c r="D675" t="s">
        <v>2173</v>
      </c>
      <c r="E675" t="s">
        <v>2175</v>
      </c>
    </row>
    <row r="676" spans="1:5" x14ac:dyDescent="0.3">
      <c r="A676" t="s">
        <v>220</v>
      </c>
      <c r="B676" t="s">
        <v>2351</v>
      </c>
      <c r="C676" t="s">
        <v>461</v>
      </c>
      <c r="D676" t="s">
        <v>3129</v>
      </c>
      <c r="E676" t="s">
        <v>781</v>
      </c>
    </row>
    <row r="677" spans="1:5" x14ac:dyDescent="0.3">
      <c r="A677" t="s">
        <v>993</v>
      </c>
      <c r="B677" t="s">
        <v>1992</v>
      </c>
      <c r="C677" t="s">
        <v>461</v>
      </c>
      <c r="D677" t="s">
        <v>3131</v>
      </c>
      <c r="E677" t="s">
        <v>743</v>
      </c>
    </row>
    <row r="678" spans="1:5" x14ac:dyDescent="0.3">
      <c r="A678" t="s">
        <v>116</v>
      </c>
      <c r="B678" t="s">
        <v>3138</v>
      </c>
      <c r="C678" t="s">
        <v>461</v>
      </c>
      <c r="D678" t="s">
        <v>3135</v>
      </c>
      <c r="E678" t="s">
        <v>75</v>
      </c>
    </row>
    <row r="679" spans="1:5" x14ac:dyDescent="0.3">
      <c r="A679" t="s">
        <v>2916</v>
      </c>
      <c r="B679" t="s">
        <v>3139</v>
      </c>
      <c r="C679" t="s">
        <v>467</v>
      </c>
      <c r="D679" t="s">
        <v>3135</v>
      </c>
      <c r="E679" t="s">
        <v>75</v>
      </c>
    </row>
    <row r="680" spans="1:5" x14ac:dyDescent="0.3">
      <c r="A680" t="s">
        <v>181</v>
      </c>
      <c r="B680" t="s">
        <v>1046</v>
      </c>
      <c r="C680" t="s">
        <v>3109</v>
      </c>
      <c r="D680" t="s">
        <v>3140</v>
      </c>
      <c r="E680" t="s">
        <v>774</v>
      </c>
    </row>
    <row r="681" spans="1:5" x14ac:dyDescent="0.3">
      <c r="A681" t="s">
        <v>68</v>
      </c>
      <c r="B681" t="s">
        <v>3141</v>
      </c>
      <c r="C681" t="s">
        <v>467</v>
      </c>
      <c r="D681" t="s">
        <v>3140</v>
      </c>
      <c r="E681" t="s">
        <v>774</v>
      </c>
    </row>
    <row r="682" spans="1:5" x14ac:dyDescent="0.3">
      <c r="A682" t="s">
        <v>190</v>
      </c>
      <c r="B682" t="s">
        <v>3142</v>
      </c>
      <c r="C682" t="s">
        <v>460</v>
      </c>
      <c r="D682" t="s">
        <v>3140</v>
      </c>
      <c r="E682" t="s">
        <v>774</v>
      </c>
    </row>
    <row r="683" spans="1:5" x14ac:dyDescent="0.3">
      <c r="A683" t="s">
        <v>150</v>
      </c>
      <c r="B683" t="s">
        <v>3144</v>
      </c>
      <c r="C683" t="s">
        <v>467</v>
      </c>
      <c r="D683" t="s">
        <v>3143</v>
      </c>
      <c r="E683" t="s">
        <v>741</v>
      </c>
    </row>
    <row r="684" spans="1:5" x14ac:dyDescent="0.3">
      <c r="A684" t="s">
        <v>131</v>
      </c>
      <c r="B684" t="s">
        <v>3149</v>
      </c>
      <c r="C684" t="s">
        <v>467</v>
      </c>
      <c r="D684" t="s">
        <v>3148</v>
      </c>
      <c r="E684" t="s">
        <v>75</v>
      </c>
    </row>
    <row r="685" spans="1:5" x14ac:dyDescent="0.3">
      <c r="A685" t="s">
        <v>342</v>
      </c>
      <c r="B685" t="s">
        <v>3156</v>
      </c>
      <c r="C685" t="s">
        <v>461</v>
      </c>
      <c r="D685" t="s">
        <v>3155</v>
      </c>
      <c r="E685" t="s">
        <v>774</v>
      </c>
    </row>
    <row r="686" spans="1:5" x14ac:dyDescent="0.3">
      <c r="A686" t="s">
        <v>1555</v>
      </c>
      <c r="B686" t="s">
        <v>3159</v>
      </c>
      <c r="C686" t="s">
        <v>461</v>
      </c>
      <c r="D686" t="s">
        <v>3158</v>
      </c>
      <c r="E686" t="s">
        <v>761</v>
      </c>
    </row>
    <row r="687" spans="1:5" x14ac:dyDescent="0.3">
      <c r="A687" t="s">
        <v>41</v>
      </c>
      <c r="B687" t="s">
        <v>3166</v>
      </c>
      <c r="C687" t="s">
        <v>467</v>
      </c>
      <c r="D687" t="s">
        <v>3165</v>
      </c>
      <c r="E687" t="s">
        <v>75</v>
      </c>
    </row>
    <row r="688" spans="1:5" x14ac:dyDescent="0.3">
      <c r="A688" t="s">
        <v>3175</v>
      </c>
      <c r="B688" t="s">
        <v>3177</v>
      </c>
      <c r="C688" t="s">
        <v>3176</v>
      </c>
      <c r="D688" t="s">
        <v>3172</v>
      </c>
      <c r="E688" t="s">
        <v>741</v>
      </c>
    </row>
    <row r="689" spans="1:5" x14ac:dyDescent="0.3">
      <c r="A689" t="s">
        <v>3184</v>
      </c>
      <c r="B689" t="s">
        <v>3185</v>
      </c>
      <c r="C689" t="s">
        <v>862</v>
      </c>
      <c r="D689" t="s">
        <v>3183</v>
      </c>
      <c r="E689" t="s">
        <v>2175</v>
      </c>
    </row>
    <row r="690" spans="1:5" x14ac:dyDescent="0.3">
      <c r="A690" t="s">
        <v>3186</v>
      </c>
      <c r="B690" t="s">
        <v>3187</v>
      </c>
      <c r="C690" t="s">
        <v>518</v>
      </c>
      <c r="D690" t="s">
        <v>3183</v>
      </c>
      <c r="E690" t="s">
        <v>2175</v>
      </c>
    </row>
    <row r="691" spans="1:5" x14ac:dyDescent="0.3">
      <c r="A691" t="s">
        <v>342</v>
      </c>
      <c r="B691" t="s">
        <v>3190</v>
      </c>
      <c r="C691" t="s">
        <v>461</v>
      </c>
      <c r="D691" t="s">
        <v>3189</v>
      </c>
      <c r="E691" t="s">
        <v>774</v>
      </c>
    </row>
    <row r="692" spans="1:5" x14ac:dyDescent="0.3">
      <c r="A692" t="s">
        <v>3198</v>
      </c>
      <c r="B692" t="s">
        <v>3199</v>
      </c>
      <c r="C692" t="s">
        <v>459</v>
      </c>
      <c r="D692" t="s">
        <v>3192</v>
      </c>
      <c r="E692" t="s">
        <v>743</v>
      </c>
    </row>
    <row r="693" spans="1:5" x14ac:dyDescent="0.3">
      <c r="A693" t="s">
        <v>3205</v>
      </c>
      <c r="B693" t="s">
        <v>171</v>
      </c>
      <c r="C693" t="s">
        <v>459</v>
      </c>
      <c r="D693" t="s">
        <v>2278</v>
      </c>
      <c r="E693" t="s">
        <v>741</v>
      </c>
    </row>
    <row r="694" spans="1:5" x14ac:dyDescent="0.3">
      <c r="A694" t="s">
        <v>3206</v>
      </c>
      <c r="B694" t="s">
        <v>3207</v>
      </c>
      <c r="C694" t="s">
        <v>456</v>
      </c>
      <c r="D694" t="s">
        <v>2278</v>
      </c>
      <c r="E694" t="s">
        <v>741</v>
      </c>
    </row>
    <row r="695" spans="1:5" x14ac:dyDescent="0.3">
      <c r="A695" t="s">
        <v>36</v>
      </c>
      <c r="B695" t="s">
        <v>3209</v>
      </c>
      <c r="C695" t="s">
        <v>455</v>
      </c>
      <c r="D695" t="s">
        <v>2278</v>
      </c>
      <c r="E695" t="s">
        <v>741</v>
      </c>
    </row>
    <row r="696" spans="1:5" x14ac:dyDescent="0.3">
      <c r="A696" t="s">
        <v>209</v>
      </c>
      <c r="B696" t="s">
        <v>3210</v>
      </c>
      <c r="C696" t="s">
        <v>467</v>
      </c>
      <c r="D696" t="s">
        <v>2278</v>
      </c>
      <c r="E696" t="s">
        <v>741</v>
      </c>
    </row>
    <row r="697" spans="1:5" x14ac:dyDescent="0.3">
      <c r="A697" t="s">
        <v>39</v>
      </c>
      <c r="B697" t="s">
        <v>3213</v>
      </c>
      <c r="C697" t="s">
        <v>459</v>
      </c>
      <c r="D697" t="s">
        <v>2278</v>
      </c>
      <c r="E697" t="s">
        <v>741</v>
      </c>
    </row>
    <row r="698" spans="1:5" x14ac:dyDescent="0.3">
      <c r="A698" t="s">
        <v>867</v>
      </c>
      <c r="B698" t="s">
        <v>3215</v>
      </c>
      <c r="C698" t="s">
        <v>455</v>
      </c>
      <c r="D698" t="s">
        <v>3214</v>
      </c>
      <c r="E698" t="s">
        <v>841</v>
      </c>
    </row>
    <row r="699" spans="1:5" x14ac:dyDescent="0.3">
      <c r="A699" t="s">
        <v>3099</v>
      </c>
      <c r="B699" t="s">
        <v>3216</v>
      </c>
      <c r="C699" t="s">
        <v>698</v>
      </c>
      <c r="D699" t="s">
        <v>3214</v>
      </c>
      <c r="E699" t="s">
        <v>841</v>
      </c>
    </row>
    <row r="700" spans="1:5" x14ac:dyDescent="0.3">
      <c r="A700" t="s">
        <v>3222</v>
      </c>
      <c r="B700" t="s">
        <v>3223</v>
      </c>
      <c r="C700" t="s">
        <v>467</v>
      </c>
      <c r="D700" t="s">
        <v>3221</v>
      </c>
      <c r="E700" t="s">
        <v>774</v>
      </c>
    </row>
    <row r="701" spans="1:5" x14ac:dyDescent="0.3">
      <c r="A701" t="s">
        <v>1920</v>
      </c>
      <c r="B701" t="s">
        <v>3227</v>
      </c>
      <c r="C701" t="s">
        <v>461</v>
      </c>
      <c r="D701" t="s">
        <v>3226</v>
      </c>
      <c r="E701" t="s">
        <v>841</v>
      </c>
    </row>
    <row r="702" spans="1:5" x14ac:dyDescent="0.3">
      <c r="A702" t="s">
        <v>1179</v>
      </c>
      <c r="B702" t="s">
        <v>3239</v>
      </c>
      <c r="C702" t="s">
        <v>3238</v>
      </c>
      <c r="D702" t="s">
        <v>2816</v>
      </c>
      <c r="E702" t="s">
        <v>841</v>
      </c>
    </row>
    <row r="703" spans="1:5" x14ac:dyDescent="0.3">
      <c r="A703" t="s">
        <v>3242</v>
      </c>
      <c r="B703" t="s">
        <v>3243</v>
      </c>
      <c r="C703" t="s">
        <v>460</v>
      </c>
      <c r="D703" t="s">
        <v>2816</v>
      </c>
      <c r="E703" t="s">
        <v>841</v>
      </c>
    </row>
    <row r="704" spans="1:5" x14ac:dyDescent="0.3">
      <c r="A704" t="s">
        <v>224</v>
      </c>
      <c r="B704" t="s">
        <v>2479</v>
      </c>
      <c r="C704" t="s">
        <v>3265</v>
      </c>
      <c r="D704" t="s">
        <v>769</v>
      </c>
      <c r="E704" t="s">
        <v>1</v>
      </c>
    </row>
    <row r="705" spans="1:5" x14ac:dyDescent="0.3">
      <c r="A705" t="s">
        <v>153</v>
      </c>
      <c r="B705" t="s">
        <v>3267</v>
      </c>
      <c r="C705" t="s">
        <v>3266</v>
      </c>
      <c r="D705" t="s">
        <v>769</v>
      </c>
      <c r="E705" t="s">
        <v>1</v>
      </c>
    </row>
    <row r="706" spans="1:5" x14ac:dyDescent="0.3">
      <c r="A706" t="s">
        <v>3270</v>
      </c>
      <c r="B706" t="s">
        <v>3270</v>
      </c>
      <c r="C706" t="s">
        <v>862</v>
      </c>
      <c r="D706" t="s">
        <v>769</v>
      </c>
      <c r="E706" t="s">
        <v>1</v>
      </c>
    </row>
    <row r="707" spans="1:5" x14ac:dyDescent="0.3">
      <c r="A707" t="s">
        <v>826</v>
      </c>
      <c r="B707" t="s">
        <v>3271</v>
      </c>
      <c r="C707" t="s">
        <v>862</v>
      </c>
      <c r="D707" t="s">
        <v>769</v>
      </c>
      <c r="E707" t="s">
        <v>1</v>
      </c>
    </row>
    <row r="708" spans="1:5" x14ac:dyDescent="0.3">
      <c r="A708" t="s">
        <v>220</v>
      </c>
      <c r="B708" t="s">
        <v>3272</v>
      </c>
      <c r="C708" t="s">
        <v>862</v>
      </c>
      <c r="D708" t="s">
        <v>769</v>
      </c>
      <c r="E708" t="s">
        <v>1</v>
      </c>
    </row>
    <row r="709" spans="1:5" x14ac:dyDescent="0.3">
      <c r="A709" t="s">
        <v>150</v>
      </c>
      <c r="B709" t="s">
        <v>1527</v>
      </c>
      <c r="C709" t="s">
        <v>862</v>
      </c>
      <c r="D709" t="s">
        <v>769</v>
      </c>
      <c r="E709" t="s">
        <v>1</v>
      </c>
    </row>
    <row r="710" spans="1:5" x14ac:dyDescent="0.3">
      <c r="A710" t="s">
        <v>20</v>
      </c>
      <c r="B710" t="s">
        <v>3273</v>
      </c>
      <c r="C710" t="s">
        <v>862</v>
      </c>
      <c r="D710" t="s">
        <v>769</v>
      </c>
      <c r="E710" t="s">
        <v>1</v>
      </c>
    </row>
    <row r="711" spans="1:5" x14ac:dyDescent="0.3">
      <c r="A711" t="s">
        <v>82</v>
      </c>
      <c r="B711" t="s">
        <v>3281</v>
      </c>
      <c r="C711" t="s">
        <v>3280</v>
      </c>
      <c r="D711" t="s">
        <v>769</v>
      </c>
      <c r="E711" t="s">
        <v>1</v>
      </c>
    </row>
    <row r="712" spans="1:5" x14ac:dyDescent="0.3">
      <c r="A712" t="s">
        <v>168</v>
      </c>
      <c r="B712" t="s">
        <v>3283</v>
      </c>
      <c r="C712" t="s">
        <v>3282</v>
      </c>
      <c r="D712" t="s">
        <v>769</v>
      </c>
      <c r="E712" t="s">
        <v>1</v>
      </c>
    </row>
    <row r="713" spans="1:5" x14ac:dyDescent="0.3">
      <c r="A713" t="s">
        <v>113</v>
      </c>
      <c r="B713" t="s">
        <v>3287</v>
      </c>
      <c r="C713" t="s">
        <v>3286</v>
      </c>
      <c r="D713" t="s">
        <v>769</v>
      </c>
      <c r="E713" t="s">
        <v>1</v>
      </c>
    </row>
    <row r="714" spans="1:5" x14ac:dyDescent="0.3">
      <c r="A714" t="s">
        <v>3291</v>
      </c>
      <c r="B714" t="s">
        <v>1668</v>
      </c>
      <c r="C714" t="s">
        <v>2716</v>
      </c>
      <c r="D714" t="s">
        <v>769</v>
      </c>
      <c r="E714" t="s">
        <v>1</v>
      </c>
    </row>
    <row r="715" spans="1:5" x14ac:dyDescent="0.3">
      <c r="A715" t="s">
        <v>315</v>
      </c>
      <c r="B715" t="s">
        <v>3294</v>
      </c>
      <c r="C715" t="s">
        <v>460</v>
      </c>
      <c r="D715" t="s">
        <v>769</v>
      </c>
      <c r="E715" t="s">
        <v>1</v>
      </c>
    </row>
    <row r="716" spans="1:5" x14ac:dyDescent="0.3">
      <c r="A716" t="s">
        <v>1970</v>
      </c>
      <c r="B716" t="s">
        <v>2047</v>
      </c>
      <c r="C716" t="s">
        <v>862</v>
      </c>
      <c r="D716" t="s">
        <v>769</v>
      </c>
      <c r="E716" t="s">
        <v>1</v>
      </c>
    </row>
    <row r="717" spans="1:5" x14ac:dyDescent="0.3">
      <c r="A717" t="s">
        <v>195</v>
      </c>
      <c r="B717" t="s">
        <v>67</v>
      </c>
      <c r="C717" t="s">
        <v>628</v>
      </c>
      <c r="D717" t="s">
        <v>769</v>
      </c>
      <c r="E717" t="s">
        <v>1</v>
      </c>
    </row>
    <row r="718" spans="1:5" x14ac:dyDescent="0.3">
      <c r="A718" t="s">
        <v>1169</v>
      </c>
      <c r="B718" t="s">
        <v>3300</v>
      </c>
      <c r="C718" t="s">
        <v>3299</v>
      </c>
      <c r="D718" t="s">
        <v>769</v>
      </c>
      <c r="E718" t="s">
        <v>1</v>
      </c>
    </row>
    <row r="719" spans="1:5" x14ac:dyDescent="0.3">
      <c r="A719" t="s">
        <v>3301</v>
      </c>
      <c r="B719" t="s">
        <v>3302</v>
      </c>
      <c r="C719" t="s">
        <v>518</v>
      </c>
      <c r="D719" t="s">
        <v>769</v>
      </c>
      <c r="E719" t="s">
        <v>1</v>
      </c>
    </row>
    <row r="720" spans="1:5" x14ac:dyDescent="0.3">
      <c r="A720" t="s">
        <v>130</v>
      </c>
      <c r="B720" t="s">
        <v>3303</v>
      </c>
      <c r="C720" t="s">
        <v>862</v>
      </c>
      <c r="D720" t="s">
        <v>769</v>
      </c>
      <c r="E720" t="s">
        <v>1</v>
      </c>
    </row>
    <row r="721" spans="1:5" x14ac:dyDescent="0.3">
      <c r="A721" t="s">
        <v>3304</v>
      </c>
      <c r="B721" t="s">
        <v>3305</v>
      </c>
      <c r="C721" t="s">
        <v>862</v>
      </c>
      <c r="D721" t="s">
        <v>769</v>
      </c>
      <c r="E721" t="s">
        <v>1</v>
      </c>
    </row>
    <row r="722" spans="1:5" x14ac:dyDescent="0.3">
      <c r="A722" t="s">
        <v>3217</v>
      </c>
      <c r="B722" t="s">
        <v>3306</v>
      </c>
      <c r="C722" t="s">
        <v>862</v>
      </c>
      <c r="D722" t="s">
        <v>769</v>
      </c>
      <c r="E722" t="s">
        <v>1</v>
      </c>
    </row>
    <row r="723" spans="1:5" x14ac:dyDescent="0.3">
      <c r="A723" t="s">
        <v>82</v>
      </c>
      <c r="B723" t="s">
        <v>2833</v>
      </c>
      <c r="C723" t="s">
        <v>518</v>
      </c>
      <c r="D723" t="s">
        <v>769</v>
      </c>
      <c r="E723" t="s">
        <v>1</v>
      </c>
    </row>
    <row r="724" spans="1:5" x14ac:dyDescent="0.3">
      <c r="A724" t="s">
        <v>177</v>
      </c>
      <c r="B724" t="s">
        <v>2389</v>
      </c>
      <c r="C724" t="s">
        <v>3307</v>
      </c>
      <c r="D724" t="s">
        <v>769</v>
      </c>
      <c r="E724" t="s">
        <v>1</v>
      </c>
    </row>
    <row r="725" spans="1:5" x14ac:dyDescent="0.3">
      <c r="A725" t="s">
        <v>182</v>
      </c>
      <c r="B725" t="s">
        <v>1118</v>
      </c>
      <c r="C725" t="s">
        <v>3308</v>
      </c>
      <c r="D725" t="s">
        <v>769</v>
      </c>
      <c r="E725" t="s">
        <v>1</v>
      </c>
    </row>
    <row r="726" spans="1:5" x14ac:dyDescent="0.3">
      <c r="A726" t="s">
        <v>3309</v>
      </c>
      <c r="B726" t="s">
        <v>3311</v>
      </c>
      <c r="C726" t="s">
        <v>3310</v>
      </c>
      <c r="D726" t="s">
        <v>769</v>
      </c>
      <c r="E726" t="s">
        <v>1</v>
      </c>
    </row>
    <row r="727" spans="1:5" x14ac:dyDescent="0.3">
      <c r="A727" t="s">
        <v>3312</v>
      </c>
      <c r="B727" t="s">
        <v>3313</v>
      </c>
      <c r="C727" t="s">
        <v>862</v>
      </c>
      <c r="D727" t="s">
        <v>769</v>
      </c>
      <c r="E727" t="s">
        <v>1</v>
      </c>
    </row>
    <row r="728" spans="1:5" x14ac:dyDescent="0.3">
      <c r="A728" t="s">
        <v>3314</v>
      </c>
      <c r="B728" t="s">
        <v>3315</v>
      </c>
      <c r="C728" t="s">
        <v>862</v>
      </c>
      <c r="D728" t="s">
        <v>769</v>
      </c>
      <c r="E728" t="s">
        <v>1</v>
      </c>
    </row>
    <row r="729" spans="1:5" x14ac:dyDescent="0.3">
      <c r="A729" t="s">
        <v>130</v>
      </c>
      <c r="B729" t="s">
        <v>199</v>
      </c>
      <c r="C729" t="s">
        <v>3316</v>
      </c>
      <c r="D729" t="s">
        <v>769</v>
      </c>
      <c r="E729" t="s">
        <v>1</v>
      </c>
    </row>
    <row r="730" spans="1:5" x14ac:dyDescent="0.3">
      <c r="A730" t="s">
        <v>112</v>
      </c>
      <c r="B730" t="s">
        <v>3318</v>
      </c>
      <c r="C730" t="s">
        <v>862</v>
      </c>
      <c r="D730" t="s">
        <v>769</v>
      </c>
      <c r="E730" t="s">
        <v>1</v>
      </c>
    </row>
    <row r="731" spans="1:5" x14ac:dyDescent="0.3">
      <c r="A731" t="s">
        <v>1985</v>
      </c>
      <c r="B731" t="s">
        <v>3330</v>
      </c>
      <c r="C731" t="s">
        <v>862</v>
      </c>
      <c r="D731" t="s">
        <v>769</v>
      </c>
      <c r="E731" t="s">
        <v>1</v>
      </c>
    </row>
    <row r="732" spans="1:5" x14ac:dyDescent="0.3">
      <c r="A732" t="s">
        <v>1713</v>
      </c>
      <c r="B732" t="s">
        <v>3332</v>
      </c>
      <c r="C732" t="s">
        <v>862</v>
      </c>
      <c r="D732" t="s">
        <v>769</v>
      </c>
      <c r="E732" t="s">
        <v>1</v>
      </c>
    </row>
    <row r="733" spans="1:5" x14ac:dyDescent="0.3">
      <c r="A733" t="s">
        <v>740</v>
      </c>
      <c r="B733" t="s">
        <v>3334</v>
      </c>
      <c r="C733" t="s">
        <v>461</v>
      </c>
      <c r="D733" t="s">
        <v>769</v>
      </c>
      <c r="E733" t="s">
        <v>1</v>
      </c>
    </row>
    <row r="734" spans="1:5" x14ac:dyDescent="0.3">
      <c r="A734" t="s">
        <v>952</v>
      </c>
      <c r="B734" t="s">
        <v>3342</v>
      </c>
      <c r="C734" t="s">
        <v>3341</v>
      </c>
      <c r="D734" t="s">
        <v>769</v>
      </c>
      <c r="E734" t="s">
        <v>1</v>
      </c>
    </row>
    <row r="735" spans="1:5" x14ac:dyDescent="0.3">
      <c r="A735" t="s">
        <v>3150</v>
      </c>
      <c r="B735" t="s">
        <v>3065</v>
      </c>
      <c r="C735" t="s">
        <v>3343</v>
      </c>
      <c r="D735" t="s">
        <v>769</v>
      </c>
      <c r="E735" t="s">
        <v>1</v>
      </c>
    </row>
    <row r="736" spans="1:5" x14ac:dyDescent="0.3">
      <c r="A736" t="s">
        <v>2781</v>
      </c>
      <c r="B736" t="s">
        <v>2532</v>
      </c>
      <c r="C736" t="s">
        <v>3344</v>
      </c>
      <c r="D736" t="s">
        <v>769</v>
      </c>
      <c r="E736" t="s">
        <v>1</v>
      </c>
    </row>
    <row r="737" spans="1:5" x14ac:dyDescent="0.3">
      <c r="A737" t="s">
        <v>153</v>
      </c>
      <c r="B737" t="s">
        <v>3347</v>
      </c>
      <c r="C737" t="s">
        <v>862</v>
      </c>
      <c r="D737" t="s">
        <v>769</v>
      </c>
      <c r="E737" t="s">
        <v>1</v>
      </c>
    </row>
    <row r="738" spans="1:5" x14ac:dyDescent="0.3">
      <c r="A738" t="s">
        <v>941</v>
      </c>
      <c r="B738" t="s">
        <v>3351</v>
      </c>
      <c r="C738" t="s">
        <v>862</v>
      </c>
      <c r="D738" t="s">
        <v>769</v>
      </c>
      <c r="E738" t="s">
        <v>1</v>
      </c>
    </row>
    <row r="739" spans="1:5" x14ac:dyDescent="0.3">
      <c r="A739" t="s">
        <v>386</v>
      </c>
      <c r="B739" t="s">
        <v>3357</v>
      </c>
      <c r="C739" t="s">
        <v>862</v>
      </c>
      <c r="D739" t="s">
        <v>769</v>
      </c>
      <c r="E739" t="s">
        <v>1</v>
      </c>
    </row>
    <row r="740" spans="1:5" x14ac:dyDescent="0.3">
      <c r="A740" t="s">
        <v>2113</v>
      </c>
      <c r="B740" t="s">
        <v>2429</v>
      </c>
      <c r="C740" t="s">
        <v>3361</v>
      </c>
      <c r="D740" t="s">
        <v>769</v>
      </c>
      <c r="E740" t="s">
        <v>1</v>
      </c>
    </row>
    <row r="741" spans="1:5" x14ac:dyDescent="0.3">
      <c r="A741" t="s">
        <v>3365</v>
      </c>
      <c r="B741" t="s">
        <v>3366</v>
      </c>
      <c r="C741" t="s">
        <v>2571</v>
      </c>
      <c r="D741" t="s">
        <v>769</v>
      </c>
      <c r="E741" t="s">
        <v>1</v>
      </c>
    </row>
    <row r="742" spans="1:5" x14ac:dyDescent="0.3">
      <c r="A742" t="s">
        <v>8254</v>
      </c>
      <c r="B742" t="s">
        <v>1634</v>
      </c>
      <c r="C742" t="s">
        <v>3368</v>
      </c>
      <c r="D742" t="s">
        <v>769</v>
      </c>
      <c r="E742" t="s">
        <v>1</v>
      </c>
    </row>
    <row r="743" spans="1:5" x14ac:dyDescent="0.3">
      <c r="A743" t="s">
        <v>3370</v>
      </c>
      <c r="B743" t="s">
        <v>3372</v>
      </c>
      <c r="C743" t="s">
        <v>3371</v>
      </c>
      <c r="D743" t="s">
        <v>769</v>
      </c>
      <c r="E743" t="s">
        <v>1</v>
      </c>
    </row>
    <row r="744" spans="1:5" x14ac:dyDescent="0.3">
      <c r="A744" t="s">
        <v>2653</v>
      </c>
      <c r="B744" t="s">
        <v>3374</v>
      </c>
      <c r="C744" t="s">
        <v>3373</v>
      </c>
      <c r="D744" t="s">
        <v>769</v>
      </c>
      <c r="E744" t="s">
        <v>1</v>
      </c>
    </row>
    <row r="745" spans="1:5" x14ac:dyDescent="0.3">
      <c r="A745" t="s">
        <v>3103</v>
      </c>
      <c r="B745" t="s">
        <v>3378</v>
      </c>
      <c r="C745" t="s">
        <v>3377</v>
      </c>
      <c r="D745" t="s">
        <v>769</v>
      </c>
      <c r="E745" t="s">
        <v>1</v>
      </c>
    </row>
    <row r="746" spans="1:5" x14ac:dyDescent="0.3">
      <c r="A746" t="s">
        <v>206</v>
      </c>
      <c r="B746" t="s">
        <v>3379</v>
      </c>
      <c r="C746" t="s">
        <v>2571</v>
      </c>
      <c r="D746" t="s">
        <v>769</v>
      </c>
      <c r="E746" t="s">
        <v>1</v>
      </c>
    </row>
    <row r="747" spans="1:5" x14ac:dyDescent="0.3">
      <c r="A747" t="s">
        <v>3381</v>
      </c>
      <c r="B747" t="s">
        <v>3382</v>
      </c>
      <c r="C747" t="s">
        <v>2571</v>
      </c>
      <c r="D747" t="s">
        <v>769</v>
      </c>
      <c r="E747" t="s">
        <v>1</v>
      </c>
    </row>
    <row r="748" spans="1:5" x14ac:dyDescent="0.3">
      <c r="A748" t="s">
        <v>3383</v>
      </c>
      <c r="B748" t="s">
        <v>3384</v>
      </c>
      <c r="C748" t="s">
        <v>2571</v>
      </c>
      <c r="D748" t="s">
        <v>769</v>
      </c>
      <c r="E748" t="s">
        <v>1</v>
      </c>
    </row>
    <row r="749" spans="1:5" x14ac:dyDescent="0.3">
      <c r="A749" t="s">
        <v>3385</v>
      </c>
      <c r="B749" t="s">
        <v>3386</v>
      </c>
      <c r="C749" t="s">
        <v>2571</v>
      </c>
      <c r="D749" t="s">
        <v>769</v>
      </c>
      <c r="E749" t="s">
        <v>1</v>
      </c>
    </row>
    <row r="750" spans="1:5" x14ac:dyDescent="0.3">
      <c r="A750" t="s">
        <v>3387</v>
      </c>
      <c r="B750" t="s">
        <v>3388</v>
      </c>
      <c r="C750" t="s">
        <v>2571</v>
      </c>
      <c r="D750" t="s">
        <v>769</v>
      </c>
      <c r="E750" t="s">
        <v>1</v>
      </c>
    </row>
    <row r="751" spans="1:5" x14ac:dyDescent="0.3">
      <c r="A751" t="s">
        <v>1396</v>
      </c>
      <c r="B751" t="s">
        <v>3392</v>
      </c>
      <c r="C751" t="s">
        <v>2571</v>
      </c>
      <c r="D751" t="s">
        <v>943</v>
      </c>
      <c r="E751" t="s">
        <v>1</v>
      </c>
    </row>
    <row r="752" spans="1:5" x14ac:dyDescent="0.3">
      <c r="A752" t="s">
        <v>3399</v>
      </c>
      <c r="B752" t="s">
        <v>3085</v>
      </c>
      <c r="C752" t="s">
        <v>3400</v>
      </c>
      <c r="D752" t="s">
        <v>943</v>
      </c>
      <c r="E752" t="s">
        <v>1</v>
      </c>
    </row>
    <row r="753" spans="1:5" x14ac:dyDescent="0.3">
      <c r="A753" t="s">
        <v>150</v>
      </c>
      <c r="B753" t="s">
        <v>3413</v>
      </c>
      <c r="C753" t="s">
        <v>3412</v>
      </c>
      <c r="D753" t="s">
        <v>943</v>
      </c>
      <c r="E753" t="s">
        <v>1</v>
      </c>
    </row>
    <row r="754" spans="1:5" x14ac:dyDescent="0.3">
      <c r="A754" t="s">
        <v>131</v>
      </c>
      <c r="B754" t="s">
        <v>80</v>
      </c>
      <c r="C754" t="s">
        <v>3416</v>
      </c>
      <c r="D754" t="s">
        <v>943</v>
      </c>
      <c r="E754" t="s">
        <v>1</v>
      </c>
    </row>
    <row r="755" spans="1:5" x14ac:dyDescent="0.3">
      <c r="A755" t="s">
        <v>3417</v>
      </c>
      <c r="B755" t="s">
        <v>3418</v>
      </c>
      <c r="C755" t="s">
        <v>862</v>
      </c>
      <c r="D755" t="s">
        <v>943</v>
      </c>
      <c r="E755" t="s">
        <v>1</v>
      </c>
    </row>
    <row r="756" spans="1:5" x14ac:dyDescent="0.3">
      <c r="A756" t="s">
        <v>931</v>
      </c>
      <c r="B756" t="s">
        <v>3420</v>
      </c>
      <c r="C756" t="s">
        <v>3419</v>
      </c>
      <c r="D756" t="s">
        <v>943</v>
      </c>
      <c r="E756" t="s">
        <v>1</v>
      </c>
    </row>
    <row r="757" spans="1:5" x14ac:dyDescent="0.3">
      <c r="A757" t="s">
        <v>246</v>
      </c>
      <c r="B757" t="s">
        <v>3422</v>
      </c>
      <c r="C757" t="s">
        <v>459</v>
      </c>
      <c r="D757" t="s">
        <v>895</v>
      </c>
      <c r="E757" t="s">
        <v>897</v>
      </c>
    </row>
    <row r="758" spans="1:5" x14ac:dyDescent="0.3">
      <c r="A758" t="s">
        <v>195</v>
      </c>
      <c r="B758" t="s">
        <v>3424</v>
      </c>
      <c r="C758" t="s">
        <v>862</v>
      </c>
      <c r="D758" t="s">
        <v>895</v>
      </c>
      <c r="E758" t="s">
        <v>897</v>
      </c>
    </row>
    <row r="759" spans="1:5" x14ac:dyDescent="0.3">
      <c r="A759" t="s">
        <v>3425</v>
      </c>
      <c r="B759" t="s">
        <v>824</v>
      </c>
      <c r="C759" t="s">
        <v>518</v>
      </c>
      <c r="D759" t="s">
        <v>895</v>
      </c>
      <c r="E759" t="s">
        <v>897</v>
      </c>
    </row>
    <row r="760" spans="1:5" x14ac:dyDescent="0.3">
      <c r="A760" t="s">
        <v>1556</v>
      </c>
      <c r="B760" t="s">
        <v>3432</v>
      </c>
      <c r="C760" t="s">
        <v>467</v>
      </c>
      <c r="D760" t="s">
        <v>3427</v>
      </c>
      <c r="E760" t="s">
        <v>1</v>
      </c>
    </row>
    <row r="761" spans="1:5" x14ac:dyDescent="0.3">
      <c r="A761" t="s">
        <v>3447</v>
      </c>
      <c r="B761" t="s">
        <v>3448</v>
      </c>
      <c r="C761" t="s">
        <v>461</v>
      </c>
      <c r="D761" t="s">
        <v>3445</v>
      </c>
      <c r="E761" t="s">
        <v>841</v>
      </c>
    </row>
    <row r="762" spans="1:5" x14ac:dyDescent="0.3">
      <c r="A762" t="s">
        <v>2768</v>
      </c>
      <c r="B762" t="s">
        <v>1298</v>
      </c>
      <c r="C762" t="s">
        <v>3454</v>
      </c>
      <c r="D762" t="s">
        <v>768</v>
      </c>
      <c r="E762" t="s">
        <v>1</v>
      </c>
    </row>
    <row r="763" spans="1:5" x14ac:dyDescent="0.3">
      <c r="A763" t="s">
        <v>867</v>
      </c>
      <c r="B763" t="s">
        <v>2966</v>
      </c>
      <c r="C763" t="s">
        <v>467</v>
      </c>
      <c r="D763" t="s">
        <v>768</v>
      </c>
      <c r="E763" t="s">
        <v>1</v>
      </c>
    </row>
    <row r="764" spans="1:5" x14ac:dyDescent="0.3">
      <c r="A764" t="s">
        <v>1018</v>
      </c>
      <c r="B764" t="s">
        <v>3475</v>
      </c>
      <c r="C764" t="s">
        <v>459</v>
      </c>
      <c r="D764" t="s">
        <v>768</v>
      </c>
      <c r="E764" t="s">
        <v>1</v>
      </c>
    </row>
    <row r="765" spans="1:5" x14ac:dyDescent="0.3">
      <c r="A765" t="s">
        <v>185</v>
      </c>
      <c r="B765" t="s">
        <v>3477</v>
      </c>
      <c r="C765" t="s">
        <v>3476</v>
      </c>
      <c r="D765" t="s">
        <v>768</v>
      </c>
      <c r="E765" t="s">
        <v>1</v>
      </c>
    </row>
    <row r="766" spans="1:5" x14ac:dyDescent="0.3">
      <c r="A766" t="s">
        <v>3480</v>
      </c>
      <c r="B766" t="s">
        <v>3481</v>
      </c>
      <c r="C766" t="s">
        <v>862</v>
      </c>
      <c r="D766" t="s">
        <v>768</v>
      </c>
      <c r="E766" t="s">
        <v>1</v>
      </c>
    </row>
    <row r="767" spans="1:5" x14ac:dyDescent="0.3">
      <c r="A767" t="s">
        <v>182</v>
      </c>
      <c r="B767" t="s">
        <v>3484</v>
      </c>
      <c r="C767" t="s">
        <v>3483</v>
      </c>
      <c r="D767" t="s">
        <v>768</v>
      </c>
      <c r="E767" t="s">
        <v>1</v>
      </c>
    </row>
    <row r="768" spans="1:5" x14ac:dyDescent="0.3">
      <c r="A768" t="s">
        <v>2514</v>
      </c>
      <c r="B768" t="s">
        <v>2477</v>
      </c>
      <c r="C768" t="s">
        <v>862</v>
      </c>
      <c r="D768" t="s">
        <v>768</v>
      </c>
      <c r="E768" t="s">
        <v>1</v>
      </c>
    </row>
    <row r="769" spans="1:5" x14ac:dyDescent="0.3">
      <c r="A769" t="s">
        <v>1026</v>
      </c>
      <c r="B769" t="s">
        <v>3485</v>
      </c>
      <c r="C769" t="s">
        <v>862</v>
      </c>
      <c r="D769" t="s">
        <v>768</v>
      </c>
      <c r="E769" t="s">
        <v>1</v>
      </c>
    </row>
    <row r="770" spans="1:5" x14ac:dyDescent="0.3">
      <c r="A770" t="s">
        <v>1397</v>
      </c>
      <c r="B770" t="s">
        <v>3487</v>
      </c>
      <c r="C770" t="s">
        <v>3486</v>
      </c>
      <c r="D770" t="s">
        <v>768</v>
      </c>
      <c r="E770" t="s">
        <v>1</v>
      </c>
    </row>
    <row r="771" spans="1:5" x14ac:dyDescent="0.3">
      <c r="A771" t="s">
        <v>271</v>
      </c>
      <c r="B771" t="s">
        <v>3491</v>
      </c>
      <c r="C771" t="s">
        <v>628</v>
      </c>
      <c r="D771" t="s">
        <v>768</v>
      </c>
      <c r="E771" t="s">
        <v>1</v>
      </c>
    </row>
    <row r="772" spans="1:5" x14ac:dyDescent="0.3">
      <c r="A772" t="s">
        <v>3251</v>
      </c>
      <c r="B772" t="s">
        <v>3492</v>
      </c>
      <c r="C772" t="s">
        <v>518</v>
      </c>
      <c r="D772" t="s">
        <v>768</v>
      </c>
      <c r="E772" t="s">
        <v>1</v>
      </c>
    </row>
    <row r="773" spans="1:5" x14ac:dyDescent="0.3">
      <c r="A773" t="s">
        <v>1720</v>
      </c>
      <c r="B773" t="s">
        <v>1668</v>
      </c>
      <c r="C773" t="s">
        <v>518</v>
      </c>
      <c r="D773" t="s">
        <v>768</v>
      </c>
      <c r="E773" t="s">
        <v>1</v>
      </c>
    </row>
    <row r="774" spans="1:5" x14ac:dyDescent="0.3">
      <c r="A774" t="s">
        <v>3493</v>
      </c>
      <c r="B774" t="s">
        <v>3157</v>
      </c>
      <c r="C774" t="s">
        <v>2571</v>
      </c>
      <c r="D774" t="s">
        <v>768</v>
      </c>
      <c r="E774" t="s">
        <v>1</v>
      </c>
    </row>
    <row r="775" spans="1:5" x14ac:dyDescent="0.3">
      <c r="A775" t="s">
        <v>843</v>
      </c>
      <c r="B775" t="s">
        <v>3495</v>
      </c>
      <c r="C775" t="s">
        <v>3494</v>
      </c>
      <c r="D775" t="s">
        <v>768</v>
      </c>
      <c r="E775" t="s">
        <v>1</v>
      </c>
    </row>
    <row r="776" spans="1:5" x14ac:dyDescent="0.3">
      <c r="A776" t="s">
        <v>157</v>
      </c>
      <c r="B776" t="s">
        <v>3496</v>
      </c>
      <c r="C776" t="s">
        <v>518</v>
      </c>
      <c r="D776" t="s">
        <v>768</v>
      </c>
      <c r="E776" t="s">
        <v>1</v>
      </c>
    </row>
    <row r="777" spans="1:5" x14ac:dyDescent="0.3">
      <c r="A777" t="s">
        <v>3498</v>
      </c>
      <c r="B777" t="s">
        <v>1160</v>
      </c>
      <c r="C777" t="s">
        <v>862</v>
      </c>
      <c r="D777" t="s">
        <v>768</v>
      </c>
      <c r="E777" t="s">
        <v>1</v>
      </c>
    </row>
    <row r="778" spans="1:5" x14ac:dyDescent="0.3">
      <c r="A778" t="s">
        <v>298</v>
      </c>
      <c r="B778" t="s">
        <v>3501</v>
      </c>
      <c r="C778" t="s">
        <v>459</v>
      </c>
      <c r="D778" t="s">
        <v>869</v>
      </c>
      <c r="E778" t="s">
        <v>781</v>
      </c>
    </row>
    <row r="779" spans="1:5" x14ac:dyDescent="0.3">
      <c r="A779" t="s">
        <v>132</v>
      </c>
      <c r="B779" t="s">
        <v>1046</v>
      </c>
      <c r="C779" t="s">
        <v>3502</v>
      </c>
      <c r="D779" t="s">
        <v>768</v>
      </c>
      <c r="E779" t="s">
        <v>1</v>
      </c>
    </row>
    <row r="780" spans="1:5" x14ac:dyDescent="0.3">
      <c r="A780" t="s">
        <v>342</v>
      </c>
      <c r="B780" t="s">
        <v>2833</v>
      </c>
      <c r="C780" t="s">
        <v>862</v>
      </c>
      <c r="D780" t="s">
        <v>768</v>
      </c>
      <c r="E780" t="s">
        <v>1</v>
      </c>
    </row>
    <row r="781" spans="1:5" x14ac:dyDescent="0.3">
      <c r="A781" t="s">
        <v>79</v>
      </c>
      <c r="B781" t="s">
        <v>3506</v>
      </c>
      <c r="C781" t="s">
        <v>862</v>
      </c>
      <c r="D781" t="s">
        <v>768</v>
      </c>
      <c r="E781" t="s">
        <v>1</v>
      </c>
    </row>
    <row r="782" spans="1:5" x14ac:dyDescent="0.3">
      <c r="A782" t="s">
        <v>3509</v>
      </c>
      <c r="B782" t="s">
        <v>3511</v>
      </c>
      <c r="C782" t="s">
        <v>3510</v>
      </c>
      <c r="D782" t="s">
        <v>768</v>
      </c>
      <c r="E782" t="s">
        <v>1</v>
      </c>
    </row>
    <row r="783" spans="1:5" x14ac:dyDescent="0.3">
      <c r="A783" t="s">
        <v>3512</v>
      </c>
      <c r="B783" t="s">
        <v>3513</v>
      </c>
      <c r="C783" t="s">
        <v>862</v>
      </c>
      <c r="D783" t="s">
        <v>768</v>
      </c>
      <c r="E783" t="s">
        <v>1</v>
      </c>
    </row>
    <row r="784" spans="1:5" x14ac:dyDescent="0.3">
      <c r="A784" t="s">
        <v>22</v>
      </c>
      <c r="B784" t="s">
        <v>3514</v>
      </c>
      <c r="C784" t="s">
        <v>3343</v>
      </c>
      <c r="D784" t="s">
        <v>768</v>
      </c>
      <c r="E784" t="s">
        <v>1</v>
      </c>
    </row>
    <row r="785" spans="1:5" x14ac:dyDescent="0.3">
      <c r="A785" t="s">
        <v>3519</v>
      </c>
      <c r="B785" t="s">
        <v>3520</v>
      </c>
      <c r="C785" t="s">
        <v>862</v>
      </c>
      <c r="D785" t="s">
        <v>768</v>
      </c>
      <c r="E785" t="s">
        <v>1</v>
      </c>
    </row>
    <row r="786" spans="1:5" x14ac:dyDescent="0.3">
      <c r="A786" t="s">
        <v>1203</v>
      </c>
      <c r="B786" t="s">
        <v>3522</v>
      </c>
      <c r="C786" t="s">
        <v>3521</v>
      </c>
      <c r="D786" t="s">
        <v>768</v>
      </c>
      <c r="E786" t="s">
        <v>1</v>
      </c>
    </row>
    <row r="787" spans="1:5" x14ac:dyDescent="0.3">
      <c r="A787" t="s">
        <v>3523</v>
      </c>
      <c r="B787" t="s">
        <v>3524</v>
      </c>
      <c r="C787" t="s">
        <v>2571</v>
      </c>
      <c r="D787" t="s">
        <v>768</v>
      </c>
      <c r="E787" t="s">
        <v>1</v>
      </c>
    </row>
    <row r="788" spans="1:5" x14ac:dyDescent="0.3">
      <c r="A788" t="s">
        <v>3525</v>
      </c>
      <c r="B788" t="s">
        <v>3526</v>
      </c>
      <c r="C788" t="s">
        <v>2571</v>
      </c>
      <c r="D788" t="s">
        <v>768</v>
      </c>
      <c r="E788" t="s">
        <v>1</v>
      </c>
    </row>
    <row r="789" spans="1:5" x14ac:dyDescent="0.3">
      <c r="A789" t="s">
        <v>2686</v>
      </c>
      <c r="B789" t="s">
        <v>66</v>
      </c>
      <c r="C789" t="s">
        <v>862</v>
      </c>
      <c r="D789" t="s">
        <v>768</v>
      </c>
      <c r="E789" t="s">
        <v>1</v>
      </c>
    </row>
    <row r="790" spans="1:5" x14ac:dyDescent="0.3">
      <c r="A790" t="s">
        <v>1357</v>
      </c>
      <c r="B790" t="s">
        <v>3528</v>
      </c>
      <c r="C790" t="s">
        <v>862</v>
      </c>
      <c r="D790" t="s">
        <v>768</v>
      </c>
      <c r="E790" t="s">
        <v>1</v>
      </c>
    </row>
    <row r="791" spans="1:5" x14ac:dyDescent="0.3">
      <c r="A791" t="s">
        <v>41</v>
      </c>
      <c r="B791" t="s">
        <v>3529</v>
      </c>
      <c r="C791" t="s">
        <v>862</v>
      </c>
      <c r="D791" t="s">
        <v>768</v>
      </c>
      <c r="E791" t="s">
        <v>1</v>
      </c>
    </row>
    <row r="792" spans="1:5" x14ac:dyDescent="0.3">
      <c r="A792" t="s">
        <v>3530</v>
      </c>
      <c r="B792" t="s">
        <v>3531</v>
      </c>
      <c r="C792" t="s">
        <v>862</v>
      </c>
      <c r="D792" t="s">
        <v>768</v>
      </c>
      <c r="E792" t="s">
        <v>1</v>
      </c>
    </row>
    <row r="793" spans="1:5" x14ac:dyDescent="0.3">
      <c r="A793" t="s">
        <v>3532</v>
      </c>
      <c r="B793" t="s">
        <v>3533</v>
      </c>
      <c r="C793" t="s">
        <v>862</v>
      </c>
      <c r="D793" t="s">
        <v>768</v>
      </c>
      <c r="E793" t="s">
        <v>1</v>
      </c>
    </row>
    <row r="794" spans="1:5" x14ac:dyDescent="0.3">
      <c r="A794" t="s">
        <v>3534</v>
      </c>
      <c r="B794" t="s">
        <v>3536</v>
      </c>
      <c r="C794" t="s">
        <v>3535</v>
      </c>
      <c r="D794" t="s">
        <v>768</v>
      </c>
      <c r="E794" t="s">
        <v>1</v>
      </c>
    </row>
    <row r="795" spans="1:5" x14ac:dyDescent="0.3">
      <c r="A795" t="s">
        <v>199</v>
      </c>
      <c r="B795" t="s">
        <v>427</v>
      </c>
      <c r="C795" t="s">
        <v>3539</v>
      </c>
      <c r="D795" t="s">
        <v>768</v>
      </c>
      <c r="E795" t="s">
        <v>1</v>
      </c>
    </row>
    <row r="796" spans="1:5" x14ac:dyDescent="0.3">
      <c r="A796" t="s">
        <v>3542</v>
      </c>
      <c r="B796" t="s">
        <v>3544</v>
      </c>
      <c r="C796" t="s">
        <v>3543</v>
      </c>
      <c r="D796" t="s">
        <v>2816</v>
      </c>
      <c r="E796" t="s">
        <v>841</v>
      </c>
    </row>
    <row r="797" spans="1:5" x14ac:dyDescent="0.3">
      <c r="A797" t="s">
        <v>1972</v>
      </c>
      <c r="B797" t="s">
        <v>1206</v>
      </c>
      <c r="C797" t="s">
        <v>862</v>
      </c>
      <c r="D797" t="s">
        <v>768</v>
      </c>
      <c r="E797" t="s">
        <v>1</v>
      </c>
    </row>
    <row r="798" spans="1:5" x14ac:dyDescent="0.3">
      <c r="A798" t="s">
        <v>2989</v>
      </c>
      <c r="B798" t="s">
        <v>3548</v>
      </c>
      <c r="C798" t="s">
        <v>467</v>
      </c>
      <c r="D798" t="s">
        <v>768</v>
      </c>
      <c r="E798" t="s">
        <v>1</v>
      </c>
    </row>
    <row r="799" spans="1:5" x14ac:dyDescent="0.3">
      <c r="A799" t="s">
        <v>38</v>
      </c>
      <c r="B799" t="s">
        <v>3552</v>
      </c>
      <c r="C799" t="s">
        <v>457</v>
      </c>
      <c r="D799" t="s">
        <v>3551</v>
      </c>
      <c r="E799" t="s">
        <v>781</v>
      </c>
    </row>
    <row r="800" spans="1:5" x14ac:dyDescent="0.3">
      <c r="A800" t="s">
        <v>160</v>
      </c>
      <c r="B800" t="s">
        <v>3553</v>
      </c>
      <c r="C800" t="s">
        <v>467</v>
      </c>
      <c r="D800" t="s">
        <v>3551</v>
      </c>
      <c r="E800" t="s">
        <v>781</v>
      </c>
    </row>
    <row r="801" spans="1:5" x14ac:dyDescent="0.3">
      <c r="A801" t="s">
        <v>411</v>
      </c>
      <c r="B801" t="s">
        <v>3552</v>
      </c>
      <c r="C801" t="s">
        <v>3555</v>
      </c>
      <c r="D801" t="s">
        <v>3551</v>
      </c>
      <c r="E801" t="s">
        <v>781</v>
      </c>
    </row>
    <row r="802" spans="1:5" x14ac:dyDescent="0.3">
      <c r="A802" t="s">
        <v>3564</v>
      </c>
      <c r="B802" t="s">
        <v>3565</v>
      </c>
      <c r="C802" t="s">
        <v>3109</v>
      </c>
      <c r="D802" t="s">
        <v>3560</v>
      </c>
      <c r="E802" t="s">
        <v>75</v>
      </c>
    </row>
    <row r="803" spans="1:5" x14ac:dyDescent="0.3">
      <c r="A803" t="s">
        <v>2943</v>
      </c>
      <c r="B803" t="s">
        <v>3578</v>
      </c>
      <c r="C803" t="s">
        <v>467</v>
      </c>
      <c r="D803" t="s">
        <v>930</v>
      </c>
      <c r="E803" t="s">
        <v>1</v>
      </c>
    </row>
    <row r="804" spans="1:5" x14ac:dyDescent="0.3">
      <c r="A804" t="s">
        <v>3581</v>
      </c>
      <c r="B804" t="s">
        <v>3582</v>
      </c>
      <c r="C804" t="s">
        <v>460</v>
      </c>
      <c r="D804" t="s">
        <v>930</v>
      </c>
      <c r="E804" t="s">
        <v>1</v>
      </c>
    </row>
    <row r="805" spans="1:5" x14ac:dyDescent="0.3">
      <c r="A805" t="s">
        <v>50</v>
      </c>
      <c r="B805" t="s">
        <v>3585</v>
      </c>
      <c r="C805" t="s">
        <v>467</v>
      </c>
      <c r="D805" t="s">
        <v>3584</v>
      </c>
      <c r="E805" t="s">
        <v>781</v>
      </c>
    </row>
    <row r="806" spans="1:5" x14ac:dyDescent="0.3">
      <c r="A806" t="s">
        <v>129</v>
      </c>
      <c r="B806" t="s">
        <v>287</v>
      </c>
      <c r="C806" t="s">
        <v>3589</v>
      </c>
      <c r="D806" t="s">
        <v>3588</v>
      </c>
      <c r="E806" t="s">
        <v>761</v>
      </c>
    </row>
    <row r="807" spans="1:5" x14ac:dyDescent="0.3">
      <c r="A807" t="s">
        <v>3591</v>
      </c>
      <c r="B807" t="s">
        <v>3592</v>
      </c>
      <c r="C807" t="s">
        <v>461</v>
      </c>
      <c r="D807" t="s">
        <v>3590</v>
      </c>
      <c r="E807" t="s">
        <v>75</v>
      </c>
    </row>
    <row r="808" spans="1:5" x14ac:dyDescent="0.3">
      <c r="A808" t="s">
        <v>327</v>
      </c>
      <c r="B808" t="s">
        <v>3599</v>
      </c>
      <c r="C808" t="s">
        <v>720</v>
      </c>
      <c r="D808" t="s">
        <v>3598</v>
      </c>
      <c r="E808" t="s">
        <v>758</v>
      </c>
    </row>
    <row r="809" spans="1:5" x14ac:dyDescent="0.3">
      <c r="A809" t="s">
        <v>1433</v>
      </c>
      <c r="B809" t="s">
        <v>3606</v>
      </c>
      <c r="C809" t="s">
        <v>467</v>
      </c>
      <c r="D809" t="s">
        <v>2616</v>
      </c>
      <c r="E809" t="s">
        <v>75</v>
      </c>
    </row>
    <row r="810" spans="1:5" x14ac:dyDescent="0.3">
      <c r="A810" t="s">
        <v>3608</v>
      </c>
      <c r="B810" t="s">
        <v>3609</v>
      </c>
      <c r="C810" t="s">
        <v>460</v>
      </c>
      <c r="D810" t="s">
        <v>2616</v>
      </c>
      <c r="E810" t="s">
        <v>75</v>
      </c>
    </row>
    <row r="811" spans="1:5" x14ac:dyDescent="0.3">
      <c r="A811" t="s">
        <v>195</v>
      </c>
      <c r="B811" t="s">
        <v>210</v>
      </c>
      <c r="C811" t="s">
        <v>3622</v>
      </c>
      <c r="D811" t="s">
        <v>1716</v>
      </c>
      <c r="E811" t="s">
        <v>741</v>
      </c>
    </row>
    <row r="812" spans="1:5" x14ac:dyDescent="0.3">
      <c r="A812" t="s">
        <v>3626</v>
      </c>
      <c r="B812" t="s">
        <v>3627</v>
      </c>
      <c r="C812" t="s">
        <v>862</v>
      </c>
      <c r="D812" t="s">
        <v>1716</v>
      </c>
      <c r="E812" t="s">
        <v>741</v>
      </c>
    </row>
    <row r="813" spans="1:5" x14ac:dyDescent="0.3">
      <c r="A813" t="s">
        <v>109</v>
      </c>
      <c r="B813" t="s">
        <v>1615</v>
      </c>
      <c r="C813" t="s">
        <v>3629</v>
      </c>
      <c r="D813" t="s">
        <v>1716</v>
      </c>
      <c r="E813" t="s">
        <v>741</v>
      </c>
    </row>
    <row r="814" spans="1:5" x14ac:dyDescent="0.3">
      <c r="A814" t="s">
        <v>230</v>
      </c>
      <c r="B814" t="s">
        <v>3546</v>
      </c>
      <c r="C814" t="s">
        <v>862</v>
      </c>
      <c r="D814" t="s">
        <v>1716</v>
      </c>
      <c r="E814" t="s">
        <v>741</v>
      </c>
    </row>
    <row r="815" spans="1:5" x14ac:dyDescent="0.3">
      <c r="A815" t="s">
        <v>3053</v>
      </c>
      <c r="B815" t="s">
        <v>182</v>
      </c>
      <c r="C815" t="s">
        <v>3633</v>
      </c>
      <c r="D815" t="s">
        <v>1716</v>
      </c>
      <c r="E815" t="s">
        <v>741</v>
      </c>
    </row>
    <row r="816" spans="1:5" x14ac:dyDescent="0.3">
      <c r="A816" t="s">
        <v>45</v>
      </c>
      <c r="B816" t="s">
        <v>56</v>
      </c>
      <c r="C816" t="s">
        <v>862</v>
      </c>
      <c r="D816" t="s">
        <v>1716</v>
      </c>
      <c r="E816" t="s">
        <v>741</v>
      </c>
    </row>
    <row r="817" spans="1:5" x14ac:dyDescent="0.3">
      <c r="A817" t="s">
        <v>3639</v>
      </c>
      <c r="B817" t="s">
        <v>3640</v>
      </c>
      <c r="C817" t="s">
        <v>862</v>
      </c>
      <c r="D817" t="s">
        <v>1716</v>
      </c>
      <c r="E817" t="s">
        <v>741</v>
      </c>
    </row>
    <row r="818" spans="1:5" x14ac:dyDescent="0.3">
      <c r="A818" t="s">
        <v>50</v>
      </c>
      <c r="B818" t="s">
        <v>3641</v>
      </c>
      <c r="C818" t="s">
        <v>862</v>
      </c>
      <c r="D818" t="s">
        <v>1716</v>
      </c>
      <c r="E818" t="s">
        <v>741</v>
      </c>
    </row>
    <row r="819" spans="1:5" x14ac:dyDescent="0.3">
      <c r="A819" t="s">
        <v>3643</v>
      </c>
      <c r="B819" t="s">
        <v>3644</v>
      </c>
      <c r="C819" t="s">
        <v>862</v>
      </c>
      <c r="D819" t="s">
        <v>1716</v>
      </c>
      <c r="E819" t="s">
        <v>741</v>
      </c>
    </row>
    <row r="820" spans="1:5" x14ac:dyDescent="0.3">
      <c r="A820" t="s">
        <v>3645</v>
      </c>
      <c r="B820" t="s">
        <v>3646</v>
      </c>
      <c r="C820" t="s">
        <v>862</v>
      </c>
      <c r="D820" t="s">
        <v>1716</v>
      </c>
      <c r="E820" t="s">
        <v>741</v>
      </c>
    </row>
    <row r="821" spans="1:5" x14ac:dyDescent="0.3">
      <c r="A821" t="s">
        <v>345</v>
      </c>
      <c r="B821" t="s">
        <v>3659</v>
      </c>
      <c r="C821" t="s">
        <v>3658</v>
      </c>
      <c r="D821" t="s">
        <v>1303</v>
      </c>
      <c r="E821" t="s">
        <v>761</v>
      </c>
    </row>
    <row r="822" spans="1:5" x14ac:dyDescent="0.3">
      <c r="A822" t="s">
        <v>107</v>
      </c>
      <c r="B822" t="s">
        <v>3660</v>
      </c>
      <c r="C822" t="s">
        <v>457</v>
      </c>
      <c r="D822" t="s">
        <v>1303</v>
      </c>
      <c r="E822" t="s">
        <v>761</v>
      </c>
    </row>
    <row r="823" spans="1:5" x14ac:dyDescent="0.3">
      <c r="A823" t="s">
        <v>1988</v>
      </c>
      <c r="B823" t="s">
        <v>108</v>
      </c>
      <c r="C823" t="s">
        <v>3673</v>
      </c>
      <c r="D823" t="s">
        <v>1303</v>
      </c>
      <c r="E823" t="s">
        <v>761</v>
      </c>
    </row>
    <row r="824" spans="1:5" x14ac:dyDescent="0.3">
      <c r="A824" t="s">
        <v>184</v>
      </c>
      <c r="B824" t="s">
        <v>840</v>
      </c>
      <c r="C824" t="s">
        <v>2571</v>
      </c>
      <c r="D824" t="s">
        <v>1246</v>
      </c>
      <c r="E824" t="s">
        <v>1</v>
      </c>
    </row>
    <row r="825" spans="1:5" x14ac:dyDescent="0.3">
      <c r="A825" t="s">
        <v>290</v>
      </c>
      <c r="B825" t="s">
        <v>3699</v>
      </c>
      <c r="C825" t="s">
        <v>456</v>
      </c>
      <c r="D825" t="s">
        <v>1246</v>
      </c>
      <c r="E825" t="s">
        <v>1</v>
      </c>
    </row>
    <row r="826" spans="1:5" x14ac:dyDescent="0.3">
      <c r="A826" t="s">
        <v>1409</v>
      </c>
      <c r="B826" t="s">
        <v>375</v>
      </c>
      <c r="C826" t="s">
        <v>3704</v>
      </c>
      <c r="D826" t="s">
        <v>1246</v>
      </c>
      <c r="E826" t="s">
        <v>1</v>
      </c>
    </row>
    <row r="827" spans="1:5" x14ac:dyDescent="0.3">
      <c r="A827" t="s">
        <v>2461</v>
      </c>
      <c r="B827" t="s">
        <v>3707</v>
      </c>
      <c r="C827" t="s">
        <v>467</v>
      </c>
      <c r="D827" t="s">
        <v>1246</v>
      </c>
      <c r="E827" t="s">
        <v>1</v>
      </c>
    </row>
    <row r="828" spans="1:5" x14ac:dyDescent="0.3">
      <c r="A828" t="s">
        <v>1182</v>
      </c>
      <c r="B828" t="s">
        <v>3708</v>
      </c>
      <c r="C828" t="s">
        <v>461</v>
      </c>
      <c r="D828" t="s">
        <v>1246</v>
      </c>
      <c r="E828" t="s">
        <v>1</v>
      </c>
    </row>
    <row r="829" spans="1:5" x14ac:dyDescent="0.3">
      <c r="A829" t="s">
        <v>3711</v>
      </c>
      <c r="B829" t="s">
        <v>3713</v>
      </c>
      <c r="C829" t="s">
        <v>3712</v>
      </c>
      <c r="D829" t="s">
        <v>1246</v>
      </c>
      <c r="E829" t="s">
        <v>1</v>
      </c>
    </row>
    <row r="830" spans="1:5" x14ac:dyDescent="0.3">
      <c r="A830" t="s">
        <v>3069</v>
      </c>
      <c r="B830" t="s">
        <v>3716</v>
      </c>
      <c r="C830" t="s">
        <v>3715</v>
      </c>
      <c r="D830" t="s">
        <v>1246</v>
      </c>
      <c r="E830" t="s">
        <v>1</v>
      </c>
    </row>
    <row r="831" spans="1:5" x14ac:dyDescent="0.3">
      <c r="A831" t="s">
        <v>138</v>
      </c>
      <c r="B831" t="s">
        <v>3726</v>
      </c>
      <c r="C831" t="s">
        <v>862</v>
      </c>
      <c r="D831" t="s">
        <v>1246</v>
      </c>
      <c r="E831" t="s">
        <v>1</v>
      </c>
    </row>
    <row r="832" spans="1:5" x14ac:dyDescent="0.3">
      <c r="A832" t="s">
        <v>1240</v>
      </c>
      <c r="B832" t="s">
        <v>3731</v>
      </c>
      <c r="C832" t="s">
        <v>3521</v>
      </c>
      <c r="D832" t="s">
        <v>895</v>
      </c>
      <c r="E832" t="s">
        <v>897</v>
      </c>
    </row>
    <row r="833" spans="1:5" x14ac:dyDescent="0.3">
      <c r="A833" t="s">
        <v>860</v>
      </c>
      <c r="B833" t="s">
        <v>3297</v>
      </c>
      <c r="C833" t="s">
        <v>3732</v>
      </c>
      <c r="D833" t="s">
        <v>895</v>
      </c>
      <c r="E833" t="s">
        <v>897</v>
      </c>
    </row>
    <row r="834" spans="1:5" x14ac:dyDescent="0.3">
      <c r="A834" t="s">
        <v>339</v>
      </c>
      <c r="B834" t="s">
        <v>3738</v>
      </c>
      <c r="C834" t="s">
        <v>460</v>
      </c>
      <c r="D834" t="s">
        <v>895</v>
      </c>
      <c r="E834" t="s">
        <v>897</v>
      </c>
    </row>
    <row r="835" spans="1:5" x14ac:dyDescent="0.3">
      <c r="A835" t="s">
        <v>47</v>
      </c>
      <c r="B835" t="s">
        <v>3740</v>
      </c>
      <c r="C835" t="s">
        <v>455</v>
      </c>
      <c r="D835" t="s">
        <v>3739</v>
      </c>
      <c r="E835" t="s">
        <v>761</v>
      </c>
    </row>
    <row r="836" spans="1:5" x14ac:dyDescent="0.3">
      <c r="A836" t="s">
        <v>3741</v>
      </c>
      <c r="B836" t="s">
        <v>3740</v>
      </c>
      <c r="C836" t="s">
        <v>698</v>
      </c>
      <c r="D836" t="s">
        <v>3739</v>
      </c>
      <c r="E836" t="s">
        <v>761</v>
      </c>
    </row>
    <row r="837" spans="1:5" x14ac:dyDescent="0.3">
      <c r="A837" t="s">
        <v>3744</v>
      </c>
      <c r="B837" t="s">
        <v>3652</v>
      </c>
      <c r="C837" t="s">
        <v>461</v>
      </c>
      <c r="D837" t="s">
        <v>3743</v>
      </c>
      <c r="E837" t="s">
        <v>841</v>
      </c>
    </row>
    <row r="838" spans="1:5" x14ac:dyDescent="0.3">
      <c r="A838" t="s">
        <v>1433</v>
      </c>
      <c r="B838" t="s">
        <v>3411</v>
      </c>
      <c r="C838" t="s">
        <v>3747</v>
      </c>
      <c r="D838" t="s">
        <v>3745</v>
      </c>
      <c r="E838" t="s">
        <v>2175</v>
      </c>
    </row>
    <row r="839" spans="1:5" x14ac:dyDescent="0.3">
      <c r="A839" t="s">
        <v>1548</v>
      </c>
      <c r="B839" t="s">
        <v>3753</v>
      </c>
      <c r="C839" t="s">
        <v>862</v>
      </c>
      <c r="D839" t="s">
        <v>2880</v>
      </c>
      <c r="E839" t="s">
        <v>758</v>
      </c>
    </row>
    <row r="840" spans="1:5" x14ac:dyDescent="0.3">
      <c r="A840" t="s">
        <v>1221</v>
      </c>
      <c r="B840" t="s">
        <v>3758</v>
      </c>
      <c r="C840" t="s">
        <v>3757</v>
      </c>
      <c r="D840" t="s">
        <v>3756</v>
      </c>
      <c r="E840" t="s">
        <v>18</v>
      </c>
    </row>
    <row r="841" spans="1:5" x14ac:dyDescent="0.3">
      <c r="A841" t="s">
        <v>3760</v>
      </c>
      <c r="B841" t="s">
        <v>3761</v>
      </c>
      <c r="C841" t="s">
        <v>518</v>
      </c>
      <c r="D841" t="s">
        <v>3759</v>
      </c>
      <c r="E841" t="s">
        <v>1</v>
      </c>
    </row>
    <row r="842" spans="1:5" x14ac:dyDescent="0.3">
      <c r="A842" t="s">
        <v>27</v>
      </c>
      <c r="B842" t="s">
        <v>3762</v>
      </c>
      <c r="C842" t="s">
        <v>518</v>
      </c>
      <c r="D842" t="s">
        <v>3759</v>
      </c>
      <c r="E842" t="s">
        <v>1</v>
      </c>
    </row>
    <row r="843" spans="1:5" x14ac:dyDescent="0.3">
      <c r="A843" t="s">
        <v>826</v>
      </c>
      <c r="B843" t="s">
        <v>3767</v>
      </c>
      <c r="C843" t="s">
        <v>459</v>
      </c>
      <c r="D843" t="s">
        <v>3759</v>
      </c>
      <c r="E843" t="s">
        <v>1</v>
      </c>
    </row>
    <row r="844" spans="1:5" x14ac:dyDescent="0.3">
      <c r="A844" t="s">
        <v>259</v>
      </c>
      <c r="B844" t="s">
        <v>3769</v>
      </c>
      <c r="C844" t="s">
        <v>3768</v>
      </c>
      <c r="D844" t="s">
        <v>3759</v>
      </c>
      <c r="E844" t="s">
        <v>1</v>
      </c>
    </row>
    <row r="845" spans="1:5" x14ac:dyDescent="0.3">
      <c r="A845" t="s">
        <v>116</v>
      </c>
      <c r="B845" t="s">
        <v>3771</v>
      </c>
      <c r="C845" t="s">
        <v>3770</v>
      </c>
      <c r="D845" t="s">
        <v>3759</v>
      </c>
      <c r="E845" t="s">
        <v>1</v>
      </c>
    </row>
    <row r="846" spans="1:5" x14ac:dyDescent="0.3">
      <c r="A846" t="s">
        <v>184</v>
      </c>
      <c r="B846" t="s">
        <v>3778</v>
      </c>
      <c r="C846" t="s">
        <v>3777</v>
      </c>
      <c r="D846" t="s">
        <v>3776</v>
      </c>
      <c r="E846" t="s">
        <v>781</v>
      </c>
    </row>
    <row r="847" spans="1:5" x14ac:dyDescent="0.3">
      <c r="A847" t="s">
        <v>194</v>
      </c>
      <c r="B847" t="s">
        <v>3779</v>
      </c>
      <c r="C847" t="s">
        <v>518</v>
      </c>
      <c r="D847" t="s">
        <v>3776</v>
      </c>
      <c r="E847" t="s">
        <v>781</v>
      </c>
    </row>
    <row r="848" spans="1:5" x14ac:dyDescent="0.3">
      <c r="A848" t="s">
        <v>3780</v>
      </c>
      <c r="B848" t="s">
        <v>2779</v>
      </c>
      <c r="C848" t="s">
        <v>461</v>
      </c>
      <c r="D848" t="s">
        <v>3776</v>
      </c>
      <c r="E848" t="s">
        <v>781</v>
      </c>
    </row>
    <row r="849" spans="1:5" x14ac:dyDescent="0.3">
      <c r="A849" t="s">
        <v>150</v>
      </c>
      <c r="B849" t="s">
        <v>3782</v>
      </c>
      <c r="C849" t="s">
        <v>457</v>
      </c>
      <c r="D849" t="s">
        <v>3776</v>
      </c>
      <c r="E849" t="s">
        <v>781</v>
      </c>
    </row>
    <row r="850" spans="1:5" x14ac:dyDescent="0.3">
      <c r="A850" t="s">
        <v>150</v>
      </c>
      <c r="B850" t="s">
        <v>3783</v>
      </c>
      <c r="C850" t="s">
        <v>467</v>
      </c>
      <c r="D850" t="s">
        <v>3776</v>
      </c>
      <c r="E850" t="s">
        <v>781</v>
      </c>
    </row>
    <row r="851" spans="1:5" x14ac:dyDescent="0.3">
      <c r="A851" t="s">
        <v>2779</v>
      </c>
      <c r="B851" t="s">
        <v>3788</v>
      </c>
      <c r="C851" t="s">
        <v>461</v>
      </c>
      <c r="D851" t="s">
        <v>3776</v>
      </c>
      <c r="E851" t="s">
        <v>781</v>
      </c>
    </row>
    <row r="852" spans="1:5" x14ac:dyDescent="0.3">
      <c r="A852" t="s">
        <v>2849</v>
      </c>
      <c r="B852" t="s">
        <v>3790</v>
      </c>
      <c r="C852" t="s">
        <v>862</v>
      </c>
      <c r="D852" t="s">
        <v>3776</v>
      </c>
      <c r="E852" t="s">
        <v>781</v>
      </c>
    </row>
    <row r="853" spans="1:5" x14ac:dyDescent="0.3">
      <c r="A853" t="s">
        <v>404</v>
      </c>
      <c r="B853" t="s">
        <v>2685</v>
      </c>
      <c r="C853" t="s">
        <v>3792</v>
      </c>
      <c r="D853" t="s">
        <v>3776</v>
      </c>
      <c r="E853" t="s">
        <v>781</v>
      </c>
    </row>
    <row r="854" spans="1:5" x14ac:dyDescent="0.3">
      <c r="A854" t="s">
        <v>230</v>
      </c>
      <c r="B854" t="s">
        <v>1837</v>
      </c>
      <c r="C854" t="s">
        <v>461</v>
      </c>
      <c r="D854" t="s">
        <v>3776</v>
      </c>
      <c r="E854" t="s">
        <v>781</v>
      </c>
    </row>
    <row r="855" spans="1:5" x14ac:dyDescent="0.3">
      <c r="A855" t="s">
        <v>157</v>
      </c>
      <c r="B855" t="s">
        <v>3795</v>
      </c>
      <c r="C855" t="s">
        <v>461</v>
      </c>
      <c r="D855" t="s">
        <v>3794</v>
      </c>
      <c r="E855" t="s">
        <v>758</v>
      </c>
    </row>
    <row r="856" spans="1:5" x14ac:dyDescent="0.3">
      <c r="A856" t="s">
        <v>3070</v>
      </c>
      <c r="B856" t="s">
        <v>2188</v>
      </c>
      <c r="C856" t="s">
        <v>467</v>
      </c>
      <c r="D856" t="s">
        <v>3794</v>
      </c>
      <c r="E856" t="s">
        <v>758</v>
      </c>
    </row>
    <row r="857" spans="1:5" x14ac:dyDescent="0.3">
      <c r="A857" t="s">
        <v>177</v>
      </c>
      <c r="B857" t="s">
        <v>3796</v>
      </c>
      <c r="C857" t="s">
        <v>862</v>
      </c>
      <c r="D857" t="s">
        <v>3647</v>
      </c>
      <c r="E857" t="s">
        <v>774</v>
      </c>
    </row>
    <row r="858" spans="1:5" x14ac:dyDescent="0.3">
      <c r="A858" t="s">
        <v>66</v>
      </c>
      <c r="B858" t="s">
        <v>3797</v>
      </c>
      <c r="C858" t="s">
        <v>461</v>
      </c>
      <c r="D858" t="s">
        <v>3647</v>
      </c>
      <c r="E858" t="s">
        <v>774</v>
      </c>
    </row>
    <row r="859" spans="1:5" x14ac:dyDescent="0.3">
      <c r="A859" t="s">
        <v>182</v>
      </c>
      <c r="B859" t="s">
        <v>3261</v>
      </c>
      <c r="C859" t="s">
        <v>461</v>
      </c>
      <c r="D859" t="s">
        <v>3647</v>
      </c>
      <c r="E859" t="s">
        <v>774</v>
      </c>
    </row>
    <row r="860" spans="1:5" x14ac:dyDescent="0.3">
      <c r="A860" t="s">
        <v>14</v>
      </c>
      <c r="B860" t="s">
        <v>3801</v>
      </c>
      <c r="C860" t="s">
        <v>3800</v>
      </c>
      <c r="D860" t="s">
        <v>3799</v>
      </c>
      <c r="E860" t="s">
        <v>75</v>
      </c>
    </row>
    <row r="861" spans="1:5" x14ac:dyDescent="0.3">
      <c r="A861" t="s">
        <v>66</v>
      </c>
      <c r="B861" t="s">
        <v>3802</v>
      </c>
      <c r="C861" t="s">
        <v>460</v>
      </c>
      <c r="D861" t="s">
        <v>3799</v>
      </c>
      <c r="E861" t="s">
        <v>75</v>
      </c>
    </row>
    <row r="862" spans="1:5" x14ac:dyDescent="0.3">
      <c r="A862" t="s">
        <v>41</v>
      </c>
      <c r="B862" t="s">
        <v>3807</v>
      </c>
      <c r="C862" t="s">
        <v>698</v>
      </c>
      <c r="D862" t="s">
        <v>3803</v>
      </c>
      <c r="E862" t="s">
        <v>741</v>
      </c>
    </row>
    <row r="863" spans="1:5" x14ac:dyDescent="0.3">
      <c r="A863" t="s">
        <v>65</v>
      </c>
      <c r="B863" t="s">
        <v>3809</v>
      </c>
      <c r="C863" t="s">
        <v>460</v>
      </c>
      <c r="D863" t="s">
        <v>1846</v>
      </c>
      <c r="E863" t="s">
        <v>781</v>
      </c>
    </row>
    <row r="864" spans="1:5" x14ac:dyDescent="0.3">
      <c r="A864" t="s">
        <v>1171</v>
      </c>
      <c r="B864" t="s">
        <v>1313</v>
      </c>
      <c r="C864" t="s">
        <v>467</v>
      </c>
      <c r="D864" t="s">
        <v>1846</v>
      </c>
      <c r="E864" t="s">
        <v>781</v>
      </c>
    </row>
    <row r="865" spans="1:5" x14ac:dyDescent="0.3">
      <c r="A865" t="s">
        <v>220</v>
      </c>
      <c r="B865" t="s">
        <v>3811</v>
      </c>
      <c r="C865" t="s">
        <v>467</v>
      </c>
      <c r="D865" t="s">
        <v>1846</v>
      </c>
      <c r="E865" t="s">
        <v>781</v>
      </c>
    </row>
    <row r="866" spans="1:5" x14ac:dyDescent="0.3">
      <c r="A866" t="s">
        <v>44</v>
      </c>
      <c r="B866" t="s">
        <v>3815</v>
      </c>
      <c r="C866" t="s">
        <v>3814</v>
      </c>
      <c r="D866" t="s">
        <v>3812</v>
      </c>
      <c r="E866" t="s">
        <v>781</v>
      </c>
    </row>
    <row r="867" spans="1:5" x14ac:dyDescent="0.3">
      <c r="A867" t="s">
        <v>3074</v>
      </c>
      <c r="B867" t="s">
        <v>3825</v>
      </c>
      <c r="C867" t="s">
        <v>461</v>
      </c>
      <c r="D867" t="s">
        <v>794</v>
      </c>
      <c r="E867" t="s">
        <v>75</v>
      </c>
    </row>
    <row r="868" spans="1:5" x14ac:dyDescent="0.3">
      <c r="A868" t="s">
        <v>177</v>
      </c>
      <c r="B868" t="s">
        <v>1370</v>
      </c>
      <c r="C868" t="s">
        <v>467</v>
      </c>
      <c r="D868" t="s">
        <v>794</v>
      </c>
      <c r="E868" t="s">
        <v>75</v>
      </c>
    </row>
    <row r="869" spans="1:5" x14ac:dyDescent="0.3">
      <c r="A869" t="s">
        <v>3837</v>
      </c>
      <c r="B869" t="s">
        <v>3839</v>
      </c>
      <c r="C869" t="s">
        <v>3838</v>
      </c>
      <c r="D869" t="s">
        <v>1967</v>
      </c>
      <c r="E869" t="s">
        <v>741</v>
      </c>
    </row>
    <row r="870" spans="1:5" x14ac:dyDescent="0.3">
      <c r="A870" t="s">
        <v>190</v>
      </c>
      <c r="B870" t="s">
        <v>3843</v>
      </c>
      <c r="C870" t="s">
        <v>3842</v>
      </c>
      <c r="D870" t="s">
        <v>1967</v>
      </c>
      <c r="E870" t="s">
        <v>741</v>
      </c>
    </row>
    <row r="871" spans="1:5" x14ac:dyDescent="0.3">
      <c r="A871" t="s">
        <v>3844</v>
      </c>
      <c r="B871" t="s">
        <v>3845</v>
      </c>
      <c r="C871" t="s">
        <v>467</v>
      </c>
      <c r="D871" t="s">
        <v>543</v>
      </c>
      <c r="E871" t="s">
        <v>897</v>
      </c>
    </row>
    <row r="872" spans="1:5" x14ac:dyDescent="0.3">
      <c r="A872" t="s">
        <v>177</v>
      </c>
      <c r="B872" t="s">
        <v>3846</v>
      </c>
      <c r="C872" t="s">
        <v>457</v>
      </c>
      <c r="D872" t="s">
        <v>2460</v>
      </c>
      <c r="E872" t="s">
        <v>841</v>
      </c>
    </row>
    <row r="873" spans="1:5" x14ac:dyDescent="0.3">
      <c r="A873" t="s">
        <v>224</v>
      </c>
      <c r="B873" t="s">
        <v>3849</v>
      </c>
      <c r="C873" t="s">
        <v>460</v>
      </c>
      <c r="D873" t="s">
        <v>3847</v>
      </c>
      <c r="E873" t="s">
        <v>75</v>
      </c>
    </row>
    <row r="874" spans="1:5" x14ac:dyDescent="0.3">
      <c r="A874" t="s">
        <v>335</v>
      </c>
      <c r="B874" t="s">
        <v>3851</v>
      </c>
      <c r="C874" t="s">
        <v>467</v>
      </c>
      <c r="D874" t="s">
        <v>3850</v>
      </c>
      <c r="E874" t="s">
        <v>1</v>
      </c>
    </row>
    <row r="875" spans="1:5" x14ac:dyDescent="0.3">
      <c r="A875" t="s">
        <v>38</v>
      </c>
      <c r="B875" t="s">
        <v>3855</v>
      </c>
      <c r="C875" t="s">
        <v>862</v>
      </c>
      <c r="D875" t="s">
        <v>3854</v>
      </c>
      <c r="E875" t="s">
        <v>781</v>
      </c>
    </row>
    <row r="876" spans="1:5" x14ac:dyDescent="0.3">
      <c r="A876" t="s">
        <v>3856</v>
      </c>
      <c r="B876" t="s">
        <v>3857</v>
      </c>
      <c r="C876" t="s">
        <v>862</v>
      </c>
      <c r="D876" t="s">
        <v>3854</v>
      </c>
      <c r="E876" t="s">
        <v>781</v>
      </c>
    </row>
    <row r="877" spans="1:5" x14ac:dyDescent="0.3">
      <c r="A877" t="s">
        <v>2954</v>
      </c>
      <c r="B877" t="s">
        <v>1628</v>
      </c>
      <c r="C877" t="s">
        <v>3858</v>
      </c>
      <c r="D877" t="s">
        <v>3854</v>
      </c>
      <c r="E877" t="s">
        <v>781</v>
      </c>
    </row>
    <row r="878" spans="1:5" x14ac:dyDescent="0.3">
      <c r="A878" t="s">
        <v>2817</v>
      </c>
      <c r="B878" t="s">
        <v>2326</v>
      </c>
      <c r="C878" t="s">
        <v>460</v>
      </c>
      <c r="D878" t="s">
        <v>3867</v>
      </c>
      <c r="E878" t="s">
        <v>75</v>
      </c>
    </row>
    <row r="879" spans="1:5" x14ac:dyDescent="0.3">
      <c r="A879" t="s">
        <v>3868</v>
      </c>
      <c r="B879" t="s">
        <v>3869</v>
      </c>
      <c r="C879" t="s">
        <v>460</v>
      </c>
      <c r="D879" t="s">
        <v>3867</v>
      </c>
      <c r="E879" t="s">
        <v>75</v>
      </c>
    </row>
    <row r="880" spans="1:5" x14ac:dyDescent="0.3">
      <c r="A880" t="s">
        <v>107</v>
      </c>
      <c r="B880" t="s">
        <v>917</v>
      </c>
      <c r="C880" t="s">
        <v>3876</v>
      </c>
      <c r="D880" t="s">
        <v>807</v>
      </c>
      <c r="E880" t="s">
        <v>774</v>
      </c>
    </row>
    <row r="881" spans="1:5" x14ac:dyDescent="0.3">
      <c r="A881" t="s">
        <v>132</v>
      </c>
      <c r="B881" t="s">
        <v>3880</v>
      </c>
      <c r="C881" t="s">
        <v>457</v>
      </c>
      <c r="D881" t="s">
        <v>2923</v>
      </c>
      <c r="E881" t="s">
        <v>758</v>
      </c>
    </row>
    <row r="882" spans="1:5" x14ac:dyDescent="0.3">
      <c r="A882" t="s">
        <v>56</v>
      </c>
      <c r="B882" t="s">
        <v>2744</v>
      </c>
      <c r="C882" t="s">
        <v>460</v>
      </c>
      <c r="D882" t="s">
        <v>2923</v>
      </c>
      <c r="E882" t="s">
        <v>758</v>
      </c>
    </row>
    <row r="883" spans="1:5" x14ac:dyDescent="0.3">
      <c r="A883" t="s">
        <v>150</v>
      </c>
      <c r="B883" t="s">
        <v>3884</v>
      </c>
      <c r="C883" t="s">
        <v>3883</v>
      </c>
      <c r="D883" t="s">
        <v>2923</v>
      </c>
      <c r="E883" t="s">
        <v>758</v>
      </c>
    </row>
    <row r="884" spans="1:5" x14ac:dyDescent="0.3">
      <c r="A884" t="s">
        <v>864</v>
      </c>
      <c r="B884" t="s">
        <v>2810</v>
      </c>
      <c r="C884" t="s">
        <v>460</v>
      </c>
      <c r="D884" t="s">
        <v>1655</v>
      </c>
      <c r="E884" t="s">
        <v>781</v>
      </c>
    </row>
    <row r="885" spans="1:5" x14ac:dyDescent="0.3">
      <c r="A885" t="s">
        <v>2599</v>
      </c>
      <c r="B885" t="s">
        <v>3074</v>
      </c>
      <c r="C885" t="s">
        <v>3886</v>
      </c>
      <c r="D885" t="s">
        <v>1655</v>
      </c>
      <c r="E885" t="s">
        <v>781</v>
      </c>
    </row>
    <row r="886" spans="1:5" x14ac:dyDescent="0.3">
      <c r="A886" t="s">
        <v>3887</v>
      </c>
      <c r="B886" t="s">
        <v>3889</v>
      </c>
      <c r="C886" t="s">
        <v>3888</v>
      </c>
      <c r="D886" t="s">
        <v>1655</v>
      </c>
      <c r="E886" t="s">
        <v>781</v>
      </c>
    </row>
    <row r="887" spans="1:5" x14ac:dyDescent="0.3">
      <c r="A887" t="s">
        <v>1433</v>
      </c>
      <c r="B887" t="s">
        <v>3893</v>
      </c>
      <c r="C887" t="s">
        <v>455</v>
      </c>
      <c r="D887" t="s">
        <v>3892</v>
      </c>
      <c r="E887" t="s">
        <v>2175</v>
      </c>
    </row>
    <row r="888" spans="1:5" x14ac:dyDescent="0.3">
      <c r="A888" t="s">
        <v>138</v>
      </c>
      <c r="B888" t="s">
        <v>3898</v>
      </c>
      <c r="C888" t="s">
        <v>3897</v>
      </c>
      <c r="D888" t="s">
        <v>3894</v>
      </c>
      <c r="E888" t="s">
        <v>18</v>
      </c>
    </row>
    <row r="889" spans="1:5" x14ac:dyDescent="0.3">
      <c r="A889" t="s">
        <v>2584</v>
      </c>
      <c r="B889" t="s">
        <v>3900</v>
      </c>
      <c r="C889" t="s">
        <v>467</v>
      </c>
      <c r="D889" t="s">
        <v>3894</v>
      </c>
      <c r="E889" t="s">
        <v>18</v>
      </c>
    </row>
    <row r="890" spans="1:5" x14ac:dyDescent="0.3">
      <c r="A890" t="s">
        <v>411</v>
      </c>
      <c r="B890" t="s">
        <v>354</v>
      </c>
      <c r="C890" t="s">
        <v>3904</v>
      </c>
      <c r="D890" t="s">
        <v>3903</v>
      </c>
      <c r="E890" t="s">
        <v>841</v>
      </c>
    </row>
    <row r="891" spans="1:5" x14ac:dyDescent="0.3">
      <c r="A891" t="s">
        <v>3905</v>
      </c>
      <c r="B891" t="s">
        <v>1460</v>
      </c>
      <c r="C891" t="s">
        <v>3906</v>
      </c>
      <c r="D891" t="s">
        <v>3903</v>
      </c>
      <c r="E891" t="s">
        <v>841</v>
      </c>
    </row>
    <row r="892" spans="1:5" x14ac:dyDescent="0.3">
      <c r="A892" t="s">
        <v>22</v>
      </c>
      <c r="B892" t="s">
        <v>3912</v>
      </c>
      <c r="C892" t="s">
        <v>3911</v>
      </c>
      <c r="D892" t="s">
        <v>1730</v>
      </c>
      <c r="E892" t="s">
        <v>741</v>
      </c>
    </row>
    <row r="893" spans="1:5" x14ac:dyDescent="0.3">
      <c r="A893" t="s">
        <v>3916</v>
      </c>
      <c r="B893" t="s">
        <v>3917</v>
      </c>
      <c r="C893" t="s">
        <v>460</v>
      </c>
      <c r="D893" t="s">
        <v>1730</v>
      </c>
      <c r="E893" t="s">
        <v>741</v>
      </c>
    </row>
    <row r="894" spans="1:5" x14ac:dyDescent="0.3">
      <c r="A894" t="s">
        <v>160</v>
      </c>
      <c r="B894" t="s">
        <v>179</v>
      </c>
      <c r="C894" t="s">
        <v>3922</v>
      </c>
      <c r="D894" t="s">
        <v>1730</v>
      </c>
      <c r="E894" t="s">
        <v>741</v>
      </c>
    </row>
    <row r="895" spans="1:5" x14ac:dyDescent="0.3">
      <c r="A895" t="s">
        <v>298</v>
      </c>
      <c r="B895" t="s">
        <v>3923</v>
      </c>
      <c r="C895" t="s">
        <v>457</v>
      </c>
      <c r="D895" t="s">
        <v>1730</v>
      </c>
      <c r="E895" t="s">
        <v>741</v>
      </c>
    </row>
    <row r="896" spans="1:5" x14ac:dyDescent="0.3">
      <c r="A896" t="s">
        <v>38</v>
      </c>
      <c r="B896" t="s">
        <v>1118</v>
      </c>
      <c r="C896" t="s">
        <v>467</v>
      </c>
      <c r="D896" t="s">
        <v>763</v>
      </c>
      <c r="E896" t="s">
        <v>1</v>
      </c>
    </row>
    <row r="897" spans="1:5" x14ac:dyDescent="0.3">
      <c r="A897" t="s">
        <v>3931</v>
      </c>
      <c r="B897" t="s">
        <v>3932</v>
      </c>
      <c r="C897" t="s">
        <v>862</v>
      </c>
      <c r="D897" t="s">
        <v>763</v>
      </c>
      <c r="E897" t="s">
        <v>1</v>
      </c>
    </row>
    <row r="898" spans="1:5" x14ac:dyDescent="0.3">
      <c r="A898" t="s">
        <v>1551</v>
      </c>
      <c r="B898" t="s">
        <v>3936</v>
      </c>
      <c r="C898" t="s">
        <v>862</v>
      </c>
      <c r="D898" t="s">
        <v>763</v>
      </c>
      <c r="E898" t="s">
        <v>1</v>
      </c>
    </row>
    <row r="899" spans="1:5" x14ac:dyDescent="0.3">
      <c r="A899" t="s">
        <v>1215</v>
      </c>
      <c r="B899" t="s">
        <v>1283</v>
      </c>
      <c r="C899" t="s">
        <v>3343</v>
      </c>
      <c r="D899" t="s">
        <v>763</v>
      </c>
      <c r="E899" t="s">
        <v>1</v>
      </c>
    </row>
    <row r="900" spans="1:5" x14ac:dyDescent="0.3">
      <c r="A900" t="s">
        <v>3938</v>
      </c>
      <c r="B900" t="s">
        <v>3940</v>
      </c>
      <c r="C900" t="s">
        <v>3939</v>
      </c>
      <c r="D900" t="s">
        <v>763</v>
      </c>
      <c r="E900" t="s">
        <v>1</v>
      </c>
    </row>
    <row r="901" spans="1:5" x14ac:dyDescent="0.3">
      <c r="A901" t="s">
        <v>3941</v>
      </c>
      <c r="B901" t="s">
        <v>3942</v>
      </c>
      <c r="C901" t="s">
        <v>518</v>
      </c>
      <c r="D901" t="s">
        <v>763</v>
      </c>
      <c r="E901" t="s">
        <v>1</v>
      </c>
    </row>
    <row r="902" spans="1:5" x14ac:dyDescent="0.3">
      <c r="A902" t="s">
        <v>1056</v>
      </c>
      <c r="B902" t="s">
        <v>1535</v>
      </c>
      <c r="C902" t="s">
        <v>3949</v>
      </c>
      <c r="D902" t="s">
        <v>763</v>
      </c>
      <c r="E902" t="s">
        <v>1</v>
      </c>
    </row>
    <row r="903" spans="1:5" x14ac:dyDescent="0.3">
      <c r="A903" t="s">
        <v>2768</v>
      </c>
      <c r="B903" t="s">
        <v>3952</v>
      </c>
      <c r="C903" t="s">
        <v>460</v>
      </c>
      <c r="D903" t="s">
        <v>763</v>
      </c>
      <c r="E903" t="s">
        <v>1</v>
      </c>
    </row>
    <row r="904" spans="1:5" x14ac:dyDescent="0.3">
      <c r="A904" t="s">
        <v>1579</v>
      </c>
      <c r="B904" t="s">
        <v>2477</v>
      </c>
      <c r="C904" t="s">
        <v>862</v>
      </c>
      <c r="D904" t="s">
        <v>763</v>
      </c>
      <c r="E904" t="s">
        <v>1</v>
      </c>
    </row>
    <row r="905" spans="1:5" x14ac:dyDescent="0.3">
      <c r="A905" t="s">
        <v>1579</v>
      </c>
      <c r="B905" t="s">
        <v>3958</v>
      </c>
      <c r="C905" t="s">
        <v>467</v>
      </c>
      <c r="D905" t="s">
        <v>3957</v>
      </c>
      <c r="E905" t="s">
        <v>781</v>
      </c>
    </row>
    <row r="906" spans="1:5" x14ac:dyDescent="0.3">
      <c r="A906" t="s">
        <v>271</v>
      </c>
      <c r="B906" t="s">
        <v>3491</v>
      </c>
      <c r="C906" t="s">
        <v>459</v>
      </c>
      <c r="D906" t="s">
        <v>763</v>
      </c>
      <c r="E906" t="s">
        <v>1</v>
      </c>
    </row>
    <row r="907" spans="1:5" x14ac:dyDescent="0.3">
      <c r="A907" t="s">
        <v>411</v>
      </c>
      <c r="B907" t="s">
        <v>3962</v>
      </c>
      <c r="C907" t="s">
        <v>3961</v>
      </c>
      <c r="D907" t="s">
        <v>763</v>
      </c>
      <c r="E907" t="s">
        <v>1</v>
      </c>
    </row>
    <row r="908" spans="1:5" x14ac:dyDescent="0.3">
      <c r="A908" t="s">
        <v>1111</v>
      </c>
      <c r="B908" t="s">
        <v>2009</v>
      </c>
      <c r="C908" t="s">
        <v>3964</v>
      </c>
      <c r="D908" t="s">
        <v>763</v>
      </c>
      <c r="E908" t="s">
        <v>1</v>
      </c>
    </row>
    <row r="909" spans="1:5" x14ac:dyDescent="0.3">
      <c r="A909" t="s">
        <v>173</v>
      </c>
      <c r="B909" t="s">
        <v>1814</v>
      </c>
      <c r="C909" t="s">
        <v>862</v>
      </c>
      <c r="D909" t="s">
        <v>763</v>
      </c>
      <c r="E909" t="s">
        <v>1</v>
      </c>
    </row>
    <row r="910" spans="1:5" x14ac:dyDescent="0.3">
      <c r="A910" t="s">
        <v>1212</v>
      </c>
      <c r="B910" t="s">
        <v>3965</v>
      </c>
      <c r="C910" t="s">
        <v>518</v>
      </c>
      <c r="D910" t="s">
        <v>763</v>
      </c>
      <c r="E910" t="s">
        <v>1</v>
      </c>
    </row>
    <row r="911" spans="1:5" x14ac:dyDescent="0.3">
      <c r="A911" t="s">
        <v>2433</v>
      </c>
      <c r="B911" t="s">
        <v>3966</v>
      </c>
      <c r="C911" t="s">
        <v>518</v>
      </c>
      <c r="D911" t="s">
        <v>763</v>
      </c>
      <c r="E911" t="s">
        <v>1</v>
      </c>
    </row>
    <row r="912" spans="1:5" x14ac:dyDescent="0.3">
      <c r="A912" t="s">
        <v>1706</v>
      </c>
      <c r="B912" t="s">
        <v>3967</v>
      </c>
      <c r="C912" t="s">
        <v>862</v>
      </c>
      <c r="D912" t="s">
        <v>763</v>
      </c>
      <c r="E912" t="s">
        <v>1</v>
      </c>
    </row>
    <row r="913" spans="1:5" x14ac:dyDescent="0.3">
      <c r="A913" t="s">
        <v>50</v>
      </c>
      <c r="B913" t="s">
        <v>3970</v>
      </c>
      <c r="C913" t="s">
        <v>862</v>
      </c>
      <c r="D913" t="s">
        <v>763</v>
      </c>
      <c r="E913" t="s">
        <v>1</v>
      </c>
    </row>
    <row r="914" spans="1:5" x14ac:dyDescent="0.3">
      <c r="A914" t="s">
        <v>138</v>
      </c>
      <c r="B914" t="s">
        <v>3971</v>
      </c>
      <c r="C914" t="s">
        <v>459</v>
      </c>
      <c r="D914" t="s">
        <v>763</v>
      </c>
      <c r="E914" t="s">
        <v>1</v>
      </c>
    </row>
    <row r="915" spans="1:5" x14ac:dyDescent="0.3">
      <c r="A915" t="s">
        <v>3972</v>
      </c>
      <c r="B915" t="s">
        <v>2978</v>
      </c>
      <c r="C915" t="s">
        <v>862</v>
      </c>
      <c r="D915" t="s">
        <v>763</v>
      </c>
      <c r="E915" t="s">
        <v>1</v>
      </c>
    </row>
    <row r="916" spans="1:5" x14ac:dyDescent="0.3">
      <c r="A916" t="s">
        <v>3975</v>
      </c>
      <c r="B916" t="s">
        <v>3976</v>
      </c>
      <c r="C916" t="s">
        <v>2571</v>
      </c>
      <c r="D916" t="s">
        <v>763</v>
      </c>
      <c r="E916" t="s">
        <v>1</v>
      </c>
    </row>
    <row r="917" spans="1:5" x14ac:dyDescent="0.3">
      <c r="A917" t="s">
        <v>244</v>
      </c>
      <c r="B917" t="s">
        <v>3977</v>
      </c>
      <c r="C917" t="s">
        <v>862</v>
      </c>
      <c r="D917" t="s">
        <v>763</v>
      </c>
      <c r="E917" t="s">
        <v>1</v>
      </c>
    </row>
    <row r="918" spans="1:5" x14ac:dyDescent="0.3">
      <c r="A918" t="s">
        <v>250</v>
      </c>
      <c r="B918" t="s">
        <v>3979</v>
      </c>
      <c r="C918" t="s">
        <v>3978</v>
      </c>
      <c r="D918" t="s">
        <v>763</v>
      </c>
      <c r="E918" t="s">
        <v>1</v>
      </c>
    </row>
    <row r="919" spans="1:5" x14ac:dyDescent="0.3">
      <c r="A919" t="s">
        <v>177</v>
      </c>
      <c r="B919" t="s">
        <v>3987</v>
      </c>
      <c r="C919" t="s">
        <v>518</v>
      </c>
      <c r="D919" t="s">
        <v>763</v>
      </c>
      <c r="E919" t="s">
        <v>1</v>
      </c>
    </row>
    <row r="920" spans="1:5" x14ac:dyDescent="0.3">
      <c r="A920" t="s">
        <v>1170</v>
      </c>
      <c r="B920" t="s">
        <v>3988</v>
      </c>
      <c r="C920" t="s">
        <v>862</v>
      </c>
      <c r="D920" t="s">
        <v>763</v>
      </c>
      <c r="E920" t="s">
        <v>1</v>
      </c>
    </row>
    <row r="921" spans="1:5" x14ac:dyDescent="0.3">
      <c r="A921" t="s">
        <v>79</v>
      </c>
      <c r="B921" t="s">
        <v>3840</v>
      </c>
      <c r="C921" t="s">
        <v>4010</v>
      </c>
      <c r="D921" t="s">
        <v>909</v>
      </c>
      <c r="E921" t="s">
        <v>741</v>
      </c>
    </row>
    <row r="922" spans="1:5" x14ac:dyDescent="0.3">
      <c r="A922" t="s">
        <v>1418</v>
      </c>
      <c r="B922" t="s">
        <v>4017</v>
      </c>
      <c r="C922" t="s">
        <v>4016</v>
      </c>
      <c r="D922" t="s">
        <v>909</v>
      </c>
      <c r="E922" t="s">
        <v>741</v>
      </c>
    </row>
    <row r="923" spans="1:5" x14ac:dyDescent="0.3">
      <c r="A923" t="s">
        <v>131</v>
      </c>
      <c r="B923" t="s">
        <v>3840</v>
      </c>
      <c r="C923" t="s">
        <v>4019</v>
      </c>
      <c r="D923" t="s">
        <v>909</v>
      </c>
      <c r="E923" t="s">
        <v>741</v>
      </c>
    </row>
    <row r="924" spans="1:5" x14ac:dyDescent="0.3">
      <c r="A924" t="s">
        <v>4020</v>
      </c>
      <c r="B924" t="s">
        <v>4022</v>
      </c>
      <c r="C924" t="s">
        <v>4021</v>
      </c>
      <c r="D924" t="s">
        <v>909</v>
      </c>
      <c r="E924" t="s">
        <v>741</v>
      </c>
    </row>
    <row r="925" spans="1:5" x14ac:dyDescent="0.3">
      <c r="A925" t="s">
        <v>116</v>
      </c>
      <c r="B925" t="s">
        <v>2551</v>
      </c>
      <c r="C925" t="s">
        <v>4025</v>
      </c>
      <c r="D925" t="s">
        <v>909</v>
      </c>
      <c r="E925" t="s">
        <v>741</v>
      </c>
    </row>
    <row r="926" spans="1:5" x14ac:dyDescent="0.3">
      <c r="A926" t="s">
        <v>146</v>
      </c>
      <c r="B926" t="s">
        <v>296</v>
      </c>
      <c r="C926" t="s">
        <v>297</v>
      </c>
      <c r="D926" t="s">
        <v>909</v>
      </c>
      <c r="E926" t="s">
        <v>741</v>
      </c>
    </row>
    <row r="927" spans="1:5" x14ac:dyDescent="0.3">
      <c r="A927" t="s">
        <v>79</v>
      </c>
      <c r="B927" t="s">
        <v>4027</v>
      </c>
      <c r="C927" t="s">
        <v>457</v>
      </c>
      <c r="D927" t="s">
        <v>4026</v>
      </c>
      <c r="E927" t="s">
        <v>761</v>
      </c>
    </row>
    <row r="928" spans="1:5" x14ac:dyDescent="0.3">
      <c r="A928" t="s">
        <v>1920</v>
      </c>
      <c r="B928" t="s">
        <v>1758</v>
      </c>
      <c r="C928" t="s">
        <v>862</v>
      </c>
      <c r="D928" t="s">
        <v>906</v>
      </c>
      <c r="E928" t="s">
        <v>1</v>
      </c>
    </row>
    <row r="929" spans="1:5" x14ac:dyDescent="0.3">
      <c r="A929" t="s">
        <v>1445</v>
      </c>
      <c r="B929" t="s">
        <v>1298</v>
      </c>
      <c r="C929" t="s">
        <v>4048</v>
      </c>
      <c r="D929" t="s">
        <v>906</v>
      </c>
      <c r="E929" t="s">
        <v>1</v>
      </c>
    </row>
    <row r="930" spans="1:5" x14ac:dyDescent="0.3">
      <c r="A930" t="s">
        <v>864</v>
      </c>
      <c r="B930" t="s">
        <v>4051</v>
      </c>
      <c r="C930" t="s">
        <v>4050</v>
      </c>
      <c r="D930" t="s">
        <v>906</v>
      </c>
      <c r="E930" t="s">
        <v>1</v>
      </c>
    </row>
    <row r="931" spans="1:5" x14ac:dyDescent="0.3">
      <c r="A931" t="s">
        <v>2391</v>
      </c>
      <c r="B931" t="s">
        <v>4054</v>
      </c>
      <c r="C931" t="s">
        <v>2571</v>
      </c>
      <c r="D931" t="s">
        <v>906</v>
      </c>
      <c r="E931" t="s">
        <v>1</v>
      </c>
    </row>
    <row r="932" spans="1:5" x14ac:dyDescent="0.3">
      <c r="A932" t="s">
        <v>348</v>
      </c>
      <c r="B932" t="s">
        <v>4055</v>
      </c>
      <c r="C932" t="s">
        <v>862</v>
      </c>
      <c r="D932" t="s">
        <v>906</v>
      </c>
      <c r="E932" t="s">
        <v>1</v>
      </c>
    </row>
    <row r="933" spans="1:5" x14ac:dyDescent="0.3">
      <c r="A933" t="s">
        <v>4056</v>
      </c>
      <c r="B933" t="s">
        <v>3683</v>
      </c>
      <c r="C933" t="s">
        <v>4057</v>
      </c>
      <c r="D933" t="s">
        <v>906</v>
      </c>
      <c r="E933" t="s">
        <v>1</v>
      </c>
    </row>
    <row r="934" spans="1:5" x14ac:dyDescent="0.3">
      <c r="A934" t="s">
        <v>4058</v>
      </c>
      <c r="B934" t="s">
        <v>2634</v>
      </c>
      <c r="C934" t="s">
        <v>3521</v>
      </c>
      <c r="D934" t="s">
        <v>906</v>
      </c>
      <c r="E934" t="s">
        <v>1</v>
      </c>
    </row>
    <row r="935" spans="1:5" x14ac:dyDescent="0.3">
      <c r="A935" t="s">
        <v>1247</v>
      </c>
      <c r="B935" t="s">
        <v>4059</v>
      </c>
      <c r="C935" t="s">
        <v>862</v>
      </c>
      <c r="D935" t="s">
        <v>906</v>
      </c>
      <c r="E935" t="s">
        <v>1</v>
      </c>
    </row>
    <row r="936" spans="1:5" x14ac:dyDescent="0.3">
      <c r="A936" t="s">
        <v>116</v>
      </c>
      <c r="B936" t="s">
        <v>4061</v>
      </c>
      <c r="C936" t="s">
        <v>4060</v>
      </c>
      <c r="D936" t="s">
        <v>906</v>
      </c>
      <c r="E936" t="s">
        <v>1</v>
      </c>
    </row>
    <row r="937" spans="1:5" x14ac:dyDescent="0.3">
      <c r="A937" t="s">
        <v>97</v>
      </c>
      <c r="B937" t="s">
        <v>1736</v>
      </c>
      <c r="C937" t="s">
        <v>2571</v>
      </c>
      <c r="D937" t="s">
        <v>906</v>
      </c>
      <c r="E937" t="s">
        <v>1</v>
      </c>
    </row>
    <row r="938" spans="1:5" x14ac:dyDescent="0.3">
      <c r="A938" t="s">
        <v>2200</v>
      </c>
      <c r="B938" t="s">
        <v>199</v>
      </c>
      <c r="C938" t="s">
        <v>862</v>
      </c>
      <c r="D938" t="s">
        <v>906</v>
      </c>
      <c r="E938" t="s">
        <v>1</v>
      </c>
    </row>
    <row r="939" spans="1:5" x14ac:dyDescent="0.3">
      <c r="A939" t="s">
        <v>342</v>
      </c>
      <c r="B939" t="s">
        <v>4052</v>
      </c>
      <c r="C939" t="s">
        <v>467</v>
      </c>
      <c r="D939" t="s">
        <v>4065</v>
      </c>
      <c r="E939" t="s">
        <v>75</v>
      </c>
    </row>
    <row r="940" spans="1:5" x14ac:dyDescent="0.3">
      <c r="A940" t="s">
        <v>931</v>
      </c>
      <c r="B940" t="s">
        <v>935</v>
      </c>
      <c r="C940" t="s">
        <v>4067</v>
      </c>
      <c r="D940" t="s">
        <v>906</v>
      </c>
      <c r="E940" t="s">
        <v>1</v>
      </c>
    </row>
    <row r="941" spans="1:5" x14ac:dyDescent="0.3">
      <c r="A941" t="s">
        <v>1548</v>
      </c>
      <c r="B941" t="s">
        <v>4069</v>
      </c>
      <c r="C941" t="s">
        <v>459</v>
      </c>
      <c r="D941" t="s">
        <v>906</v>
      </c>
      <c r="E941" t="s">
        <v>1</v>
      </c>
    </row>
    <row r="942" spans="1:5" x14ac:dyDescent="0.3">
      <c r="A942" t="s">
        <v>1170</v>
      </c>
      <c r="B942" t="s">
        <v>2393</v>
      </c>
      <c r="C942" t="s">
        <v>862</v>
      </c>
      <c r="D942" t="s">
        <v>906</v>
      </c>
      <c r="E942" t="s">
        <v>1</v>
      </c>
    </row>
    <row r="943" spans="1:5" x14ac:dyDescent="0.3">
      <c r="A943" t="s">
        <v>357</v>
      </c>
      <c r="B943" t="s">
        <v>358</v>
      </c>
      <c r="C943" t="s">
        <v>359</v>
      </c>
      <c r="D943" t="s">
        <v>906</v>
      </c>
      <c r="E943" t="s">
        <v>1</v>
      </c>
    </row>
    <row r="944" spans="1:5" x14ac:dyDescent="0.3">
      <c r="A944" t="s">
        <v>181</v>
      </c>
      <c r="B944" t="s">
        <v>4074</v>
      </c>
      <c r="C944" t="s">
        <v>4073</v>
      </c>
      <c r="D944" t="s">
        <v>4072</v>
      </c>
      <c r="E944" t="s">
        <v>774</v>
      </c>
    </row>
    <row r="945" spans="1:5" x14ac:dyDescent="0.3">
      <c r="A945" t="s">
        <v>50</v>
      </c>
      <c r="B945" t="s">
        <v>4077</v>
      </c>
      <c r="C945" t="s">
        <v>4076</v>
      </c>
      <c r="D945" t="s">
        <v>4075</v>
      </c>
      <c r="E945" t="s">
        <v>781</v>
      </c>
    </row>
    <row r="946" spans="1:5" x14ac:dyDescent="0.3">
      <c r="A946" t="s">
        <v>34</v>
      </c>
      <c r="B946" t="s">
        <v>4080</v>
      </c>
      <c r="C946" t="s">
        <v>4079</v>
      </c>
      <c r="D946" t="s">
        <v>4078</v>
      </c>
      <c r="E946" t="s">
        <v>774</v>
      </c>
    </row>
    <row r="947" spans="1:5" x14ac:dyDescent="0.3">
      <c r="A947" t="s">
        <v>4083</v>
      </c>
      <c r="B947" t="s">
        <v>4084</v>
      </c>
      <c r="C947" t="s">
        <v>467</v>
      </c>
      <c r="D947" t="s">
        <v>4078</v>
      </c>
      <c r="E947" t="s">
        <v>774</v>
      </c>
    </row>
    <row r="948" spans="1:5" x14ac:dyDescent="0.3">
      <c r="A948" t="s">
        <v>347</v>
      </c>
      <c r="B948" t="s">
        <v>2457</v>
      </c>
      <c r="C948" t="s">
        <v>460</v>
      </c>
      <c r="D948" t="s">
        <v>4085</v>
      </c>
      <c r="E948" t="s">
        <v>2175</v>
      </c>
    </row>
    <row r="949" spans="1:5" x14ac:dyDescent="0.3">
      <c r="A949" t="s">
        <v>182</v>
      </c>
      <c r="B949" t="s">
        <v>4090</v>
      </c>
      <c r="C949" t="s">
        <v>4089</v>
      </c>
      <c r="D949" t="s">
        <v>954</v>
      </c>
      <c r="E949" t="s">
        <v>1</v>
      </c>
    </row>
    <row r="950" spans="1:5" x14ac:dyDescent="0.3">
      <c r="A950" t="s">
        <v>3169</v>
      </c>
      <c r="B950" t="s">
        <v>4030</v>
      </c>
      <c r="C950" t="s">
        <v>518</v>
      </c>
      <c r="D950" t="s">
        <v>1509</v>
      </c>
      <c r="E950" t="s">
        <v>781</v>
      </c>
    </row>
    <row r="951" spans="1:5" x14ac:dyDescent="0.3">
      <c r="A951" t="s">
        <v>77</v>
      </c>
      <c r="B951" t="s">
        <v>361</v>
      </c>
      <c r="C951" t="s">
        <v>4095</v>
      </c>
      <c r="D951" t="s">
        <v>954</v>
      </c>
      <c r="E951" t="s">
        <v>1</v>
      </c>
    </row>
    <row r="952" spans="1:5" x14ac:dyDescent="0.3">
      <c r="A952" t="s">
        <v>150</v>
      </c>
      <c r="B952" t="s">
        <v>361</v>
      </c>
      <c r="C952" t="s">
        <v>4097</v>
      </c>
      <c r="D952" t="s">
        <v>954</v>
      </c>
      <c r="E952" t="s">
        <v>1</v>
      </c>
    </row>
    <row r="953" spans="1:5" x14ac:dyDescent="0.3">
      <c r="A953" t="s">
        <v>56</v>
      </c>
      <c r="B953" t="s">
        <v>4103</v>
      </c>
      <c r="C953" t="s">
        <v>4102</v>
      </c>
      <c r="D953" t="s">
        <v>4101</v>
      </c>
      <c r="E953" t="s">
        <v>774</v>
      </c>
    </row>
    <row r="954" spans="1:5" x14ac:dyDescent="0.3">
      <c r="A954" t="s">
        <v>107</v>
      </c>
      <c r="B954" t="s">
        <v>4105</v>
      </c>
      <c r="C954" t="s">
        <v>4104</v>
      </c>
      <c r="D954" t="s">
        <v>738</v>
      </c>
      <c r="E954" t="s">
        <v>1</v>
      </c>
    </row>
    <row r="955" spans="1:5" x14ac:dyDescent="0.3">
      <c r="A955" t="s">
        <v>107</v>
      </c>
      <c r="B955" t="s">
        <v>4106</v>
      </c>
      <c r="C955" t="s">
        <v>3299</v>
      </c>
      <c r="D955" t="s">
        <v>738</v>
      </c>
      <c r="E955" t="s">
        <v>1</v>
      </c>
    </row>
    <row r="956" spans="1:5" x14ac:dyDescent="0.3">
      <c r="A956" t="s">
        <v>1225</v>
      </c>
      <c r="B956" t="s">
        <v>13044</v>
      </c>
      <c r="C956" t="s">
        <v>4109</v>
      </c>
      <c r="D956" t="s">
        <v>738</v>
      </c>
      <c r="E956" t="s">
        <v>1</v>
      </c>
    </row>
    <row r="957" spans="1:5" x14ac:dyDescent="0.3">
      <c r="A957" t="s">
        <v>1397</v>
      </c>
      <c r="B957" t="s">
        <v>4112</v>
      </c>
      <c r="C957" t="s">
        <v>862</v>
      </c>
      <c r="D957" t="s">
        <v>738</v>
      </c>
      <c r="E957" t="s">
        <v>1</v>
      </c>
    </row>
    <row r="958" spans="1:5" x14ac:dyDescent="0.3">
      <c r="A958" t="s">
        <v>4113</v>
      </c>
      <c r="B958" t="s">
        <v>1430</v>
      </c>
      <c r="C958" t="s">
        <v>518</v>
      </c>
      <c r="D958" t="s">
        <v>738</v>
      </c>
      <c r="E958" t="s">
        <v>1</v>
      </c>
    </row>
    <row r="959" spans="1:5" x14ac:dyDescent="0.3">
      <c r="A959" t="s">
        <v>1133</v>
      </c>
      <c r="B959" t="s">
        <v>4115</v>
      </c>
      <c r="C959" t="s">
        <v>460</v>
      </c>
      <c r="D959" t="s">
        <v>4114</v>
      </c>
      <c r="E959" t="s">
        <v>75</v>
      </c>
    </row>
    <row r="960" spans="1:5" x14ac:dyDescent="0.3">
      <c r="A960" t="s">
        <v>3973</v>
      </c>
      <c r="B960" t="s">
        <v>196</v>
      </c>
      <c r="C960" t="s">
        <v>862</v>
      </c>
      <c r="D960" t="s">
        <v>4116</v>
      </c>
      <c r="E960" t="s">
        <v>1</v>
      </c>
    </row>
    <row r="961" spans="1:5" x14ac:dyDescent="0.3">
      <c r="A961" t="s">
        <v>2312</v>
      </c>
      <c r="B961" t="s">
        <v>4118</v>
      </c>
      <c r="C961" t="s">
        <v>2571</v>
      </c>
      <c r="D961" t="s">
        <v>4116</v>
      </c>
      <c r="E961" t="s">
        <v>1</v>
      </c>
    </row>
    <row r="962" spans="1:5" x14ac:dyDescent="0.3">
      <c r="A962" t="s">
        <v>107</v>
      </c>
      <c r="B962" t="s">
        <v>4119</v>
      </c>
      <c r="C962" t="s">
        <v>518</v>
      </c>
      <c r="D962" t="s">
        <v>4116</v>
      </c>
      <c r="E962" t="s">
        <v>1</v>
      </c>
    </row>
    <row r="963" spans="1:5" x14ac:dyDescent="0.3">
      <c r="A963" t="s">
        <v>4120</v>
      </c>
      <c r="B963" t="s">
        <v>4121</v>
      </c>
      <c r="C963" t="s">
        <v>862</v>
      </c>
      <c r="D963" t="s">
        <v>4116</v>
      </c>
      <c r="E963" t="s">
        <v>1</v>
      </c>
    </row>
    <row r="964" spans="1:5" x14ac:dyDescent="0.3">
      <c r="A964" t="s">
        <v>321</v>
      </c>
      <c r="B964" t="s">
        <v>4122</v>
      </c>
      <c r="C964" t="s">
        <v>467</v>
      </c>
      <c r="D964" t="s">
        <v>4116</v>
      </c>
      <c r="E964" t="s">
        <v>1</v>
      </c>
    </row>
    <row r="965" spans="1:5" x14ac:dyDescent="0.3">
      <c r="A965" t="s">
        <v>224</v>
      </c>
      <c r="B965" t="s">
        <v>2774</v>
      </c>
      <c r="C965" t="s">
        <v>460</v>
      </c>
      <c r="D965" t="s">
        <v>4124</v>
      </c>
      <c r="E965" t="s">
        <v>75</v>
      </c>
    </row>
    <row r="966" spans="1:5" x14ac:dyDescent="0.3">
      <c r="A966" t="s">
        <v>41</v>
      </c>
      <c r="B966" t="s">
        <v>4126</v>
      </c>
      <c r="C966" t="s">
        <v>862</v>
      </c>
      <c r="D966" t="s">
        <v>4124</v>
      </c>
      <c r="E966" t="s">
        <v>75</v>
      </c>
    </row>
    <row r="967" spans="1:5" x14ac:dyDescent="0.3">
      <c r="A967" t="s">
        <v>41</v>
      </c>
      <c r="B967" t="s">
        <v>4131</v>
      </c>
      <c r="C967" t="s">
        <v>4130</v>
      </c>
      <c r="D967" t="s">
        <v>747</v>
      </c>
      <c r="E967" t="s">
        <v>1</v>
      </c>
    </row>
    <row r="968" spans="1:5" x14ac:dyDescent="0.3">
      <c r="A968" t="s">
        <v>38</v>
      </c>
      <c r="B968" t="s">
        <v>1118</v>
      </c>
      <c r="C968" t="s">
        <v>862</v>
      </c>
      <c r="D968" t="s">
        <v>747</v>
      </c>
      <c r="E968" t="s">
        <v>1</v>
      </c>
    </row>
    <row r="969" spans="1:5" x14ac:dyDescent="0.3">
      <c r="A969" t="s">
        <v>168</v>
      </c>
      <c r="B969" t="s">
        <v>4134</v>
      </c>
      <c r="C969" t="s">
        <v>4133</v>
      </c>
      <c r="D969" t="s">
        <v>747</v>
      </c>
      <c r="E969" t="s">
        <v>1</v>
      </c>
    </row>
    <row r="970" spans="1:5" x14ac:dyDescent="0.3">
      <c r="A970" t="s">
        <v>438</v>
      </c>
      <c r="B970" t="s">
        <v>4137</v>
      </c>
      <c r="C970" t="s">
        <v>4136</v>
      </c>
      <c r="D970" t="s">
        <v>747</v>
      </c>
      <c r="E970" t="s">
        <v>1</v>
      </c>
    </row>
    <row r="971" spans="1:5" x14ac:dyDescent="0.3">
      <c r="A971" t="s">
        <v>4138</v>
      </c>
      <c r="B971" t="s">
        <v>199</v>
      </c>
      <c r="C971" t="s">
        <v>862</v>
      </c>
      <c r="D971" t="s">
        <v>747</v>
      </c>
      <c r="E971" t="s">
        <v>1</v>
      </c>
    </row>
    <row r="972" spans="1:5" x14ac:dyDescent="0.3">
      <c r="A972" t="s">
        <v>259</v>
      </c>
      <c r="B972" t="s">
        <v>2094</v>
      </c>
      <c r="C972" t="s">
        <v>862</v>
      </c>
      <c r="D972" t="s">
        <v>747</v>
      </c>
      <c r="E972" t="s">
        <v>1</v>
      </c>
    </row>
    <row r="973" spans="1:5" x14ac:dyDescent="0.3">
      <c r="A973" t="s">
        <v>1856</v>
      </c>
      <c r="B973" t="s">
        <v>3457</v>
      </c>
      <c r="C973" t="s">
        <v>4146</v>
      </c>
      <c r="D973" t="s">
        <v>747</v>
      </c>
      <c r="E973" t="s">
        <v>1</v>
      </c>
    </row>
    <row r="974" spans="1:5" x14ac:dyDescent="0.3">
      <c r="A974" t="s">
        <v>1255</v>
      </c>
      <c r="B974" t="s">
        <v>1279</v>
      </c>
      <c r="C974" t="s">
        <v>862</v>
      </c>
      <c r="D974" t="s">
        <v>747</v>
      </c>
      <c r="E974" t="s">
        <v>1</v>
      </c>
    </row>
    <row r="975" spans="1:5" x14ac:dyDescent="0.3">
      <c r="A975" t="s">
        <v>195</v>
      </c>
      <c r="B975" t="s">
        <v>4152</v>
      </c>
      <c r="C975" t="s">
        <v>467</v>
      </c>
      <c r="D975" t="s">
        <v>747</v>
      </c>
      <c r="E975" t="s">
        <v>1</v>
      </c>
    </row>
    <row r="976" spans="1:5" x14ac:dyDescent="0.3">
      <c r="A976" t="s">
        <v>4153</v>
      </c>
      <c r="B976" t="s">
        <v>4154</v>
      </c>
      <c r="C976" t="s">
        <v>2571</v>
      </c>
      <c r="D976" t="s">
        <v>747</v>
      </c>
      <c r="E976" t="s">
        <v>1</v>
      </c>
    </row>
    <row r="977" spans="1:5" x14ac:dyDescent="0.3">
      <c r="A977" t="s">
        <v>789</v>
      </c>
      <c r="B977" t="s">
        <v>1836</v>
      </c>
      <c r="C977" t="s">
        <v>467</v>
      </c>
      <c r="D977" t="s">
        <v>747</v>
      </c>
      <c r="E977" t="s">
        <v>1</v>
      </c>
    </row>
    <row r="978" spans="1:5" x14ac:dyDescent="0.3">
      <c r="A978" t="s">
        <v>1620</v>
      </c>
      <c r="B978" t="s">
        <v>4163</v>
      </c>
      <c r="C978" t="s">
        <v>4162</v>
      </c>
      <c r="D978" t="s">
        <v>747</v>
      </c>
      <c r="E978" t="s">
        <v>1</v>
      </c>
    </row>
    <row r="979" spans="1:5" x14ac:dyDescent="0.3">
      <c r="A979" t="s">
        <v>1221</v>
      </c>
      <c r="B979" t="s">
        <v>4168</v>
      </c>
      <c r="C979" t="s">
        <v>862</v>
      </c>
      <c r="D979" t="s">
        <v>747</v>
      </c>
      <c r="E979" t="s">
        <v>1</v>
      </c>
    </row>
    <row r="980" spans="1:5" x14ac:dyDescent="0.3">
      <c r="A980" t="s">
        <v>44</v>
      </c>
      <c r="B980" t="s">
        <v>136</v>
      </c>
      <c r="C980" t="s">
        <v>137</v>
      </c>
      <c r="D980" t="s">
        <v>747</v>
      </c>
      <c r="E980" t="s">
        <v>1</v>
      </c>
    </row>
    <row r="981" spans="1:5" x14ac:dyDescent="0.3">
      <c r="A981" t="s">
        <v>3406</v>
      </c>
      <c r="B981" t="s">
        <v>1460</v>
      </c>
      <c r="C981" t="s">
        <v>862</v>
      </c>
      <c r="D981" t="s">
        <v>747</v>
      </c>
      <c r="E981" t="s">
        <v>1</v>
      </c>
    </row>
    <row r="982" spans="1:5" x14ac:dyDescent="0.3">
      <c r="A982" t="s">
        <v>4175</v>
      </c>
      <c r="B982" t="s">
        <v>4164</v>
      </c>
      <c r="C982" t="s">
        <v>4176</v>
      </c>
      <c r="D982" t="s">
        <v>747</v>
      </c>
      <c r="E982" t="s">
        <v>1</v>
      </c>
    </row>
    <row r="983" spans="1:5" x14ac:dyDescent="0.3">
      <c r="A983" t="s">
        <v>3036</v>
      </c>
      <c r="B983" t="s">
        <v>4180</v>
      </c>
      <c r="C983" t="s">
        <v>4179</v>
      </c>
      <c r="D983" t="s">
        <v>747</v>
      </c>
      <c r="E983" t="s">
        <v>1</v>
      </c>
    </row>
    <row r="984" spans="1:5" x14ac:dyDescent="0.3">
      <c r="A984" t="s">
        <v>116</v>
      </c>
      <c r="B984" t="s">
        <v>4183</v>
      </c>
      <c r="C984" t="s">
        <v>4182</v>
      </c>
      <c r="D984" t="s">
        <v>747</v>
      </c>
      <c r="E984" t="s">
        <v>1</v>
      </c>
    </row>
    <row r="985" spans="1:5" x14ac:dyDescent="0.3">
      <c r="A985" t="s">
        <v>347</v>
      </c>
      <c r="B985" t="s">
        <v>3297</v>
      </c>
      <c r="C985" t="s">
        <v>4184</v>
      </c>
      <c r="D985" t="s">
        <v>747</v>
      </c>
      <c r="E985" t="s">
        <v>1</v>
      </c>
    </row>
    <row r="986" spans="1:5" x14ac:dyDescent="0.3">
      <c r="A986" t="s">
        <v>342</v>
      </c>
      <c r="B986" t="s">
        <v>4186</v>
      </c>
      <c r="C986" t="s">
        <v>4185</v>
      </c>
      <c r="D986" t="s">
        <v>747</v>
      </c>
      <c r="E986" t="s">
        <v>1</v>
      </c>
    </row>
    <row r="987" spans="1:5" x14ac:dyDescent="0.3">
      <c r="A987" t="s">
        <v>160</v>
      </c>
      <c r="B987" t="s">
        <v>4191</v>
      </c>
      <c r="C987" t="s">
        <v>4190</v>
      </c>
      <c r="D987" t="s">
        <v>768</v>
      </c>
      <c r="E987" t="s">
        <v>1</v>
      </c>
    </row>
    <row r="988" spans="1:5" x14ac:dyDescent="0.3">
      <c r="A988" t="s">
        <v>4192</v>
      </c>
      <c r="B988" t="s">
        <v>164</v>
      </c>
      <c r="C988" t="s">
        <v>4193</v>
      </c>
      <c r="D988" t="s">
        <v>747</v>
      </c>
      <c r="E988" t="s">
        <v>1</v>
      </c>
    </row>
    <row r="989" spans="1:5" x14ac:dyDescent="0.3">
      <c r="A989" t="s">
        <v>50</v>
      </c>
      <c r="B989" t="s">
        <v>4194</v>
      </c>
      <c r="C989" t="s">
        <v>3555</v>
      </c>
      <c r="D989" t="s">
        <v>747</v>
      </c>
      <c r="E989" t="s">
        <v>1</v>
      </c>
    </row>
    <row r="990" spans="1:5" x14ac:dyDescent="0.3">
      <c r="A990" t="s">
        <v>1267</v>
      </c>
      <c r="B990" t="s">
        <v>4195</v>
      </c>
      <c r="C990" t="s">
        <v>862</v>
      </c>
      <c r="D990" t="s">
        <v>747</v>
      </c>
      <c r="E990" t="s">
        <v>1</v>
      </c>
    </row>
    <row r="991" spans="1:5" x14ac:dyDescent="0.3">
      <c r="A991" t="s">
        <v>4196</v>
      </c>
      <c r="B991" t="s">
        <v>4039</v>
      </c>
      <c r="C991" t="s">
        <v>862</v>
      </c>
      <c r="D991" t="s">
        <v>747</v>
      </c>
      <c r="E991" t="s">
        <v>1</v>
      </c>
    </row>
    <row r="992" spans="1:5" x14ac:dyDescent="0.3">
      <c r="A992" t="s">
        <v>4086</v>
      </c>
      <c r="B992" t="s">
        <v>4197</v>
      </c>
      <c r="C992" t="s">
        <v>2571</v>
      </c>
      <c r="D992" t="s">
        <v>747</v>
      </c>
      <c r="E992" t="s">
        <v>1</v>
      </c>
    </row>
    <row r="993" spans="1:5" x14ac:dyDescent="0.3">
      <c r="A993" t="s">
        <v>1283</v>
      </c>
      <c r="B993" t="s">
        <v>1432</v>
      </c>
      <c r="C993" t="s">
        <v>862</v>
      </c>
      <c r="D993" t="s">
        <v>747</v>
      </c>
      <c r="E993" t="s">
        <v>1</v>
      </c>
    </row>
    <row r="994" spans="1:5" x14ac:dyDescent="0.3">
      <c r="A994" t="s">
        <v>4199</v>
      </c>
      <c r="B994" t="s">
        <v>4200</v>
      </c>
      <c r="C994" t="s">
        <v>862</v>
      </c>
      <c r="D994" t="s">
        <v>747</v>
      </c>
      <c r="E994" t="s">
        <v>1</v>
      </c>
    </row>
    <row r="995" spans="1:5" x14ac:dyDescent="0.3">
      <c r="A995" t="s">
        <v>30</v>
      </c>
      <c r="B995" t="s">
        <v>4203</v>
      </c>
      <c r="C995" t="s">
        <v>4202</v>
      </c>
      <c r="D995" t="s">
        <v>747</v>
      </c>
      <c r="E995" t="s">
        <v>1</v>
      </c>
    </row>
    <row r="996" spans="1:5" x14ac:dyDescent="0.3">
      <c r="A996" t="s">
        <v>4205</v>
      </c>
      <c r="B996" t="s">
        <v>4207</v>
      </c>
      <c r="C996" t="s">
        <v>4206</v>
      </c>
      <c r="D996" t="s">
        <v>4204</v>
      </c>
      <c r="E996" t="s">
        <v>75</v>
      </c>
    </row>
    <row r="997" spans="1:5" x14ac:dyDescent="0.3">
      <c r="A997" t="s">
        <v>4033</v>
      </c>
      <c r="B997" t="s">
        <v>4208</v>
      </c>
      <c r="C997" t="s">
        <v>467</v>
      </c>
      <c r="D997" t="s">
        <v>4204</v>
      </c>
      <c r="E997" t="s">
        <v>75</v>
      </c>
    </row>
    <row r="998" spans="1:5" x14ac:dyDescent="0.3">
      <c r="A998" t="s">
        <v>1706</v>
      </c>
      <c r="B998" t="s">
        <v>4209</v>
      </c>
      <c r="C998" t="s">
        <v>460</v>
      </c>
      <c r="D998" t="s">
        <v>4204</v>
      </c>
      <c r="E998" t="s">
        <v>75</v>
      </c>
    </row>
    <row r="999" spans="1:5" x14ac:dyDescent="0.3">
      <c r="A999" t="s">
        <v>3465</v>
      </c>
      <c r="B999" t="s">
        <v>1185</v>
      </c>
      <c r="C999" t="s">
        <v>467</v>
      </c>
      <c r="D999" t="s">
        <v>4204</v>
      </c>
      <c r="E999" t="s">
        <v>75</v>
      </c>
    </row>
    <row r="1000" spans="1:5" x14ac:dyDescent="0.3">
      <c r="A1000" t="s">
        <v>41</v>
      </c>
      <c r="B1000" t="s">
        <v>4215</v>
      </c>
      <c r="C1000" t="s">
        <v>4214</v>
      </c>
      <c r="D1000" t="s">
        <v>4211</v>
      </c>
      <c r="E1000" t="s">
        <v>75</v>
      </c>
    </row>
    <row r="1001" spans="1:5" x14ac:dyDescent="0.3">
      <c r="A1001" t="s">
        <v>150</v>
      </c>
      <c r="B1001" t="s">
        <v>236</v>
      </c>
      <c r="C1001" t="s">
        <v>4218</v>
      </c>
      <c r="D1001" t="s">
        <v>4211</v>
      </c>
      <c r="E1001" t="s">
        <v>75</v>
      </c>
    </row>
    <row r="1002" spans="1:5" x14ac:dyDescent="0.3">
      <c r="A1002" t="s">
        <v>4220</v>
      </c>
      <c r="B1002" t="s">
        <v>313</v>
      </c>
      <c r="C1002" t="s">
        <v>451</v>
      </c>
      <c r="D1002" t="s">
        <v>4219</v>
      </c>
      <c r="E1002" t="s">
        <v>75</v>
      </c>
    </row>
    <row r="1003" spans="1:5" x14ac:dyDescent="0.3">
      <c r="A1003" t="s">
        <v>190</v>
      </c>
      <c r="B1003" t="s">
        <v>4222</v>
      </c>
      <c r="C1003" t="s">
        <v>4221</v>
      </c>
      <c r="D1003" t="s">
        <v>4219</v>
      </c>
      <c r="E1003" t="s">
        <v>75</v>
      </c>
    </row>
    <row r="1004" spans="1:5" x14ac:dyDescent="0.3">
      <c r="A1004" t="s">
        <v>4227</v>
      </c>
      <c r="B1004" t="s">
        <v>4228</v>
      </c>
      <c r="C1004" t="s">
        <v>461</v>
      </c>
      <c r="D1004" t="s">
        <v>4224</v>
      </c>
      <c r="E1004" t="s">
        <v>781</v>
      </c>
    </row>
    <row r="1005" spans="1:5" x14ac:dyDescent="0.3">
      <c r="A1005" t="s">
        <v>1608</v>
      </c>
      <c r="B1005" t="s">
        <v>4231</v>
      </c>
      <c r="C1005" t="s">
        <v>4230</v>
      </c>
      <c r="D1005" t="s">
        <v>4224</v>
      </c>
      <c r="E1005" t="s">
        <v>781</v>
      </c>
    </row>
    <row r="1006" spans="1:5" x14ac:dyDescent="0.3">
      <c r="A1006" t="s">
        <v>438</v>
      </c>
      <c r="B1006" t="s">
        <v>4235</v>
      </c>
      <c r="C1006" t="s">
        <v>457</v>
      </c>
      <c r="D1006" t="s">
        <v>4233</v>
      </c>
      <c r="E1006" t="s">
        <v>781</v>
      </c>
    </row>
    <row r="1007" spans="1:5" x14ac:dyDescent="0.3">
      <c r="A1007" t="s">
        <v>230</v>
      </c>
      <c r="B1007" t="s">
        <v>4237</v>
      </c>
      <c r="C1007" t="s">
        <v>467</v>
      </c>
      <c r="D1007" t="s">
        <v>4236</v>
      </c>
      <c r="E1007" t="s">
        <v>1</v>
      </c>
    </row>
    <row r="1008" spans="1:5" x14ac:dyDescent="0.3">
      <c r="A1008" t="s">
        <v>4241</v>
      </c>
      <c r="B1008" t="s">
        <v>4242</v>
      </c>
      <c r="C1008" t="s">
        <v>467</v>
      </c>
      <c r="D1008" t="s">
        <v>4240</v>
      </c>
      <c r="E1008" t="s">
        <v>781</v>
      </c>
    </row>
    <row r="1009" spans="1:5" x14ac:dyDescent="0.3">
      <c r="B1009" t="s">
        <v>4243</v>
      </c>
      <c r="C1009" t="s">
        <v>461</v>
      </c>
      <c r="D1009" t="s">
        <v>4240</v>
      </c>
      <c r="E1009" t="s">
        <v>781</v>
      </c>
    </row>
    <row r="1010" spans="1:5" x14ac:dyDescent="0.3">
      <c r="A1010" t="s">
        <v>250</v>
      </c>
      <c r="B1010" t="s">
        <v>4246</v>
      </c>
      <c r="C1010" t="s">
        <v>628</v>
      </c>
      <c r="D1010" t="s">
        <v>4240</v>
      </c>
      <c r="E1010" t="s">
        <v>781</v>
      </c>
    </row>
    <row r="1011" spans="1:5" x14ac:dyDescent="0.3">
      <c r="A1011" t="s">
        <v>360</v>
      </c>
      <c r="B1011" t="s">
        <v>2421</v>
      </c>
      <c r="C1011" t="s">
        <v>628</v>
      </c>
      <c r="D1011" t="s">
        <v>4240</v>
      </c>
      <c r="E1011" t="s">
        <v>781</v>
      </c>
    </row>
    <row r="1012" spans="1:5" x14ac:dyDescent="0.3">
      <c r="A1012" t="s">
        <v>1283</v>
      </c>
      <c r="B1012" t="s">
        <v>828</v>
      </c>
      <c r="C1012" t="s">
        <v>4247</v>
      </c>
      <c r="D1012" t="s">
        <v>4240</v>
      </c>
      <c r="E1012" t="s">
        <v>781</v>
      </c>
    </row>
    <row r="1013" spans="1:5" x14ac:dyDescent="0.3">
      <c r="A1013" t="s">
        <v>220</v>
      </c>
      <c r="B1013" t="s">
        <v>4249</v>
      </c>
      <c r="C1013" t="s">
        <v>4248</v>
      </c>
      <c r="D1013" t="s">
        <v>4240</v>
      </c>
      <c r="E1013" t="s">
        <v>781</v>
      </c>
    </row>
    <row r="1014" spans="1:5" x14ac:dyDescent="0.3">
      <c r="A1014" t="s">
        <v>4250</v>
      </c>
      <c r="B1014" t="s">
        <v>4251</v>
      </c>
      <c r="C1014" t="s">
        <v>456</v>
      </c>
      <c r="D1014" t="s">
        <v>4240</v>
      </c>
      <c r="E1014" t="s">
        <v>781</v>
      </c>
    </row>
    <row r="1015" spans="1:5" x14ac:dyDescent="0.3">
      <c r="A1015" t="s">
        <v>4256</v>
      </c>
      <c r="B1015" t="s">
        <v>4257</v>
      </c>
      <c r="C1015" t="s">
        <v>461</v>
      </c>
      <c r="D1015" t="s">
        <v>4255</v>
      </c>
      <c r="E1015" t="s">
        <v>743</v>
      </c>
    </row>
    <row r="1016" spans="1:5" x14ac:dyDescent="0.3">
      <c r="A1016" t="s">
        <v>50</v>
      </c>
      <c r="B1016" t="s">
        <v>1506</v>
      </c>
      <c r="C1016" t="s">
        <v>862</v>
      </c>
      <c r="D1016" t="s">
        <v>2007</v>
      </c>
      <c r="E1016" t="s">
        <v>774</v>
      </c>
    </row>
    <row r="1017" spans="1:5" x14ac:dyDescent="0.3">
      <c r="A1017" t="s">
        <v>65</v>
      </c>
      <c r="B1017" t="s">
        <v>4262</v>
      </c>
      <c r="C1017" t="s">
        <v>862</v>
      </c>
      <c r="D1017" t="s">
        <v>2503</v>
      </c>
      <c r="E1017" t="s">
        <v>781</v>
      </c>
    </row>
    <row r="1018" spans="1:5" x14ac:dyDescent="0.3">
      <c r="A1018" t="s">
        <v>4266</v>
      </c>
      <c r="B1018" t="s">
        <v>4267</v>
      </c>
      <c r="C1018" t="s">
        <v>698</v>
      </c>
      <c r="D1018" t="s">
        <v>4259</v>
      </c>
      <c r="E1018" t="s">
        <v>75</v>
      </c>
    </row>
    <row r="1019" spans="1:5" x14ac:dyDescent="0.3">
      <c r="A1019" t="s">
        <v>386</v>
      </c>
      <c r="B1019" t="s">
        <v>4268</v>
      </c>
      <c r="C1019" t="s">
        <v>461</v>
      </c>
      <c r="D1019" t="s">
        <v>2503</v>
      </c>
      <c r="E1019" t="s">
        <v>781</v>
      </c>
    </row>
    <row r="1020" spans="1:5" x14ac:dyDescent="0.3">
      <c r="A1020" t="s">
        <v>1410</v>
      </c>
      <c r="B1020" t="s">
        <v>2621</v>
      </c>
      <c r="C1020" t="s">
        <v>456</v>
      </c>
      <c r="D1020" t="s">
        <v>2503</v>
      </c>
      <c r="E1020" t="s">
        <v>781</v>
      </c>
    </row>
    <row r="1021" spans="1:5" x14ac:dyDescent="0.3">
      <c r="A1021" t="s">
        <v>894</v>
      </c>
      <c r="B1021" t="s">
        <v>4280</v>
      </c>
      <c r="C1021" t="s">
        <v>4279</v>
      </c>
      <c r="D1021" t="s">
        <v>4275</v>
      </c>
      <c r="E1021" t="s">
        <v>75</v>
      </c>
    </row>
    <row r="1022" spans="1:5" x14ac:dyDescent="0.3">
      <c r="A1022" t="s">
        <v>132</v>
      </c>
      <c r="B1022" t="s">
        <v>4281</v>
      </c>
      <c r="C1022" t="s">
        <v>454</v>
      </c>
      <c r="D1022" t="s">
        <v>4276</v>
      </c>
      <c r="E1022" t="s">
        <v>75</v>
      </c>
    </row>
    <row r="1023" spans="1:5" x14ac:dyDescent="0.3">
      <c r="A1023" t="s">
        <v>772</v>
      </c>
      <c r="B1023" t="s">
        <v>4282</v>
      </c>
      <c r="C1023" t="s">
        <v>460</v>
      </c>
      <c r="D1023" t="s">
        <v>4275</v>
      </c>
      <c r="E1023" t="s">
        <v>75</v>
      </c>
    </row>
    <row r="1024" spans="1:5" x14ac:dyDescent="0.3">
      <c r="A1024" t="s">
        <v>2327</v>
      </c>
      <c r="B1024" t="s">
        <v>4283</v>
      </c>
      <c r="C1024" t="s">
        <v>628</v>
      </c>
      <c r="D1024" t="s">
        <v>2273</v>
      </c>
      <c r="E1024" t="s">
        <v>774</v>
      </c>
    </row>
    <row r="1025" spans="1:5" x14ac:dyDescent="0.3">
      <c r="A1025" t="s">
        <v>101</v>
      </c>
      <c r="B1025" t="s">
        <v>4287</v>
      </c>
      <c r="C1025" t="s">
        <v>862</v>
      </c>
      <c r="D1025" t="s">
        <v>780</v>
      </c>
      <c r="E1025" t="s">
        <v>781</v>
      </c>
    </row>
    <row r="1026" spans="1:5" x14ac:dyDescent="0.3">
      <c r="A1026" t="s">
        <v>27</v>
      </c>
      <c r="B1026" t="s">
        <v>287</v>
      </c>
      <c r="C1026" t="s">
        <v>461</v>
      </c>
      <c r="D1026" t="s">
        <v>780</v>
      </c>
      <c r="E1026" t="s">
        <v>781</v>
      </c>
    </row>
    <row r="1027" spans="1:5" x14ac:dyDescent="0.3">
      <c r="A1027" t="s">
        <v>163</v>
      </c>
      <c r="B1027" t="s">
        <v>4298</v>
      </c>
      <c r="C1027" t="s">
        <v>4297</v>
      </c>
      <c r="D1027" t="s">
        <v>2340</v>
      </c>
      <c r="E1027" t="s">
        <v>781</v>
      </c>
    </row>
    <row r="1028" spans="1:5" x14ac:dyDescent="0.3">
      <c r="A1028" t="s">
        <v>3258</v>
      </c>
      <c r="B1028" t="s">
        <v>4301</v>
      </c>
      <c r="C1028" t="s">
        <v>4300</v>
      </c>
      <c r="D1028" t="s">
        <v>2406</v>
      </c>
      <c r="E1028" t="s">
        <v>841</v>
      </c>
    </row>
    <row r="1029" spans="1:5" x14ac:dyDescent="0.3">
      <c r="A1029" t="s">
        <v>195</v>
      </c>
      <c r="B1029" t="s">
        <v>4302</v>
      </c>
      <c r="C1029" t="s">
        <v>467</v>
      </c>
      <c r="D1029" t="s">
        <v>2406</v>
      </c>
      <c r="E1029" t="s">
        <v>841</v>
      </c>
    </row>
    <row r="1030" spans="1:5" x14ac:dyDescent="0.3">
      <c r="A1030" t="s">
        <v>4306</v>
      </c>
      <c r="B1030" t="s">
        <v>4307</v>
      </c>
      <c r="C1030" t="s">
        <v>467</v>
      </c>
      <c r="D1030" t="s">
        <v>4305</v>
      </c>
      <c r="E1030" t="s">
        <v>2175</v>
      </c>
    </row>
    <row r="1031" spans="1:5" x14ac:dyDescent="0.3">
      <c r="A1031" t="s">
        <v>4308</v>
      </c>
      <c r="B1031" t="s">
        <v>4310</v>
      </c>
      <c r="C1031" t="s">
        <v>4309</v>
      </c>
      <c r="D1031" t="s">
        <v>4305</v>
      </c>
      <c r="E1031" t="s">
        <v>2175</v>
      </c>
    </row>
    <row r="1032" spans="1:5" x14ac:dyDescent="0.3">
      <c r="A1032" t="s">
        <v>57</v>
      </c>
      <c r="B1032" t="s">
        <v>4312</v>
      </c>
      <c r="C1032" t="s">
        <v>467</v>
      </c>
      <c r="D1032" t="s">
        <v>4311</v>
      </c>
      <c r="E1032" t="s">
        <v>75</v>
      </c>
    </row>
    <row r="1033" spans="1:5" x14ac:dyDescent="0.3">
      <c r="A1033" t="s">
        <v>4317</v>
      </c>
      <c r="B1033" t="s">
        <v>4319</v>
      </c>
      <c r="C1033" t="s">
        <v>4318</v>
      </c>
      <c r="D1033" t="s">
        <v>4316</v>
      </c>
      <c r="E1033" t="s">
        <v>75</v>
      </c>
    </row>
    <row r="1034" spans="1:5" x14ac:dyDescent="0.3">
      <c r="A1034" t="s">
        <v>4324</v>
      </c>
      <c r="B1034" t="s">
        <v>4325</v>
      </c>
      <c r="C1034" t="s">
        <v>451</v>
      </c>
      <c r="D1034" t="s">
        <v>4323</v>
      </c>
      <c r="E1034" t="s">
        <v>841</v>
      </c>
    </row>
    <row r="1035" spans="1:5" x14ac:dyDescent="0.3">
      <c r="A1035" t="s">
        <v>1003</v>
      </c>
      <c r="B1035" t="s">
        <v>4326</v>
      </c>
      <c r="C1035" t="s">
        <v>455</v>
      </c>
      <c r="D1035" t="s">
        <v>4323</v>
      </c>
      <c r="E1035" t="s">
        <v>841</v>
      </c>
    </row>
    <row r="1036" spans="1:5" x14ac:dyDescent="0.3">
      <c r="A1036" t="s">
        <v>3062</v>
      </c>
      <c r="B1036" t="s">
        <v>13045</v>
      </c>
      <c r="C1036" t="s">
        <v>628</v>
      </c>
      <c r="D1036" t="s">
        <v>4323</v>
      </c>
      <c r="E1036" t="s">
        <v>841</v>
      </c>
    </row>
    <row r="1037" spans="1:5" x14ac:dyDescent="0.3">
      <c r="A1037" t="s">
        <v>855</v>
      </c>
      <c r="B1037" t="s">
        <v>1064</v>
      </c>
      <c r="C1037" t="s">
        <v>461</v>
      </c>
      <c r="D1037" t="s">
        <v>4330</v>
      </c>
      <c r="E1037" t="s">
        <v>75</v>
      </c>
    </row>
    <row r="1038" spans="1:5" x14ac:dyDescent="0.3">
      <c r="A1038" t="s">
        <v>4334</v>
      </c>
      <c r="B1038" t="s">
        <v>4336</v>
      </c>
      <c r="C1038" t="s">
        <v>4335</v>
      </c>
      <c r="D1038" t="s">
        <v>3192</v>
      </c>
      <c r="E1038" t="s">
        <v>743</v>
      </c>
    </row>
    <row r="1039" spans="1:5" x14ac:dyDescent="0.3">
      <c r="A1039" t="s">
        <v>2304</v>
      </c>
      <c r="B1039" t="s">
        <v>4338</v>
      </c>
      <c r="C1039" t="s">
        <v>461</v>
      </c>
      <c r="D1039" t="s">
        <v>4337</v>
      </c>
      <c r="E1039" t="s">
        <v>75</v>
      </c>
    </row>
    <row r="1040" spans="1:5" x14ac:dyDescent="0.3">
      <c r="A1040" t="s">
        <v>13046</v>
      </c>
      <c r="B1040" t="s">
        <v>13047</v>
      </c>
      <c r="C1040" t="s">
        <v>4339</v>
      </c>
      <c r="D1040" t="s">
        <v>4328</v>
      </c>
      <c r="E1040" t="s">
        <v>897</v>
      </c>
    </row>
    <row r="1041" spans="1:5" x14ac:dyDescent="0.3">
      <c r="A1041" t="s">
        <v>1581</v>
      </c>
      <c r="B1041" t="s">
        <v>4342</v>
      </c>
      <c r="C1041" t="s">
        <v>4341</v>
      </c>
      <c r="D1041" t="s">
        <v>4328</v>
      </c>
      <c r="E1041" t="s">
        <v>897</v>
      </c>
    </row>
    <row r="1042" spans="1:5" x14ac:dyDescent="0.3">
      <c r="A1042" t="s">
        <v>4343</v>
      </c>
      <c r="B1042" t="s">
        <v>4345</v>
      </c>
      <c r="C1042" t="s">
        <v>4344</v>
      </c>
      <c r="D1042" t="s">
        <v>4328</v>
      </c>
      <c r="E1042" t="s">
        <v>897</v>
      </c>
    </row>
    <row r="1043" spans="1:5" x14ac:dyDescent="0.3">
      <c r="A1043" t="s">
        <v>4348</v>
      </c>
      <c r="B1043" t="s">
        <v>1839</v>
      </c>
      <c r="C1043" t="s">
        <v>862</v>
      </c>
      <c r="D1043" t="s">
        <v>4346</v>
      </c>
      <c r="E1043" t="s">
        <v>743</v>
      </c>
    </row>
    <row r="1044" spans="1:5" x14ac:dyDescent="0.3">
      <c r="A1044" t="s">
        <v>300</v>
      </c>
      <c r="B1044" t="s">
        <v>4350</v>
      </c>
      <c r="C1044" t="s">
        <v>4349</v>
      </c>
      <c r="D1044" t="s">
        <v>4346</v>
      </c>
      <c r="E1044" t="s">
        <v>743</v>
      </c>
    </row>
    <row r="1045" spans="1:5" x14ac:dyDescent="0.3">
      <c r="A1045" t="s">
        <v>4353</v>
      </c>
      <c r="B1045" t="s">
        <v>4068</v>
      </c>
      <c r="C1045" t="s">
        <v>467</v>
      </c>
      <c r="D1045" t="s">
        <v>4352</v>
      </c>
      <c r="E1045" t="s">
        <v>2175</v>
      </c>
    </row>
    <row r="1046" spans="1:5" x14ac:dyDescent="0.3">
      <c r="A1046" t="s">
        <v>3120</v>
      </c>
      <c r="B1046" t="s">
        <v>4358</v>
      </c>
      <c r="C1046" t="s">
        <v>4357</v>
      </c>
      <c r="D1046" t="s">
        <v>4356</v>
      </c>
      <c r="E1046" t="s">
        <v>75</v>
      </c>
    </row>
    <row r="1047" spans="1:5" x14ac:dyDescent="0.3">
      <c r="A1047" t="s">
        <v>772</v>
      </c>
      <c r="B1047" t="s">
        <v>4364</v>
      </c>
      <c r="C1047" t="s">
        <v>461</v>
      </c>
      <c r="D1047" t="s">
        <v>4359</v>
      </c>
      <c r="E1047" t="s">
        <v>841</v>
      </c>
    </row>
    <row r="1048" spans="1:5" x14ac:dyDescent="0.3">
      <c r="A1048" t="s">
        <v>150</v>
      </c>
      <c r="B1048" t="s">
        <v>4368</v>
      </c>
      <c r="C1048" t="s">
        <v>458</v>
      </c>
      <c r="D1048" t="s">
        <v>4367</v>
      </c>
      <c r="E1048" t="s">
        <v>75</v>
      </c>
    </row>
    <row r="1049" spans="1:5" x14ac:dyDescent="0.3">
      <c r="A1049" t="s">
        <v>4370</v>
      </c>
      <c r="B1049" t="s">
        <v>4371</v>
      </c>
      <c r="C1049" t="s">
        <v>467</v>
      </c>
      <c r="D1049" t="s">
        <v>4359</v>
      </c>
      <c r="E1049" t="s">
        <v>841</v>
      </c>
    </row>
    <row r="1050" spans="1:5" x14ac:dyDescent="0.3">
      <c r="A1050" t="s">
        <v>2651</v>
      </c>
      <c r="B1050" t="s">
        <v>4373</v>
      </c>
      <c r="C1050" t="s">
        <v>457</v>
      </c>
      <c r="D1050" t="s">
        <v>4372</v>
      </c>
      <c r="E1050" t="s">
        <v>761</v>
      </c>
    </row>
    <row r="1051" spans="1:5" x14ac:dyDescent="0.3">
      <c r="A1051" t="s">
        <v>50</v>
      </c>
      <c r="B1051" t="s">
        <v>4378</v>
      </c>
      <c r="C1051" t="s">
        <v>467</v>
      </c>
      <c r="D1051" t="s">
        <v>4375</v>
      </c>
      <c r="E1051" t="s">
        <v>761</v>
      </c>
    </row>
    <row r="1052" spans="1:5" x14ac:dyDescent="0.3">
      <c r="A1052" t="s">
        <v>4381</v>
      </c>
      <c r="B1052" t="s">
        <v>4383</v>
      </c>
      <c r="C1052" t="s">
        <v>4382</v>
      </c>
    </row>
    <row r="1053" spans="1:5" x14ac:dyDescent="0.3">
      <c r="A1053" t="s">
        <v>4169</v>
      </c>
      <c r="B1053" t="s">
        <v>4386</v>
      </c>
      <c r="C1053" t="s">
        <v>4385</v>
      </c>
      <c r="D1053" t="s">
        <v>3848</v>
      </c>
      <c r="E1053" t="s">
        <v>75</v>
      </c>
    </row>
    <row r="1054" spans="1:5" x14ac:dyDescent="0.3">
      <c r="A1054" t="s">
        <v>153</v>
      </c>
      <c r="B1054" t="s">
        <v>4389</v>
      </c>
      <c r="C1054" t="s">
        <v>461</v>
      </c>
      <c r="D1054" t="s">
        <v>3794</v>
      </c>
      <c r="E1054" t="s">
        <v>758</v>
      </c>
    </row>
    <row r="1055" spans="1:5" x14ac:dyDescent="0.3">
      <c r="A1055" t="s">
        <v>77</v>
      </c>
      <c r="B1055" t="s">
        <v>4403</v>
      </c>
      <c r="C1055" t="s">
        <v>862</v>
      </c>
      <c r="D1055" t="s">
        <v>963</v>
      </c>
      <c r="E1055" t="s">
        <v>758</v>
      </c>
    </row>
    <row r="1056" spans="1:5" x14ac:dyDescent="0.3">
      <c r="A1056" t="s">
        <v>2620</v>
      </c>
      <c r="B1056" t="s">
        <v>4405</v>
      </c>
      <c r="C1056" t="s">
        <v>4404</v>
      </c>
      <c r="D1056" t="s">
        <v>963</v>
      </c>
      <c r="E1056" t="s">
        <v>758</v>
      </c>
    </row>
    <row r="1057" spans="1:5" x14ac:dyDescent="0.3">
      <c r="A1057" t="s">
        <v>740</v>
      </c>
      <c r="B1057" t="s">
        <v>4407</v>
      </c>
      <c r="C1057" t="s">
        <v>862</v>
      </c>
      <c r="D1057" t="s">
        <v>963</v>
      </c>
      <c r="E1057" t="s">
        <v>758</v>
      </c>
    </row>
    <row r="1058" spans="1:5" x14ac:dyDescent="0.3">
      <c r="A1058" t="s">
        <v>3421</v>
      </c>
      <c r="B1058" t="s">
        <v>4408</v>
      </c>
      <c r="C1058" t="s">
        <v>862</v>
      </c>
      <c r="D1058" t="s">
        <v>963</v>
      </c>
      <c r="E1058" t="s">
        <v>758</v>
      </c>
    </row>
    <row r="1059" spans="1:5" x14ac:dyDescent="0.3">
      <c r="A1059" t="s">
        <v>875</v>
      </c>
      <c r="B1059" t="s">
        <v>4409</v>
      </c>
      <c r="C1059" t="s">
        <v>862</v>
      </c>
      <c r="D1059" t="s">
        <v>963</v>
      </c>
      <c r="E1059" t="s">
        <v>758</v>
      </c>
    </row>
    <row r="1060" spans="1:5" x14ac:dyDescent="0.3">
      <c r="A1060" t="s">
        <v>182</v>
      </c>
      <c r="B1060" t="s">
        <v>4416</v>
      </c>
      <c r="C1060" t="s">
        <v>4415</v>
      </c>
      <c r="D1060" t="s">
        <v>739</v>
      </c>
      <c r="E1060" t="s">
        <v>741</v>
      </c>
    </row>
    <row r="1061" spans="1:5" x14ac:dyDescent="0.3">
      <c r="A1061" t="s">
        <v>194</v>
      </c>
      <c r="B1061" t="s">
        <v>4418</v>
      </c>
      <c r="C1061" t="s">
        <v>862</v>
      </c>
      <c r="D1061" t="s">
        <v>739</v>
      </c>
      <c r="E1061" t="s">
        <v>741</v>
      </c>
    </row>
    <row r="1062" spans="1:5" x14ac:dyDescent="0.3">
      <c r="A1062" t="s">
        <v>3118</v>
      </c>
      <c r="B1062" t="s">
        <v>1630</v>
      </c>
      <c r="C1062" t="s">
        <v>862</v>
      </c>
      <c r="D1062" t="s">
        <v>739</v>
      </c>
      <c r="E1062" t="s">
        <v>741</v>
      </c>
    </row>
    <row r="1063" spans="1:5" x14ac:dyDescent="0.3">
      <c r="A1063" t="s">
        <v>1243</v>
      </c>
      <c r="B1063" t="s">
        <v>4423</v>
      </c>
      <c r="C1063" t="s">
        <v>454</v>
      </c>
    </row>
    <row r="1064" spans="1:5" x14ac:dyDescent="0.3">
      <c r="A1064" t="s">
        <v>181</v>
      </c>
      <c r="B1064" t="s">
        <v>3571</v>
      </c>
      <c r="C1064" t="s">
        <v>456</v>
      </c>
      <c r="D1064" t="s">
        <v>739</v>
      </c>
      <c r="E1064" t="s">
        <v>741</v>
      </c>
    </row>
    <row r="1065" spans="1:5" x14ac:dyDescent="0.3">
      <c r="A1065" t="s">
        <v>1227</v>
      </c>
      <c r="B1065" t="s">
        <v>139</v>
      </c>
      <c r="C1065" t="s">
        <v>862</v>
      </c>
      <c r="D1065" t="s">
        <v>739</v>
      </c>
      <c r="E1065" t="s">
        <v>741</v>
      </c>
    </row>
    <row r="1066" spans="1:5" x14ac:dyDescent="0.3">
      <c r="A1066" t="s">
        <v>41</v>
      </c>
      <c r="B1066" t="s">
        <v>3303</v>
      </c>
      <c r="C1066" t="s">
        <v>4426</v>
      </c>
      <c r="D1066" t="s">
        <v>739</v>
      </c>
      <c r="E1066" t="s">
        <v>741</v>
      </c>
    </row>
    <row r="1067" spans="1:5" x14ac:dyDescent="0.3">
      <c r="A1067" t="s">
        <v>4417</v>
      </c>
      <c r="B1067" t="s">
        <v>824</v>
      </c>
      <c r="C1067" t="s">
        <v>862</v>
      </c>
      <c r="D1067" t="s">
        <v>739</v>
      </c>
      <c r="E1067" t="s">
        <v>741</v>
      </c>
    </row>
    <row r="1068" spans="1:5" x14ac:dyDescent="0.3">
      <c r="A1068" t="s">
        <v>4428</v>
      </c>
      <c r="B1068" t="s">
        <v>2657</v>
      </c>
      <c r="C1068" t="s">
        <v>862</v>
      </c>
      <c r="D1068" t="s">
        <v>739</v>
      </c>
      <c r="E1068" t="s">
        <v>741</v>
      </c>
    </row>
    <row r="1069" spans="1:5" x14ac:dyDescent="0.3">
      <c r="A1069" t="s">
        <v>195</v>
      </c>
      <c r="B1069" t="s">
        <v>272</v>
      </c>
      <c r="C1069" t="s">
        <v>4429</v>
      </c>
      <c r="D1069" t="s">
        <v>739</v>
      </c>
      <c r="E1069" t="s">
        <v>741</v>
      </c>
    </row>
    <row r="1070" spans="1:5" x14ac:dyDescent="0.3">
      <c r="A1070" t="s">
        <v>224</v>
      </c>
      <c r="B1070" t="s">
        <v>440</v>
      </c>
      <c r="C1070" t="s">
        <v>518</v>
      </c>
      <c r="D1070" t="s">
        <v>739</v>
      </c>
      <c r="E1070" t="s">
        <v>741</v>
      </c>
    </row>
    <row r="1071" spans="1:5" x14ac:dyDescent="0.3">
      <c r="A1071" t="s">
        <v>89</v>
      </c>
      <c r="B1071" t="s">
        <v>3910</v>
      </c>
      <c r="C1071" t="s">
        <v>518</v>
      </c>
      <c r="D1071" t="s">
        <v>739</v>
      </c>
      <c r="E1071" t="s">
        <v>741</v>
      </c>
    </row>
    <row r="1072" spans="1:5" x14ac:dyDescent="0.3">
      <c r="A1072" t="s">
        <v>59</v>
      </c>
      <c r="B1072" t="s">
        <v>4438</v>
      </c>
      <c r="C1072" t="s">
        <v>4437</v>
      </c>
      <c r="D1072" t="s">
        <v>739</v>
      </c>
      <c r="E1072" t="s">
        <v>741</v>
      </c>
    </row>
    <row r="1073" spans="1:5" x14ac:dyDescent="0.3">
      <c r="A1073" t="s">
        <v>1330</v>
      </c>
      <c r="B1073" t="s">
        <v>4448</v>
      </c>
      <c r="C1073" t="s">
        <v>467</v>
      </c>
      <c r="D1073" t="s">
        <v>2812</v>
      </c>
      <c r="E1073" t="s">
        <v>761</v>
      </c>
    </row>
    <row r="1074" spans="1:5" x14ac:dyDescent="0.3">
      <c r="A1074" t="s">
        <v>3355</v>
      </c>
      <c r="B1074" t="s">
        <v>1046</v>
      </c>
      <c r="C1074" t="s">
        <v>4449</v>
      </c>
      <c r="D1074" t="s">
        <v>2812</v>
      </c>
      <c r="E1074" t="s">
        <v>761</v>
      </c>
    </row>
    <row r="1075" spans="1:5" x14ac:dyDescent="0.3">
      <c r="A1075" t="s">
        <v>179</v>
      </c>
      <c r="B1075" t="s">
        <v>4452</v>
      </c>
      <c r="C1075" t="s">
        <v>4451</v>
      </c>
      <c r="D1075" t="s">
        <v>2812</v>
      </c>
      <c r="E1075" t="s">
        <v>761</v>
      </c>
    </row>
    <row r="1076" spans="1:5" x14ac:dyDescent="0.3">
      <c r="A1076" t="s">
        <v>4454</v>
      </c>
      <c r="B1076" t="s">
        <v>4455</v>
      </c>
      <c r="C1076" t="s">
        <v>698</v>
      </c>
    </row>
    <row r="1077" spans="1:5" x14ac:dyDescent="0.3">
      <c r="A1077" t="s">
        <v>157</v>
      </c>
      <c r="B1077" t="s">
        <v>1206</v>
      </c>
      <c r="C1077" t="s">
        <v>461</v>
      </c>
      <c r="D1077" t="s">
        <v>2812</v>
      </c>
      <c r="E1077" t="s">
        <v>761</v>
      </c>
    </row>
    <row r="1078" spans="1:5" x14ac:dyDescent="0.3">
      <c r="A1078" t="s">
        <v>177</v>
      </c>
      <c r="B1078" t="s">
        <v>4456</v>
      </c>
      <c r="C1078" t="s">
        <v>456</v>
      </c>
      <c r="D1078" t="s">
        <v>2812</v>
      </c>
      <c r="E1078" t="s">
        <v>761</v>
      </c>
    </row>
    <row r="1079" spans="1:5" x14ac:dyDescent="0.3">
      <c r="A1079" t="s">
        <v>177</v>
      </c>
      <c r="B1079" t="s">
        <v>1204</v>
      </c>
      <c r="C1079" t="s">
        <v>461</v>
      </c>
      <c r="D1079" t="s">
        <v>2812</v>
      </c>
      <c r="E1079" t="s">
        <v>761</v>
      </c>
    </row>
    <row r="1080" spans="1:5" x14ac:dyDescent="0.3">
      <c r="A1080" t="s">
        <v>1135</v>
      </c>
      <c r="B1080" t="s">
        <v>4459</v>
      </c>
      <c r="C1080" t="s">
        <v>4458</v>
      </c>
    </row>
    <row r="1081" spans="1:5" x14ac:dyDescent="0.3">
      <c r="A1081" t="s">
        <v>63</v>
      </c>
      <c r="B1081" t="s">
        <v>4461</v>
      </c>
      <c r="C1081" t="s">
        <v>4460</v>
      </c>
    </row>
    <row r="1082" spans="1:5" x14ac:dyDescent="0.3">
      <c r="A1082" t="s">
        <v>298</v>
      </c>
      <c r="B1082" t="s">
        <v>434</v>
      </c>
      <c r="C1082" t="s">
        <v>4465</v>
      </c>
      <c r="D1082" t="s">
        <v>815</v>
      </c>
      <c r="E1082" t="s">
        <v>741</v>
      </c>
    </row>
    <row r="1083" spans="1:5" x14ac:dyDescent="0.3">
      <c r="A1083" t="s">
        <v>752</v>
      </c>
      <c r="B1083" t="s">
        <v>2813</v>
      </c>
      <c r="C1083" t="s">
        <v>460</v>
      </c>
      <c r="D1083" t="s">
        <v>4469</v>
      </c>
      <c r="E1083" t="s">
        <v>774</v>
      </c>
    </row>
    <row r="1084" spans="1:5" x14ac:dyDescent="0.3">
      <c r="A1084" t="s">
        <v>808</v>
      </c>
      <c r="B1084" t="s">
        <v>2813</v>
      </c>
      <c r="C1084" t="s">
        <v>460</v>
      </c>
      <c r="D1084" t="s">
        <v>4469</v>
      </c>
      <c r="E1084" t="s">
        <v>774</v>
      </c>
    </row>
    <row r="1085" spans="1:5" x14ac:dyDescent="0.3">
      <c r="A1085" t="s">
        <v>4473</v>
      </c>
      <c r="B1085" t="s">
        <v>2908</v>
      </c>
      <c r="C1085" t="s">
        <v>467</v>
      </c>
      <c r="D1085" t="s">
        <v>4472</v>
      </c>
      <c r="E1085" t="s">
        <v>774</v>
      </c>
    </row>
    <row r="1086" spans="1:5" x14ac:dyDescent="0.3">
      <c r="A1086" t="s">
        <v>190</v>
      </c>
      <c r="B1086" t="s">
        <v>4478</v>
      </c>
      <c r="C1086" t="s">
        <v>461</v>
      </c>
      <c r="D1086" t="s">
        <v>4477</v>
      </c>
      <c r="E1086" t="s">
        <v>761</v>
      </c>
    </row>
    <row r="1087" spans="1:5" x14ac:dyDescent="0.3">
      <c r="A1087" t="s">
        <v>63</v>
      </c>
      <c r="B1087" t="s">
        <v>4482</v>
      </c>
      <c r="C1087" t="s">
        <v>720</v>
      </c>
    </row>
    <row r="1088" spans="1:5" x14ac:dyDescent="0.3">
      <c r="A1088" t="s">
        <v>195</v>
      </c>
      <c r="B1088" t="s">
        <v>918</v>
      </c>
      <c r="C1088" t="s">
        <v>460</v>
      </c>
      <c r="D1088" t="s">
        <v>4483</v>
      </c>
      <c r="E1088" t="s">
        <v>75</v>
      </c>
    </row>
    <row r="1089" spans="1:5" x14ac:dyDescent="0.3">
      <c r="A1089" t="s">
        <v>113</v>
      </c>
      <c r="B1089" t="s">
        <v>4484</v>
      </c>
      <c r="C1089" t="s">
        <v>460</v>
      </c>
      <c r="D1089" t="s">
        <v>4483</v>
      </c>
      <c r="E1089" t="s">
        <v>75</v>
      </c>
    </row>
    <row r="1090" spans="1:5" x14ac:dyDescent="0.3">
      <c r="A1090" t="s">
        <v>100</v>
      </c>
      <c r="B1090" t="s">
        <v>4485</v>
      </c>
      <c r="C1090" t="s">
        <v>3109</v>
      </c>
      <c r="D1090" t="s">
        <v>770</v>
      </c>
      <c r="E1090" t="s">
        <v>758</v>
      </c>
    </row>
    <row r="1091" spans="1:5" x14ac:dyDescent="0.3">
      <c r="A1091" t="s">
        <v>1018</v>
      </c>
      <c r="B1091" t="s">
        <v>4486</v>
      </c>
      <c r="C1091" t="s">
        <v>459</v>
      </c>
      <c r="D1091" t="s">
        <v>770</v>
      </c>
      <c r="E1091" t="s">
        <v>758</v>
      </c>
    </row>
    <row r="1092" spans="1:5" x14ac:dyDescent="0.3">
      <c r="A1092" t="s">
        <v>4487</v>
      </c>
      <c r="B1092" t="s">
        <v>4489</v>
      </c>
      <c r="C1092" t="s">
        <v>4488</v>
      </c>
      <c r="D1092" t="s">
        <v>770</v>
      </c>
      <c r="E1092" t="s">
        <v>758</v>
      </c>
    </row>
    <row r="1093" spans="1:5" x14ac:dyDescent="0.3">
      <c r="A1093" t="s">
        <v>1933</v>
      </c>
      <c r="B1093" t="s">
        <v>4490</v>
      </c>
      <c r="C1093" t="s">
        <v>862</v>
      </c>
      <c r="D1093" t="s">
        <v>960</v>
      </c>
      <c r="E1093" t="s">
        <v>774</v>
      </c>
    </row>
    <row r="1094" spans="1:5" x14ac:dyDescent="0.3">
      <c r="A1094" t="s">
        <v>1972</v>
      </c>
      <c r="B1094" t="s">
        <v>364</v>
      </c>
      <c r="C1094" t="s">
        <v>461</v>
      </c>
      <c r="D1094" t="s">
        <v>4491</v>
      </c>
      <c r="E1094" t="s">
        <v>758</v>
      </c>
    </row>
    <row r="1095" spans="1:5" x14ac:dyDescent="0.3">
      <c r="A1095" t="s">
        <v>116</v>
      </c>
      <c r="B1095" t="s">
        <v>1110</v>
      </c>
      <c r="C1095" t="s">
        <v>467</v>
      </c>
      <c r="D1095" t="s">
        <v>4491</v>
      </c>
      <c r="E1095" t="s">
        <v>758</v>
      </c>
    </row>
    <row r="1096" spans="1:5" x14ac:dyDescent="0.3">
      <c r="A1096" t="s">
        <v>131</v>
      </c>
      <c r="B1096" t="s">
        <v>4493</v>
      </c>
      <c r="C1096" t="s">
        <v>518</v>
      </c>
      <c r="D1096" t="s">
        <v>4492</v>
      </c>
      <c r="E1096" t="s">
        <v>75</v>
      </c>
    </row>
    <row r="1097" spans="1:5" x14ac:dyDescent="0.3">
      <c r="A1097" t="s">
        <v>4495</v>
      </c>
      <c r="B1097" t="s">
        <v>4496</v>
      </c>
      <c r="C1097" t="s">
        <v>467</v>
      </c>
      <c r="D1097" t="s">
        <v>4494</v>
      </c>
      <c r="E1097" t="s">
        <v>741</v>
      </c>
    </row>
    <row r="1098" spans="1:5" x14ac:dyDescent="0.3">
      <c r="A1098" t="s">
        <v>220</v>
      </c>
      <c r="B1098" t="s">
        <v>4502</v>
      </c>
      <c r="C1098" t="s">
        <v>458</v>
      </c>
      <c r="D1098" t="s">
        <v>4501</v>
      </c>
      <c r="E1098" t="s">
        <v>75</v>
      </c>
    </row>
    <row r="1099" spans="1:5" x14ac:dyDescent="0.3">
      <c r="A1099" t="s">
        <v>4503</v>
      </c>
      <c r="B1099" t="s">
        <v>4504</v>
      </c>
      <c r="C1099" t="s">
        <v>467</v>
      </c>
      <c r="D1099" t="s">
        <v>4494</v>
      </c>
      <c r="E1099" t="s">
        <v>741</v>
      </c>
    </row>
    <row r="1100" spans="1:5" x14ac:dyDescent="0.3">
      <c r="A1100" t="s">
        <v>4512</v>
      </c>
      <c r="B1100" t="s">
        <v>4513</v>
      </c>
      <c r="C1100" t="s">
        <v>467</v>
      </c>
      <c r="D1100" t="s">
        <v>4511</v>
      </c>
      <c r="E1100" t="s">
        <v>75</v>
      </c>
    </row>
    <row r="1101" spans="1:5" x14ac:dyDescent="0.3">
      <c r="A1101" t="s">
        <v>41</v>
      </c>
      <c r="B1101" t="s">
        <v>4515</v>
      </c>
      <c r="C1101" t="s">
        <v>458</v>
      </c>
      <c r="D1101" t="s">
        <v>4514</v>
      </c>
      <c r="E1101" t="s">
        <v>75</v>
      </c>
    </row>
    <row r="1102" spans="1:5" x14ac:dyDescent="0.3">
      <c r="A1102" t="s">
        <v>2697</v>
      </c>
      <c r="B1102" t="s">
        <v>1432</v>
      </c>
      <c r="C1102" t="s">
        <v>4517</v>
      </c>
      <c r="D1102" t="s">
        <v>4516</v>
      </c>
      <c r="E1102" t="s">
        <v>18</v>
      </c>
    </row>
    <row r="1103" spans="1:5" x14ac:dyDescent="0.3">
      <c r="A1103" t="s">
        <v>967</v>
      </c>
      <c r="B1103" t="s">
        <v>4524</v>
      </c>
      <c r="C1103" t="s">
        <v>4523</v>
      </c>
      <c r="D1103" t="s">
        <v>4522</v>
      </c>
      <c r="E1103" t="s">
        <v>743</v>
      </c>
    </row>
    <row r="1104" spans="1:5" x14ac:dyDescent="0.3">
      <c r="A1104" t="s">
        <v>224</v>
      </c>
      <c r="B1104" t="s">
        <v>4526</v>
      </c>
      <c r="C1104" t="s">
        <v>461</v>
      </c>
      <c r="D1104" t="s">
        <v>4525</v>
      </c>
      <c r="E1104" t="s">
        <v>75</v>
      </c>
    </row>
    <row r="1105" spans="1:5" x14ac:dyDescent="0.3">
      <c r="A1105" t="s">
        <v>2881</v>
      </c>
      <c r="B1105" t="s">
        <v>2052</v>
      </c>
      <c r="C1105" t="s">
        <v>461</v>
      </c>
      <c r="D1105" t="s">
        <v>4530</v>
      </c>
      <c r="E1105" t="s">
        <v>75</v>
      </c>
    </row>
    <row r="1106" spans="1:5" x14ac:dyDescent="0.3">
      <c r="A1106" t="s">
        <v>264</v>
      </c>
      <c r="B1106" t="s">
        <v>4531</v>
      </c>
      <c r="C1106" t="s">
        <v>467</v>
      </c>
      <c r="D1106" t="s">
        <v>4527</v>
      </c>
      <c r="E1106" t="s">
        <v>75</v>
      </c>
    </row>
    <row r="1107" spans="1:5" x14ac:dyDescent="0.3">
      <c r="A1107" t="s">
        <v>50</v>
      </c>
      <c r="B1107" t="s">
        <v>356</v>
      </c>
      <c r="C1107" t="s">
        <v>467</v>
      </c>
      <c r="D1107" t="s">
        <v>4527</v>
      </c>
      <c r="E1107" t="s">
        <v>75</v>
      </c>
    </row>
    <row r="1108" spans="1:5" x14ac:dyDescent="0.3">
      <c r="A1108" t="s">
        <v>89</v>
      </c>
      <c r="B1108" t="s">
        <v>4534</v>
      </c>
      <c r="C1108" t="s">
        <v>459</v>
      </c>
      <c r="D1108" t="s">
        <v>4527</v>
      </c>
      <c r="E1108" t="s">
        <v>75</v>
      </c>
    </row>
    <row r="1109" spans="1:5" x14ac:dyDescent="0.3">
      <c r="A1109" t="s">
        <v>4537</v>
      </c>
      <c r="B1109" t="s">
        <v>4538</v>
      </c>
      <c r="C1109" t="s">
        <v>459</v>
      </c>
    </row>
    <row r="1110" spans="1:5" x14ac:dyDescent="0.3">
      <c r="A1110" t="s">
        <v>314</v>
      </c>
      <c r="B1110" t="s">
        <v>4539</v>
      </c>
      <c r="C1110" t="s">
        <v>461</v>
      </c>
      <c r="D1110" t="s">
        <v>4527</v>
      </c>
      <c r="E1110" t="s">
        <v>75</v>
      </c>
    </row>
    <row r="1111" spans="1:5" x14ac:dyDescent="0.3">
      <c r="A1111" t="s">
        <v>4540</v>
      </c>
      <c r="B1111" t="s">
        <v>1331</v>
      </c>
      <c r="C1111" t="s">
        <v>455</v>
      </c>
      <c r="D1111" t="s">
        <v>4527</v>
      </c>
      <c r="E1111" t="s">
        <v>75</v>
      </c>
    </row>
    <row r="1112" spans="1:5" x14ac:dyDescent="0.3">
      <c r="A1112" t="s">
        <v>224</v>
      </c>
      <c r="B1112" t="s">
        <v>4545</v>
      </c>
      <c r="C1112" t="s">
        <v>461</v>
      </c>
      <c r="D1112" t="s">
        <v>4527</v>
      </c>
      <c r="E1112" t="s">
        <v>75</v>
      </c>
    </row>
    <row r="1113" spans="1:5" x14ac:dyDescent="0.3">
      <c r="A1113" t="s">
        <v>4474</v>
      </c>
      <c r="B1113" t="s">
        <v>4549</v>
      </c>
      <c r="C1113" t="s">
        <v>460</v>
      </c>
      <c r="D1113" t="s">
        <v>4548</v>
      </c>
      <c r="E1113" t="s">
        <v>75</v>
      </c>
    </row>
    <row r="1114" spans="1:5" x14ac:dyDescent="0.3">
      <c r="A1114" t="s">
        <v>89</v>
      </c>
      <c r="B1114" t="s">
        <v>4550</v>
      </c>
      <c r="C1114" t="s">
        <v>467</v>
      </c>
      <c r="D1114" t="s">
        <v>4548</v>
      </c>
      <c r="E1114" t="s">
        <v>75</v>
      </c>
    </row>
    <row r="1115" spans="1:5" x14ac:dyDescent="0.3">
      <c r="A1115" t="s">
        <v>195</v>
      </c>
      <c r="B1115" t="s">
        <v>4552</v>
      </c>
      <c r="C1115" t="s">
        <v>455</v>
      </c>
      <c r="D1115" t="s">
        <v>4551</v>
      </c>
      <c r="E1115" t="s">
        <v>2175</v>
      </c>
    </row>
    <row r="1116" spans="1:5" x14ac:dyDescent="0.3">
      <c r="A1116" t="s">
        <v>82</v>
      </c>
      <c r="B1116" t="s">
        <v>1814</v>
      </c>
      <c r="C1116" t="s">
        <v>460</v>
      </c>
      <c r="D1116" t="s">
        <v>4551</v>
      </c>
      <c r="E1116" t="s">
        <v>2175</v>
      </c>
    </row>
    <row r="1117" spans="1:5" x14ac:dyDescent="0.3">
      <c r="A1117" t="s">
        <v>825</v>
      </c>
      <c r="B1117" t="s">
        <v>4556</v>
      </c>
      <c r="C1117" t="s">
        <v>4555</v>
      </c>
      <c r="D1117" t="s">
        <v>4554</v>
      </c>
      <c r="E1117" t="s">
        <v>75</v>
      </c>
    </row>
    <row r="1118" spans="1:5" x14ac:dyDescent="0.3">
      <c r="A1118" t="s">
        <v>3068</v>
      </c>
      <c r="B1118" t="s">
        <v>4559</v>
      </c>
      <c r="C1118" t="s">
        <v>460</v>
      </c>
      <c r="D1118" t="s">
        <v>4557</v>
      </c>
      <c r="E1118" t="s">
        <v>75</v>
      </c>
    </row>
    <row r="1119" spans="1:5" x14ac:dyDescent="0.3">
      <c r="A1119" t="s">
        <v>411</v>
      </c>
      <c r="B1119" t="s">
        <v>4561</v>
      </c>
      <c r="C1119" t="s">
        <v>461</v>
      </c>
      <c r="D1119" t="s">
        <v>4560</v>
      </c>
      <c r="E1119" t="s">
        <v>75</v>
      </c>
    </row>
    <row r="1120" spans="1:5" x14ac:dyDescent="0.3">
      <c r="A1120" t="s">
        <v>4565</v>
      </c>
      <c r="B1120" t="s">
        <v>4566</v>
      </c>
      <c r="C1120" t="s">
        <v>862</v>
      </c>
      <c r="D1120" t="s">
        <v>919</v>
      </c>
      <c r="E1120" t="s">
        <v>1</v>
      </c>
    </row>
    <row r="1121" spans="1:5" x14ac:dyDescent="0.3">
      <c r="A1121" t="s">
        <v>4573</v>
      </c>
      <c r="B1121" t="s">
        <v>4574</v>
      </c>
      <c r="C1121" t="s">
        <v>862</v>
      </c>
      <c r="D1121" t="s">
        <v>919</v>
      </c>
      <c r="E1121" t="s">
        <v>1</v>
      </c>
    </row>
    <row r="1122" spans="1:5" x14ac:dyDescent="0.3">
      <c r="A1122" t="s">
        <v>3060</v>
      </c>
      <c r="B1122" t="s">
        <v>3624</v>
      </c>
      <c r="C1122" t="s">
        <v>862</v>
      </c>
      <c r="D1122" t="s">
        <v>919</v>
      </c>
      <c r="E1122" t="s">
        <v>1</v>
      </c>
    </row>
    <row r="1123" spans="1:5" x14ac:dyDescent="0.3">
      <c r="A1123" t="s">
        <v>66</v>
      </c>
      <c r="B1123" t="s">
        <v>3151</v>
      </c>
      <c r="C1123" t="s">
        <v>862</v>
      </c>
      <c r="D1123" t="s">
        <v>919</v>
      </c>
      <c r="E1123" t="s">
        <v>1</v>
      </c>
    </row>
    <row r="1124" spans="1:5" x14ac:dyDescent="0.3">
      <c r="A1124" t="s">
        <v>195</v>
      </c>
      <c r="B1124" t="s">
        <v>4310</v>
      </c>
      <c r="C1124" t="s">
        <v>862</v>
      </c>
      <c r="D1124" t="s">
        <v>919</v>
      </c>
      <c r="E1124" t="s">
        <v>1</v>
      </c>
    </row>
    <row r="1125" spans="1:5" x14ac:dyDescent="0.3">
      <c r="A1125" t="s">
        <v>4577</v>
      </c>
      <c r="B1125" t="s">
        <v>4578</v>
      </c>
      <c r="C1125" t="s">
        <v>862</v>
      </c>
      <c r="D1125" t="s">
        <v>919</v>
      </c>
      <c r="E1125" t="s">
        <v>1</v>
      </c>
    </row>
    <row r="1126" spans="1:5" x14ac:dyDescent="0.3">
      <c r="A1126" t="s">
        <v>4579</v>
      </c>
      <c r="B1126" t="s">
        <v>197</v>
      </c>
      <c r="C1126" t="s">
        <v>862</v>
      </c>
      <c r="D1126" t="s">
        <v>919</v>
      </c>
      <c r="E1126" t="s">
        <v>1</v>
      </c>
    </row>
    <row r="1127" spans="1:5" x14ac:dyDescent="0.3">
      <c r="A1127" t="s">
        <v>224</v>
      </c>
      <c r="B1127" t="s">
        <v>4584</v>
      </c>
      <c r="C1127" t="s">
        <v>862</v>
      </c>
      <c r="D1127" t="s">
        <v>919</v>
      </c>
      <c r="E1127" t="s">
        <v>1</v>
      </c>
    </row>
    <row r="1128" spans="1:5" x14ac:dyDescent="0.3">
      <c r="A1128" t="s">
        <v>4586</v>
      </c>
      <c r="B1128" t="s">
        <v>4587</v>
      </c>
      <c r="C1128" t="s">
        <v>862</v>
      </c>
      <c r="D1128" t="s">
        <v>919</v>
      </c>
      <c r="E1128" t="s">
        <v>1</v>
      </c>
    </row>
    <row r="1129" spans="1:5" x14ac:dyDescent="0.3">
      <c r="A1129" t="s">
        <v>4591</v>
      </c>
      <c r="B1129" t="s">
        <v>4592</v>
      </c>
      <c r="C1129" t="s">
        <v>862</v>
      </c>
      <c r="D1129" t="s">
        <v>919</v>
      </c>
      <c r="E1129" t="s">
        <v>1</v>
      </c>
    </row>
    <row r="1130" spans="1:5" x14ac:dyDescent="0.3">
      <c r="A1130" t="s">
        <v>1182</v>
      </c>
      <c r="B1130" t="s">
        <v>4596</v>
      </c>
      <c r="C1130" t="s">
        <v>4595</v>
      </c>
      <c r="D1130" t="s">
        <v>4593</v>
      </c>
      <c r="E1130" t="s">
        <v>75</v>
      </c>
    </row>
    <row r="1131" spans="1:5" x14ac:dyDescent="0.3">
      <c r="A1131" t="s">
        <v>1632</v>
      </c>
      <c r="B1131" t="s">
        <v>1778</v>
      </c>
      <c r="C1131" t="s">
        <v>862</v>
      </c>
      <c r="D1131" t="s">
        <v>919</v>
      </c>
      <c r="E1131" t="s">
        <v>1</v>
      </c>
    </row>
    <row r="1132" spans="1:5" x14ac:dyDescent="0.3">
      <c r="A1132" t="s">
        <v>4597</v>
      </c>
      <c r="B1132" t="s">
        <v>1384</v>
      </c>
      <c r="C1132" t="s">
        <v>862</v>
      </c>
      <c r="D1132" t="s">
        <v>919</v>
      </c>
      <c r="E1132" t="s">
        <v>1</v>
      </c>
    </row>
    <row r="1133" spans="1:5" x14ac:dyDescent="0.3">
      <c r="A1133" t="s">
        <v>20</v>
      </c>
      <c r="B1133" t="s">
        <v>4598</v>
      </c>
      <c r="C1133" t="s">
        <v>862</v>
      </c>
      <c r="D1133" t="s">
        <v>919</v>
      </c>
      <c r="E1133" t="s">
        <v>1</v>
      </c>
    </row>
    <row r="1134" spans="1:5" x14ac:dyDescent="0.3">
      <c r="A1134" t="s">
        <v>38</v>
      </c>
      <c r="B1134" t="s">
        <v>4599</v>
      </c>
      <c r="C1134" t="s">
        <v>862</v>
      </c>
      <c r="D1134" t="s">
        <v>919</v>
      </c>
      <c r="E1134" t="s">
        <v>1</v>
      </c>
    </row>
    <row r="1135" spans="1:5" x14ac:dyDescent="0.3">
      <c r="A1135" t="s">
        <v>3625</v>
      </c>
      <c r="B1135" t="s">
        <v>4090</v>
      </c>
      <c r="C1135" t="s">
        <v>862</v>
      </c>
      <c r="D1135" t="s">
        <v>919</v>
      </c>
      <c r="E1135" t="s">
        <v>1</v>
      </c>
    </row>
    <row r="1136" spans="1:5" x14ac:dyDescent="0.3">
      <c r="A1136" t="s">
        <v>4601</v>
      </c>
      <c r="B1136" t="s">
        <v>4602</v>
      </c>
      <c r="C1136" t="s">
        <v>862</v>
      </c>
      <c r="D1136" t="s">
        <v>919</v>
      </c>
      <c r="E1136" t="s">
        <v>1</v>
      </c>
    </row>
    <row r="1137" spans="1:5" x14ac:dyDescent="0.3">
      <c r="A1137" t="s">
        <v>4603</v>
      </c>
      <c r="B1137" t="s">
        <v>4604</v>
      </c>
      <c r="C1137" t="s">
        <v>862</v>
      </c>
      <c r="D1137" t="s">
        <v>919</v>
      </c>
      <c r="E1137" t="s">
        <v>1</v>
      </c>
    </row>
    <row r="1138" spans="1:5" x14ac:dyDescent="0.3">
      <c r="A1138" t="s">
        <v>44</v>
      </c>
      <c r="B1138" t="s">
        <v>238</v>
      </c>
      <c r="C1138" t="s">
        <v>239</v>
      </c>
      <c r="D1138" t="s">
        <v>919</v>
      </c>
      <c r="E1138" t="s">
        <v>1</v>
      </c>
    </row>
    <row r="1139" spans="1:5" x14ac:dyDescent="0.3">
      <c r="A1139" t="s">
        <v>980</v>
      </c>
      <c r="B1139" t="s">
        <v>210</v>
      </c>
      <c r="C1139" t="s">
        <v>4611</v>
      </c>
      <c r="D1139" t="s">
        <v>2831</v>
      </c>
      <c r="E1139" t="s">
        <v>75</v>
      </c>
    </row>
    <row r="1140" spans="1:5" x14ac:dyDescent="0.3">
      <c r="A1140" t="s">
        <v>100</v>
      </c>
      <c r="B1140" t="s">
        <v>4616</v>
      </c>
      <c r="C1140" t="s">
        <v>862</v>
      </c>
      <c r="D1140" t="s">
        <v>919</v>
      </c>
      <c r="E1140" t="s">
        <v>1</v>
      </c>
    </row>
    <row r="1141" spans="1:5" x14ac:dyDescent="0.3">
      <c r="A1141" t="s">
        <v>4070</v>
      </c>
      <c r="B1141" t="s">
        <v>1031</v>
      </c>
      <c r="C1141" t="s">
        <v>862</v>
      </c>
      <c r="D1141" t="s">
        <v>919</v>
      </c>
      <c r="E1141" t="s">
        <v>1</v>
      </c>
    </row>
    <row r="1142" spans="1:5" x14ac:dyDescent="0.3">
      <c r="A1142" t="s">
        <v>4617</v>
      </c>
      <c r="B1142" t="s">
        <v>223</v>
      </c>
      <c r="C1142" t="s">
        <v>862</v>
      </c>
      <c r="D1142" t="s">
        <v>919</v>
      </c>
      <c r="E1142" t="s">
        <v>1</v>
      </c>
    </row>
    <row r="1143" spans="1:5" x14ac:dyDescent="0.3">
      <c r="A1143" t="s">
        <v>4099</v>
      </c>
      <c r="B1143" t="s">
        <v>4619</v>
      </c>
      <c r="C1143" t="s">
        <v>862</v>
      </c>
      <c r="D1143" t="s">
        <v>919</v>
      </c>
      <c r="E1143" t="s">
        <v>1</v>
      </c>
    </row>
    <row r="1144" spans="1:5" x14ac:dyDescent="0.3">
      <c r="A1144" t="s">
        <v>4620</v>
      </c>
      <c r="B1144" t="s">
        <v>4621</v>
      </c>
      <c r="C1144" t="s">
        <v>862</v>
      </c>
      <c r="D1144" t="s">
        <v>919</v>
      </c>
      <c r="E1144" t="s">
        <v>1</v>
      </c>
    </row>
    <row r="1145" spans="1:5" x14ac:dyDescent="0.3">
      <c r="A1145" t="s">
        <v>4622</v>
      </c>
      <c r="B1145" t="s">
        <v>4623</v>
      </c>
      <c r="C1145" t="s">
        <v>862</v>
      </c>
      <c r="D1145" t="s">
        <v>919</v>
      </c>
      <c r="E1145" t="s">
        <v>1</v>
      </c>
    </row>
    <row r="1146" spans="1:5" x14ac:dyDescent="0.3">
      <c r="A1146" t="s">
        <v>4624</v>
      </c>
      <c r="B1146" t="s">
        <v>4198</v>
      </c>
      <c r="C1146" t="s">
        <v>862</v>
      </c>
      <c r="D1146" t="s">
        <v>919</v>
      </c>
      <c r="E1146" t="s">
        <v>1</v>
      </c>
    </row>
    <row r="1147" spans="1:5" x14ac:dyDescent="0.3">
      <c r="A1147" t="s">
        <v>116</v>
      </c>
      <c r="B1147" t="s">
        <v>4626</v>
      </c>
      <c r="C1147" t="s">
        <v>4625</v>
      </c>
      <c r="D1147" t="s">
        <v>919</v>
      </c>
      <c r="E1147" t="s">
        <v>1</v>
      </c>
    </row>
    <row r="1148" spans="1:5" x14ac:dyDescent="0.3">
      <c r="A1148" t="s">
        <v>229</v>
      </c>
      <c r="B1148" t="s">
        <v>4627</v>
      </c>
      <c r="C1148" t="s">
        <v>862</v>
      </c>
      <c r="D1148" t="s">
        <v>919</v>
      </c>
      <c r="E1148" t="s">
        <v>1</v>
      </c>
    </row>
    <row r="1149" spans="1:5" x14ac:dyDescent="0.3">
      <c r="A1149" t="s">
        <v>224</v>
      </c>
      <c r="B1149" t="s">
        <v>4376</v>
      </c>
      <c r="C1149" t="s">
        <v>460</v>
      </c>
      <c r="D1149" t="s">
        <v>4630</v>
      </c>
      <c r="E1149" t="s">
        <v>741</v>
      </c>
    </row>
    <row r="1150" spans="1:5" x14ac:dyDescent="0.3">
      <c r="A1150" t="s">
        <v>160</v>
      </c>
      <c r="B1150" t="s">
        <v>4634</v>
      </c>
      <c r="C1150" t="s">
        <v>457</v>
      </c>
      <c r="D1150" t="s">
        <v>4632</v>
      </c>
      <c r="E1150" t="s">
        <v>75</v>
      </c>
    </row>
    <row r="1151" spans="1:5" x14ac:dyDescent="0.3">
      <c r="A1151" t="s">
        <v>146</v>
      </c>
      <c r="B1151" t="s">
        <v>1108</v>
      </c>
      <c r="C1151" t="s">
        <v>467</v>
      </c>
      <c r="D1151" t="s">
        <v>4641</v>
      </c>
      <c r="E1151" t="s">
        <v>741</v>
      </c>
    </row>
    <row r="1152" spans="1:5" x14ac:dyDescent="0.3">
      <c r="A1152" t="s">
        <v>82</v>
      </c>
      <c r="B1152" t="s">
        <v>1630</v>
      </c>
      <c r="C1152" t="s">
        <v>4645</v>
      </c>
    </row>
    <row r="1153" spans="1:5" x14ac:dyDescent="0.3">
      <c r="A1153" t="s">
        <v>1395</v>
      </c>
      <c r="B1153" t="s">
        <v>4651</v>
      </c>
      <c r="C1153" t="s">
        <v>4650</v>
      </c>
      <c r="D1153" t="s">
        <v>4649</v>
      </c>
      <c r="E1153" t="s">
        <v>781</v>
      </c>
    </row>
    <row r="1154" spans="1:5" x14ac:dyDescent="0.3">
      <c r="A1154" t="s">
        <v>2199</v>
      </c>
      <c r="B1154" t="s">
        <v>1787</v>
      </c>
      <c r="C1154" t="s">
        <v>862</v>
      </c>
      <c r="D1154" t="s">
        <v>895</v>
      </c>
      <c r="E1154" t="s">
        <v>897</v>
      </c>
    </row>
    <row r="1155" spans="1:5" x14ac:dyDescent="0.3">
      <c r="A1155" t="s">
        <v>3196</v>
      </c>
      <c r="B1155" t="s">
        <v>4655</v>
      </c>
      <c r="C1155" t="s">
        <v>4654</v>
      </c>
    </row>
    <row r="1156" spans="1:5" x14ac:dyDescent="0.3">
      <c r="B1156" t="s">
        <v>4658</v>
      </c>
      <c r="C1156" t="s">
        <v>518</v>
      </c>
      <c r="D1156" t="s">
        <v>4657</v>
      </c>
      <c r="E1156" t="s">
        <v>75</v>
      </c>
    </row>
    <row r="1157" spans="1:5" x14ac:dyDescent="0.3">
      <c r="A1157" t="s">
        <v>4659</v>
      </c>
      <c r="B1157" t="s">
        <v>3039</v>
      </c>
      <c r="C1157" t="s">
        <v>4660</v>
      </c>
      <c r="D1157" t="s">
        <v>4649</v>
      </c>
      <c r="E1157" t="s">
        <v>781</v>
      </c>
    </row>
    <row r="1158" spans="1:5" x14ac:dyDescent="0.3">
      <c r="A1158" t="s">
        <v>190</v>
      </c>
      <c r="B1158" t="s">
        <v>4663</v>
      </c>
      <c r="C1158" t="s">
        <v>698</v>
      </c>
    </row>
    <row r="1159" spans="1:5" x14ac:dyDescent="0.3">
      <c r="A1159" t="s">
        <v>1340</v>
      </c>
      <c r="B1159" t="s">
        <v>1945</v>
      </c>
      <c r="C1159" t="s">
        <v>4665</v>
      </c>
      <c r="D1159" t="s">
        <v>4649</v>
      </c>
      <c r="E1159" t="s">
        <v>781</v>
      </c>
    </row>
    <row r="1160" spans="1:5" x14ac:dyDescent="0.3">
      <c r="A1160" t="s">
        <v>2407</v>
      </c>
      <c r="B1160" t="s">
        <v>4671</v>
      </c>
      <c r="C1160" t="s">
        <v>4670</v>
      </c>
      <c r="D1160" t="s">
        <v>766</v>
      </c>
      <c r="E1160" t="s">
        <v>741</v>
      </c>
    </row>
    <row r="1161" spans="1:5" x14ac:dyDescent="0.3">
      <c r="A1161" t="s">
        <v>27</v>
      </c>
      <c r="B1161" t="s">
        <v>1061</v>
      </c>
      <c r="C1161" t="s">
        <v>467</v>
      </c>
      <c r="D1161" t="s">
        <v>1802</v>
      </c>
      <c r="E1161" t="s">
        <v>774</v>
      </c>
    </row>
    <row r="1162" spans="1:5" x14ac:dyDescent="0.3">
      <c r="A1162" t="s">
        <v>22</v>
      </c>
      <c r="B1162" t="s">
        <v>4674</v>
      </c>
      <c r="C1162" t="s">
        <v>467</v>
      </c>
      <c r="D1162" t="s">
        <v>4673</v>
      </c>
      <c r="E1162" t="s">
        <v>781</v>
      </c>
    </row>
    <row r="1163" spans="1:5" x14ac:dyDescent="0.3">
      <c r="A1163" t="s">
        <v>4678</v>
      </c>
      <c r="B1163" t="s">
        <v>4680</v>
      </c>
      <c r="C1163" t="s">
        <v>4679</v>
      </c>
      <c r="D1163" t="s">
        <v>4675</v>
      </c>
      <c r="E1163" t="s">
        <v>841</v>
      </c>
    </row>
    <row r="1164" spans="1:5" x14ac:dyDescent="0.3">
      <c r="A1164" t="s">
        <v>404</v>
      </c>
      <c r="B1164" t="s">
        <v>4682</v>
      </c>
      <c r="C1164" t="s">
        <v>461</v>
      </c>
      <c r="D1164" t="s">
        <v>4681</v>
      </c>
      <c r="E1164" t="s">
        <v>774</v>
      </c>
    </row>
    <row r="1165" spans="1:5" x14ac:dyDescent="0.3">
      <c r="A1165" t="s">
        <v>2625</v>
      </c>
      <c r="B1165" t="s">
        <v>66</v>
      </c>
      <c r="C1165" t="s">
        <v>467</v>
      </c>
      <c r="D1165" t="s">
        <v>4681</v>
      </c>
      <c r="E1165" t="s">
        <v>774</v>
      </c>
    </row>
    <row r="1166" spans="1:5" x14ac:dyDescent="0.3">
      <c r="A1166" t="s">
        <v>2809</v>
      </c>
      <c r="B1166" t="s">
        <v>40</v>
      </c>
      <c r="C1166" t="s">
        <v>4685</v>
      </c>
      <c r="D1166" t="s">
        <v>4683</v>
      </c>
      <c r="E1166" t="s">
        <v>75</v>
      </c>
    </row>
    <row r="1167" spans="1:5" x14ac:dyDescent="0.3">
      <c r="A1167" t="s">
        <v>50</v>
      </c>
      <c r="B1167" t="s">
        <v>4687</v>
      </c>
      <c r="C1167" t="s">
        <v>459</v>
      </c>
      <c r="D1167" t="s">
        <v>4686</v>
      </c>
      <c r="E1167" t="s">
        <v>75</v>
      </c>
    </row>
    <row r="1168" spans="1:5" x14ac:dyDescent="0.3">
      <c r="A1168" t="s">
        <v>2627</v>
      </c>
      <c r="B1168" t="s">
        <v>4691</v>
      </c>
      <c r="C1168" t="s">
        <v>4690</v>
      </c>
      <c r="D1168" t="s">
        <v>4688</v>
      </c>
      <c r="E1168" t="s">
        <v>2175</v>
      </c>
    </row>
    <row r="1169" spans="1:5" x14ac:dyDescent="0.3">
      <c r="A1169" t="s">
        <v>2836</v>
      </c>
      <c r="B1169" t="s">
        <v>3967</v>
      </c>
      <c r="C1169" t="s">
        <v>4693</v>
      </c>
      <c r="D1169" t="s">
        <v>1183</v>
      </c>
      <c r="E1169" t="s">
        <v>1</v>
      </c>
    </row>
    <row r="1170" spans="1:5" x14ac:dyDescent="0.3">
      <c r="A1170" t="s">
        <v>224</v>
      </c>
      <c r="B1170" t="s">
        <v>3014</v>
      </c>
      <c r="C1170" t="s">
        <v>4694</v>
      </c>
      <c r="D1170" t="s">
        <v>1183</v>
      </c>
      <c r="E1170" t="s">
        <v>1</v>
      </c>
    </row>
    <row r="1171" spans="1:5" x14ac:dyDescent="0.3">
      <c r="A1171" t="s">
        <v>150</v>
      </c>
      <c r="B1171" t="s">
        <v>1370</v>
      </c>
      <c r="C1171" t="s">
        <v>4696</v>
      </c>
      <c r="D1171" t="s">
        <v>1183</v>
      </c>
      <c r="E1171" t="s">
        <v>1</v>
      </c>
    </row>
    <row r="1172" spans="1:5" x14ac:dyDescent="0.3">
      <c r="A1172" t="s">
        <v>4699</v>
      </c>
      <c r="B1172" t="s">
        <v>4701</v>
      </c>
      <c r="C1172" t="s">
        <v>4700</v>
      </c>
      <c r="D1172" t="s">
        <v>1183</v>
      </c>
      <c r="E1172" t="s">
        <v>1</v>
      </c>
    </row>
    <row r="1173" spans="1:5" x14ac:dyDescent="0.3">
      <c r="A1173" t="s">
        <v>182</v>
      </c>
      <c r="B1173" t="s">
        <v>4708</v>
      </c>
      <c r="C1173" t="s">
        <v>467</v>
      </c>
      <c r="D1173" t="s">
        <v>1183</v>
      </c>
      <c r="E1173" t="s">
        <v>1</v>
      </c>
    </row>
    <row r="1174" spans="1:5" x14ac:dyDescent="0.3">
      <c r="A1174" t="s">
        <v>864</v>
      </c>
      <c r="B1174" t="s">
        <v>1371</v>
      </c>
      <c r="C1174" t="s">
        <v>862</v>
      </c>
      <c r="D1174" t="s">
        <v>1183</v>
      </c>
      <c r="E1174" t="s">
        <v>1</v>
      </c>
    </row>
    <row r="1175" spans="1:5" x14ac:dyDescent="0.3">
      <c r="A1175" t="s">
        <v>323</v>
      </c>
      <c r="B1175" t="s">
        <v>324</v>
      </c>
      <c r="C1175" t="s">
        <v>325</v>
      </c>
      <c r="D1175" t="s">
        <v>1183</v>
      </c>
      <c r="E1175" t="s">
        <v>1</v>
      </c>
    </row>
    <row r="1176" spans="1:5" x14ac:dyDescent="0.3">
      <c r="A1176" t="s">
        <v>250</v>
      </c>
      <c r="B1176" t="s">
        <v>4718</v>
      </c>
      <c r="C1176" t="s">
        <v>4717</v>
      </c>
      <c r="D1176" t="s">
        <v>1183</v>
      </c>
      <c r="E1176" t="s">
        <v>1</v>
      </c>
    </row>
    <row r="1177" spans="1:5" x14ac:dyDescent="0.3">
      <c r="A1177" t="s">
        <v>89</v>
      </c>
      <c r="B1177" t="s">
        <v>196</v>
      </c>
      <c r="C1177" t="s">
        <v>455</v>
      </c>
      <c r="D1177" t="s">
        <v>1183</v>
      </c>
      <c r="E1177" t="s">
        <v>1</v>
      </c>
    </row>
    <row r="1178" spans="1:5" x14ac:dyDescent="0.3">
      <c r="A1178" t="s">
        <v>82</v>
      </c>
      <c r="B1178" t="s">
        <v>4722</v>
      </c>
      <c r="C1178" t="s">
        <v>4721</v>
      </c>
      <c r="D1178" t="s">
        <v>4720</v>
      </c>
      <c r="E1178" t="s">
        <v>75</v>
      </c>
    </row>
    <row r="1179" spans="1:5" x14ac:dyDescent="0.3">
      <c r="A1179" t="s">
        <v>4723</v>
      </c>
      <c r="B1179" t="s">
        <v>4724</v>
      </c>
      <c r="C1179" t="s">
        <v>459</v>
      </c>
      <c r="D1179" t="s">
        <v>2712</v>
      </c>
      <c r="E1179" t="s">
        <v>18</v>
      </c>
    </row>
    <row r="1180" spans="1:5" x14ac:dyDescent="0.3">
      <c r="A1180" t="s">
        <v>1340</v>
      </c>
      <c r="B1180" t="s">
        <v>3065</v>
      </c>
      <c r="C1180" t="s">
        <v>4728</v>
      </c>
      <c r="D1180" t="s">
        <v>4727</v>
      </c>
      <c r="E1180" t="s">
        <v>75</v>
      </c>
    </row>
    <row r="1181" spans="1:5" x14ac:dyDescent="0.3">
      <c r="A1181" t="s">
        <v>3682</v>
      </c>
      <c r="B1181" t="s">
        <v>4731</v>
      </c>
      <c r="C1181" t="s">
        <v>467</v>
      </c>
      <c r="D1181" t="s">
        <v>2541</v>
      </c>
      <c r="E1181" t="s">
        <v>781</v>
      </c>
    </row>
    <row r="1182" spans="1:5" x14ac:dyDescent="0.3">
      <c r="A1182" t="s">
        <v>342</v>
      </c>
      <c r="B1182" t="s">
        <v>4741</v>
      </c>
      <c r="C1182" t="s">
        <v>4740</v>
      </c>
      <c r="D1182" t="s">
        <v>753</v>
      </c>
      <c r="E1182" t="s">
        <v>743</v>
      </c>
    </row>
    <row r="1183" spans="1:5" x14ac:dyDescent="0.3">
      <c r="A1183" t="s">
        <v>182</v>
      </c>
      <c r="B1183" t="s">
        <v>4425</v>
      </c>
      <c r="C1183" t="s">
        <v>4742</v>
      </c>
      <c r="D1183" t="s">
        <v>753</v>
      </c>
      <c r="E1183" t="s">
        <v>743</v>
      </c>
    </row>
    <row r="1184" spans="1:5" x14ac:dyDescent="0.3">
      <c r="A1184" t="s">
        <v>864</v>
      </c>
      <c r="B1184" t="s">
        <v>4171</v>
      </c>
      <c r="C1184" t="s">
        <v>4742</v>
      </c>
      <c r="D1184" t="s">
        <v>753</v>
      </c>
      <c r="E1184" t="s">
        <v>743</v>
      </c>
    </row>
    <row r="1185" spans="1:5" x14ac:dyDescent="0.3">
      <c r="A1185" t="s">
        <v>41</v>
      </c>
      <c r="B1185" t="s">
        <v>4746</v>
      </c>
      <c r="C1185" t="s">
        <v>467</v>
      </c>
      <c r="D1185" t="s">
        <v>4745</v>
      </c>
      <c r="E1185" t="s">
        <v>743</v>
      </c>
    </row>
    <row r="1186" spans="1:5" x14ac:dyDescent="0.3">
      <c r="A1186" t="s">
        <v>298</v>
      </c>
      <c r="B1186" t="s">
        <v>4747</v>
      </c>
      <c r="C1186" t="s">
        <v>862</v>
      </c>
      <c r="D1186" t="s">
        <v>4745</v>
      </c>
      <c r="E1186" t="s">
        <v>743</v>
      </c>
    </row>
    <row r="1187" spans="1:5" x14ac:dyDescent="0.3">
      <c r="A1187" t="s">
        <v>4755</v>
      </c>
      <c r="B1187" t="s">
        <v>4756</v>
      </c>
      <c r="C1187" t="s">
        <v>2571</v>
      </c>
      <c r="D1187" t="s">
        <v>2644</v>
      </c>
      <c r="E1187" t="s">
        <v>761</v>
      </c>
    </row>
    <row r="1188" spans="1:5" x14ac:dyDescent="0.3">
      <c r="A1188" t="s">
        <v>997</v>
      </c>
      <c r="B1188" t="s">
        <v>182</v>
      </c>
      <c r="C1188" t="s">
        <v>457</v>
      </c>
      <c r="D1188" t="s">
        <v>777</v>
      </c>
      <c r="E1188" t="s">
        <v>75</v>
      </c>
    </row>
    <row r="1189" spans="1:5" x14ac:dyDescent="0.3">
      <c r="A1189" t="s">
        <v>194</v>
      </c>
      <c r="B1189" t="s">
        <v>3335</v>
      </c>
      <c r="C1189" t="s">
        <v>459</v>
      </c>
      <c r="D1189" t="s">
        <v>4759</v>
      </c>
      <c r="E1189" t="s">
        <v>75</v>
      </c>
    </row>
    <row r="1190" spans="1:5" x14ac:dyDescent="0.3">
      <c r="A1190" t="s">
        <v>3178</v>
      </c>
      <c r="B1190" t="s">
        <v>1978</v>
      </c>
      <c r="C1190" t="s">
        <v>4760</v>
      </c>
      <c r="D1190" t="s">
        <v>2644</v>
      </c>
      <c r="E1190" t="s">
        <v>761</v>
      </c>
    </row>
    <row r="1191" spans="1:5" x14ac:dyDescent="0.3">
      <c r="A1191" t="s">
        <v>4761</v>
      </c>
      <c r="B1191" t="s">
        <v>4763</v>
      </c>
      <c r="C1191" t="s">
        <v>4762</v>
      </c>
      <c r="D1191" t="s">
        <v>2644</v>
      </c>
      <c r="E1191" t="s">
        <v>761</v>
      </c>
    </row>
    <row r="1192" spans="1:5" x14ac:dyDescent="0.3">
      <c r="A1192" t="s">
        <v>4764</v>
      </c>
      <c r="B1192" t="s">
        <v>4766</v>
      </c>
      <c r="C1192" t="s">
        <v>4765</v>
      </c>
      <c r="D1192" t="s">
        <v>769</v>
      </c>
      <c r="E1192" t="s">
        <v>1</v>
      </c>
    </row>
    <row r="1193" spans="1:5" x14ac:dyDescent="0.3">
      <c r="A1193" t="s">
        <v>298</v>
      </c>
      <c r="B1193" t="s">
        <v>3011</v>
      </c>
      <c r="C1193" t="s">
        <v>4773</v>
      </c>
      <c r="D1193" t="s">
        <v>883</v>
      </c>
      <c r="E1193" t="s">
        <v>1</v>
      </c>
    </row>
    <row r="1194" spans="1:5" x14ac:dyDescent="0.3">
      <c r="A1194" t="s">
        <v>4777</v>
      </c>
      <c r="B1194" t="s">
        <v>4779</v>
      </c>
      <c r="C1194" t="s">
        <v>4778</v>
      </c>
    </row>
    <row r="1195" spans="1:5" x14ac:dyDescent="0.3">
      <c r="A1195" t="s">
        <v>116</v>
      </c>
      <c r="B1195" t="s">
        <v>3956</v>
      </c>
      <c r="C1195" t="s">
        <v>4783</v>
      </c>
      <c r="D1195" t="s">
        <v>2581</v>
      </c>
      <c r="E1195" t="s">
        <v>1</v>
      </c>
    </row>
    <row r="1196" spans="1:5" x14ac:dyDescent="0.3">
      <c r="A1196" t="s">
        <v>20</v>
      </c>
      <c r="B1196" t="s">
        <v>40</v>
      </c>
      <c r="C1196" t="s">
        <v>461</v>
      </c>
      <c r="D1196" t="s">
        <v>2581</v>
      </c>
      <c r="E1196" t="s">
        <v>1</v>
      </c>
    </row>
    <row r="1197" spans="1:5" x14ac:dyDescent="0.3">
      <c r="A1197" t="s">
        <v>4786</v>
      </c>
      <c r="B1197" t="s">
        <v>3120</v>
      </c>
      <c r="C1197" t="s">
        <v>467</v>
      </c>
      <c r="D1197" t="s">
        <v>2581</v>
      </c>
      <c r="E1197" t="s">
        <v>1</v>
      </c>
    </row>
    <row r="1198" spans="1:5" x14ac:dyDescent="0.3">
      <c r="A1198" t="s">
        <v>22</v>
      </c>
      <c r="B1198" t="s">
        <v>4789</v>
      </c>
      <c r="C1198" t="s">
        <v>458</v>
      </c>
      <c r="D1198" t="s">
        <v>4788</v>
      </c>
      <c r="E1198" t="s">
        <v>75</v>
      </c>
    </row>
    <row r="1199" spans="1:5" x14ac:dyDescent="0.3">
      <c r="A1199" t="s">
        <v>116</v>
      </c>
      <c r="B1199" t="s">
        <v>4695</v>
      </c>
      <c r="C1199" t="s">
        <v>1490</v>
      </c>
      <c r="D1199" t="s">
        <v>895</v>
      </c>
      <c r="E1199" t="s">
        <v>897</v>
      </c>
    </row>
    <row r="1200" spans="1:5" x14ac:dyDescent="0.3">
      <c r="A1200" t="s">
        <v>4795</v>
      </c>
      <c r="B1200" t="s">
        <v>4796</v>
      </c>
      <c r="C1200" t="s">
        <v>456</v>
      </c>
      <c r="D1200" t="s">
        <v>2581</v>
      </c>
      <c r="E1200" t="s">
        <v>1</v>
      </c>
    </row>
    <row r="1201" spans="1:5" x14ac:dyDescent="0.3">
      <c r="A1201" t="s">
        <v>335</v>
      </c>
      <c r="B1201" t="s">
        <v>4799</v>
      </c>
      <c r="C1201" t="s">
        <v>4798</v>
      </c>
      <c r="D1201" t="s">
        <v>1940</v>
      </c>
      <c r="E1201" t="s">
        <v>743</v>
      </c>
    </row>
    <row r="1202" spans="1:5" x14ac:dyDescent="0.3">
      <c r="A1202" t="s">
        <v>4800</v>
      </c>
      <c r="B1202" t="s">
        <v>4401</v>
      </c>
      <c r="C1202" t="s">
        <v>461</v>
      </c>
      <c r="D1202" t="s">
        <v>2755</v>
      </c>
      <c r="E1202" t="s">
        <v>743</v>
      </c>
    </row>
    <row r="1203" spans="1:5" x14ac:dyDescent="0.3">
      <c r="A1203" t="s">
        <v>1133</v>
      </c>
      <c r="B1203" t="s">
        <v>4399</v>
      </c>
      <c r="C1203" t="s">
        <v>862</v>
      </c>
      <c r="D1203" t="s">
        <v>2755</v>
      </c>
      <c r="E1203" t="s">
        <v>743</v>
      </c>
    </row>
    <row r="1204" spans="1:5" x14ac:dyDescent="0.3">
      <c r="A1204" t="s">
        <v>150</v>
      </c>
      <c r="B1204" t="s">
        <v>4804</v>
      </c>
      <c r="C1204" t="s">
        <v>460</v>
      </c>
      <c r="D1204" t="s">
        <v>2755</v>
      </c>
      <c r="E1204" t="s">
        <v>743</v>
      </c>
    </row>
    <row r="1205" spans="1:5" x14ac:dyDescent="0.3">
      <c r="A1205" t="s">
        <v>3881</v>
      </c>
      <c r="B1205" t="s">
        <v>4806</v>
      </c>
      <c r="C1205" t="s">
        <v>4805</v>
      </c>
      <c r="D1205" t="s">
        <v>4754</v>
      </c>
      <c r="E1205" t="s">
        <v>75</v>
      </c>
    </row>
    <row r="1206" spans="1:5" x14ac:dyDescent="0.3">
      <c r="A1206" t="s">
        <v>184</v>
      </c>
      <c r="B1206" t="s">
        <v>4807</v>
      </c>
      <c r="C1206" t="s">
        <v>3299</v>
      </c>
      <c r="D1206" t="s">
        <v>2755</v>
      </c>
      <c r="E1206" t="s">
        <v>743</v>
      </c>
    </row>
    <row r="1207" spans="1:5" x14ac:dyDescent="0.3">
      <c r="A1207" t="s">
        <v>82</v>
      </c>
      <c r="B1207" t="s">
        <v>4813</v>
      </c>
      <c r="C1207" t="s">
        <v>457</v>
      </c>
      <c r="D1207" t="s">
        <v>2755</v>
      </c>
      <c r="E1207" t="s">
        <v>743</v>
      </c>
    </row>
    <row r="1208" spans="1:5" x14ac:dyDescent="0.3">
      <c r="A1208" t="s">
        <v>112</v>
      </c>
      <c r="B1208" t="s">
        <v>4815</v>
      </c>
      <c r="C1208" t="s">
        <v>457</v>
      </c>
      <c r="D1208" t="s">
        <v>2755</v>
      </c>
      <c r="E1208" t="s">
        <v>743</v>
      </c>
    </row>
    <row r="1209" spans="1:5" x14ac:dyDescent="0.3">
      <c r="A1209" t="s">
        <v>3861</v>
      </c>
      <c r="B1209" t="s">
        <v>4816</v>
      </c>
      <c r="C1209" t="s">
        <v>455</v>
      </c>
      <c r="D1209" t="s">
        <v>801</v>
      </c>
      <c r="E1209" t="s">
        <v>75</v>
      </c>
    </row>
    <row r="1210" spans="1:5" x14ac:dyDescent="0.3">
      <c r="A1210" t="s">
        <v>1220</v>
      </c>
      <c r="B1210" t="s">
        <v>171</v>
      </c>
      <c r="C1210" t="s">
        <v>4818</v>
      </c>
      <c r="D1210" t="s">
        <v>2755</v>
      </c>
      <c r="E1210" t="s">
        <v>743</v>
      </c>
    </row>
    <row r="1211" spans="1:5" x14ac:dyDescent="0.3">
      <c r="A1211" t="s">
        <v>14</v>
      </c>
      <c r="B1211" t="s">
        <v>3461</v>
      </c>
      <c r="C1211" t="s">
        <v>461</v>
      </c>
      <c r="D1211" t="s">
        <v>2755</v>
      </c>
      <c r="E1211" t="s">
        <v>743</v>
      </c>
    </row>
    <row r="1212" spans="1:5" x14ac:dyDescent="0.3">
      <c r="A1212" t="s">
        <v>4820</v>
      </c>
      <c r="B1212" t="s">
        <v>881</v>
      </c>
      <c r="C1212" t="s">
        <v>2571</v>
      </c>
      <c r="D1212" t="s">
        <v>769</v>
      </c>
      <c r="E1212" t="s">
        <v>1</v>
      </c>
    </row>
    <row r="1213" spans="1:5" x14ac:dyDescent="0.3">
      <c r="A1213" t="s">
        <v>195</v>
      </c>
      <c r="B1213" t="s">
        <v>3284</v>
      </c>
      <c r="C1213" t="s">
        <v>4823</v>
      </c>
      <c r="D1213" t="s">
        <v>2755</v>
      </c>
      <c r="E1213" t="s">
        <v>743</v>
      </c>
    </row>
    <row r="1214" spans="1:5" x14ac:dyDescent="0.3">
      <c r="A1214" t="s">
        <v>160</v>
      </c>
      <c r="B1214" t="s">
        <v>1674</v>
      </c>
      <c r="C1214" t="s">
        <v>456</v>
      </c>
      <c r="D1214" t="s">
        <v>2755</v>
      </c>
      <c r="E1214" t="s">
        <v>743</v>
      </c>
    </row>
    <row r="1215" spans="1:5" x14ac:dyDescent="0.3">
      <c r="A1215" t="s">
        <v>404</v>
      </c>
      <c r="B1215" t="s">
        <v>221</v>
      </c>
      <c r="C1215" t="s">
        <v>461</v>
      </c>
      <c r="D1215" t="s">
        <v>4825</v>
      </c>
      <c r="E1215" t="s">
        <v>761</v>
      </c>
    </row>
    <row r="1216" spans="1:5" x14ac:dyDescent="0.3">
      <c r="A1216" t="s">
        <v>181</v>
      </c>
      <c r="B1216" t="s">
        <v>4827</v>
      </c>
      <c r="C1216" t="s">
        <v>4826</v>
      </c>
      <c r="D1216" t="s">
        <v>4825</v>
      </c>
      <c r="E1216" t="s">
        <v>761</v>
      </c>
    </row>
    <row r="1217" spans="1:5" x14ac:dyDescent="0.3">
      <c r="A1217" t="s">
        <v>851</v>
      </c>
      <c r="B1217" t="s">
        <v>1053</v>
      </c>
      <c r="C1217" t="s">
        <v>862</v>
      </c>
      <c r="D1217" t="s">
        <v>818</v>
      </c>
      <c r="E1217" t="s">
        <v>774</v>
      </c>
    </row>
    <row r="1218" spans="1:5" x14ac:dyDescent="0.3">
      <c r="A1218" t="s">
        <v>82</v>
      </c>
      <c r="B1218" t="s">
        <v>4830</v>
      </c>
      <c r="C1218" t="s">
        <v>862</v>
      </c>
      <c r="D1218" t="s">
        <v>818</v>
      </c>
      <c r="E1218" t="s">
        <v>774</v>
      </c>
    </row>
    <row r="1219" spans="1:5" x14ac:dyDescent="0.3">
      <c r="A1219" t="s">
        <v>3625</v>
      </c>
      <c r="B1219" t="s">
        <v>4832</v>
      </c>
      <c r="C1219" t="s">
        <v>862</v>
      </c>
      <c r="D1219" t="s">
        <v>818</v>
      </c>
      <c r="E1219" t="s">
        <v>774</v>
      </c>
    </row>
    <row r="1220" spans="1:5" x14ac:dyDescent="0.3">
      <c r="A1220" t="s">
        <v>182</v>
      </c>
      <c r="B1220" t="s">
        <v>315</v>
      </c>
      <c r="C1220" t="s">
        <v>456</v>
      </c>
      <c r="D1220" t="s">
        <v>4829</v>
      </c>
      <c r="E1220" t="s">
        <v>781</v>
      </c>
    </row>
    <row r="1221" spans="1:5" x14ac:dyDescent="0.3">
      <c r="A1221" t="s">
        <v>2752</v>
      </c>
      <c r="B1221" t="s">
        <v>4835</v>
      </c>
      <c r="C1221" t="s">
        <v>4742</v>
      </c>
      <c r="D1221" t="s">
        <v>753</v>
      </c>
      <c r="E1221" t="s">
        <v>743</v>
      </c>
    </row>
    <row r="1222" spans="1:5" x14ac:dyDescent="0.3">
      <c r="A1222" t="s">
        <v>41</v>
      </c>
      <c r="B1222" t="s">
        <v>1055</v>
      </c>
      <c r="C1222" t="s">
        <v>518</v>
      </c>
      <c r="D1222" t="s">
        <v>753</v>
      </c>
      <c r="E1222" t="s">
        <v>743</v>
      </c>
    </row>
    <row r="1223" spans="1:5" x14ac:dyDescent="0.3">
      <c r="A1223" t="s">
        <v>3593</v>
      </c>
      <c r="B1223" t="s">
        <v>4738</v>
      </c>
      <c r="C1223" t="s">
        <v>456</v>
      </c>
      <c r="D1223" t="s">
        <v>753</v>
      </c>
      <c r="E1223" t="s">
        <v>743</v>
      </c>
    </row>
    <row r="1224" spans="1:5" x14ac:dyDescent="0.3">
      <c r="A1224" t="s">
        <v>972</v>
      </c>
      <c r="B1224" t="s">
        <v>179</v>
      </c>
      <c r="C1224" t="s">
        <v>4837</v>
      </c>
      <c r="D1224" t="s">
        <v>753</v>
      </c>
      <c r="E1224" t="s">
        <v>743</v>
      </c>
    </row>
    <row r="1225" spans="1:5" x14ac:dyDescent="0.3">
      <c r="A1225" t="s">
        <v>864</v>
      </c>
      <c r="B1225" t="s">
        <v>1308</v>
      </c>
      <c r="C1225" t="s">
        <v>4845</v>
      </c>
    </row>
    <row r="1226" spans="1:5" x14ac:dyDescent="0.3">
      <c r="A1226" t="s">
        <v>3654</v>
      </c>
      <c r="B1226" t="s">
        <v>4848</v>
      </c>
      <c r="C1226" t="s">
        <v>862</v>
      </c>
      <c r="D1226" t="s">
        <v>4847</v>
      </c>
      <c r="E1226" t="s">
        <v>781</v>
      </c>
    </row>
    <row r="1227" spans="1:5" x14ac:dyDescent="0.3">
      <c r="A1227" t="s">
        <v>66</v>
      </c>
      <c r="B1227" t="s">
        <v>4851</v>
      </c>
      <c r="C1227" t="s">
        <v>459</v>
      </c>
      <c r="D1227" t="s">
        <v>4847</v>
      </c>
      <c r="E1227" t="s">
        <v>781</v>
      </c>
    </row>
    <row r="1228" spans="1:5" x14ac:dyDescent="0.3">
      <c r="A1228" t="s">
        <v>112</v>
      </c>
      <c r="B1228" t="s">
        <v>4785</v>
      </c>
      <c r="C1228" t="s">
        <v>457</v>
      </c>
    </row>
    <row r="1229" spans="1:5" x14ac:dyDescent="0.3">
      <c r="A1229" t="s">
        <v>4852</v>
      </c>
      <c r="B1229" t="s">
        <v>4853</v>
      </c>
      <c r="C1229" t="s">
        <v>720</v>
      </c>
    </row>
    <row r="1230" spans="1:5" x14ac:dyDescent="0.3">
      <c r="A1230" t="s">
        <v>4495</v>
      </c>
      <c r="B1230" t="s">
        <v>4857</v>
      </c>
      <c r="C1230" t="s">
        <v>467</v>
      </c>
      <c r="D1230" t="s">
        <v>1561</v>
      </c>
      <c r="E1230" t="s">
        <v>741</v>
      </c>
    </row>
    <row r="1231" spans="1:5" x14ac:dyDescent="0.3">
      <c r="A1231" t="s">
        <v>97</v>
      </c>
      <c r="B1231" t="s">
        <v>316</v>
      </c>
      <c r="C1231" t="s">
        <v>461</v>
      </c>
      <c r="D1231" t="s">
        <v>4859</v>
      </c>
      <c r="E1231" t="s">
        <v>75</v>
      </c>
    </row>
    <row r="1232" spans="1:5" x14ac:dyDescent="0.3">
      <c r="A1232" t="s">
        <v>4863</v>
      </c>
      <c r="B1232" t="s">
        <v>4865</v>
      </c>
      <c r="C1232" t="s">
        <v>4864</v>
      </c>
      <c r="D1232" t="s">
        <v>982</v>
      </c>
      <c r="E1232" t="s">
        <v>1</v>
      </c>
    </row>
    <row r="1233" spans="1:5" x14ac:dyDescent="0.3">
      <c r="A1233" t="s">
        <v>111</v>
      </c>
      <c r="B1233" t="s">
        <v>4867</v>
      </c>
      <c r="C1233" t="s">
        <v>461</v>
      </c>
      <c r="D1233" t="s">
        <v>4866</v>
      </c>
      <c r="E1233" t="s">
        <v>75</v>
      </c>
    </row>
    <row r="1234" spans="1:5" x14ac:dyDescent="0.3">
      <c r="A1234" t="s">
        <v>4869</v>
      </c>
      <c r="B1234" t="s">
        <v>13048</v>
      </c>
      <c r="C1234" t="s">
        <v>862</v>
      </c>
      <c r="D1234" t="s">
        <v>4868</v>
      </c>
      <c r="E1234" t="s">
        <v>1</v>
      </c>
    </row>
    <row r="1235" spans="1:5" x14ac:dyDescent="0.3">
      <c r="A1235" t="s">
        <v>4871</v>
      </c>
      <c r="B1235" t="s">
        <v>4872</v>
      </c>
      <c r="C1235" t="s">
        <v>862</v>
      </c>
      <c r="D1235" t="s">
        <v>4868</v>
      </c>
      <c r="E1235" t="s">
        <v>1</v>
      </c>
    </row>
    <row r="1236" spans="1:5" x14ac:dyDescent="0.3">
      <c r="A1236" t="s">
        <v>4873</v>
      </c>
      <c r="B1236" t="s">
        <v>4875</v>
      </c>
      <c r="C1236" t="s">
        <v>4874</v>
      </c>
      <c r="D1236" t="s">
        <v>4868</v>
      </c>
      <c r="E1236" t="s">
        <v>1</v>
      </c>
    </row>
    <row r="1237" spans="1:5" x14ac:dyDescent="0.3">
      <c r="A1237" t="s">
        <v>3006</v>
      </c>
      <c r="B1237" t="s">
        <v>4877</v>
      </c>
      <c r="C1237" t="s">
        <v>461</v>
      </c>
      <c r="D1237" t="s">
        <v>4876</v>
      </c>
      <c r="E1237" t="s">
        <v>75</v>
      </c>
    </row>
    <row r="1238" spans="1:5" x14ac:dyDescent="0.3">
      <c r="A1238" t="s">
        <v>4881</v>
      </c>
      <c r="B1238" t="s">
        <v>4098</v>
      </c>
      <c r="C1238" t="s">
        <v>4882</v>
      </c>
      <c r="D1238" t="s">
        <v>4868</v>
      </c>
      <c r="E1238" t="s">
        <v>1</v>
      </c>
    </row>
    <row r="1239" spans="1:5" x14ac:dyDescent="0.3">
      <c r="A1239" t="s">
        <v>839</v>
      </c>
      <c r="B1239" t="s">
        <v>4885</v>
      </c>
      <c r="C1239" t="s">
        <v>4884</v>
      </c>
      <c r="D1239" t="s">
        <v>4883</v>
      </c>
      <c r="E1239" t="s">
        <v>1</v>
      </c>
    </row>
    <row r="1240" spans="1:5" x14ac:dyDescent="0.3">
      <c r="A1240" t="s">
        <v>113</v>
      </c>
      <c r="B1240" t="s">
        <v>4886</v>
      </c>
      <c r="C1240" t="s">
        <v>862</v>
      </c>
      <c r="D1240" t="s">
        <v>4883</v>
      </c>
      <c r="E1240" t="s">
        <v>1</v>
      </c>
    </row>
    <row r="1241" spans="1:5" x14ac:dyDescent="0.3">
      <c r="A1241" t="s">
        <v>224</v>
      </c>
      <c r="B1241" t="s">
        <v>4889</v>
      </c>
      <c r="C1241" t="s">
        <v>461</v>
      </c>
      <c r="D1241" t="s">
        <v>4888</v>
      </c>
      <c r="E1241" t="s">
        <v>75</v>
      </c>
    </row>
    <row r="1242" spans="1:5" x14ac:dyDescent="0.3">
      <c r="A1242" t="s">
        <v>4892</v>
      </c>
      <c r="B1242" t="s">
        <v>4894</v>
      </c>
      <c r="C1242" t="s">
        <v>4893</v>
      </c>
    </row>
    <row r="1243" spans="1:5" x14ac:dyDescent="0.3">
      <c r="A1243" t="s">
        <v>2179</v>
      </c>
      <c r="B1243" t="s">
        <v>4896</v>
      </c>
      <c r="C1243" t="s">
        <v>467</v>
      </c>
      <c r="D1243" t="s">
        <v>4895</v>
      </c>
      <c r="E1243" t="s">
        <v>75</v>
      </c>
    </row>
    <row r="1244" spans="1:5" x14ac:dyDescent="0.3">
      <c r="A1244" t="s">
        <v>182</v>
      </c>
      <c r="B1244" t="s">
        <v>4903</v>
      </c>
      <c r="C1244" t="s">
        <v>518</v>
      </c>
      <c r="D1244" t="s">
        <v>4899</v>
      </c>
      <c r="E1244" t="s">
        <v>761</v>
      </c>
    </row>
    <row r="1245" spans="1:5" x14ac:dyDescent="0.3">
      <c r="A1245" t="s">
        <v>1528</v>
      </c>
      <c r="B1245" t="s">
        <v>4909</v>
      </c>
      <c r="C1245" t="s">
        <v>459</v>
      </c>
      <c r="D1245" t="s">
        <v>4908</v>
      </c>
      <c r="E1245" t="s">
        <v>75</v>
      </c>
    </row>
    <row r="1246" spans="1:5" x14ac:dyDescent="0.3">
      <c r="A1246" t="s">
        <v>259</v>
      </c>
      <c r="B1246" t="s">
        <v>4910</v>
      </c>
      <c r="C1246" t="s">
        <v>862</v>
      </c>
      <c r="D1246" t="s">
        <v>763</v>
      </c>
      <c r="E1246" t="s">
        <v>1</v>
      </c>
    </row>
    <row r="1247" spans="1:5" x14ac:dyDescent="0.3">
      <c r="A1247" t="s">
        <v>772</v>
      </c>
      <c r="B1247" t="s">
        <v>4914</v>
      </c>
      <c r="C1247" t="s">
        <v>461</v>
      </c>
      <c r="D1247" t="s">
        <v>4899</v>
      </c>
      <c r="E1247" t="s">
        <v>761</v>
      </c>
    </row>
    <row r="1248" spans="1:5" x14ac:dyDescent="0.3">
      <c r="A1248" t="s">
        <v>4915</v>
      </c>
      <c r="B1248" t="s">
        <v>4917</v>
      </c>
      <c r="C1248" t="s">
        <v>4916</v>
      </c>
      <c r="D1248" t="s">
        <v>1940</v>
      </c>
      <c r="E1248" t="s">
        <v>743</v>
      </c>
    </row>
    <row r="1249" spans="1:5" x14ac:dyDescent="0.3">
      <c r="A1249" t="s">
        <v>182</v>
      </c>
      <c r="B1249" t="s">
        <v>4921</v>
      </c>
      <c r="C1249" t="s">
        <v>862</v>
      </c>
      <c r="D1249" t="s">
        <v>751</v>
      </c>
      <c r="E1249" t="s">
        <v>1</v>
      </c>
    </row>
    <row r="1250" spans="1:5" x14ac:dyDescent="0.3">
      <c r="A1250" t="s">
        <v>3806</v>
      </c>
      <c r="B1250" t="s">
        <v>148</v>
      </c>
      <c r="C1250" t="s">
        <v>862</v>
      </c>
      <c r="D1250" t="s">
        <v>751</v>
      </c>
      <c r="E1250" t="s">
        <v>1</v>
      </c>
    </row>
    <row r="1251" spans="1:5" x14ac:dyDescent="0.3">
      <c r="A1251" t="s">
        <v>808</v>
      </c>
      <c r="B1251" t="s">
        <v>4926</v>
      </c>
      <c r="C1251" t="s">
        <v>4925</v>
      </c>
      <c r="D1251" t="s">
        <v>4924</v>
      </c>
      <c r="E1251" t="s">
        <v>774</v>
      </c>
    </row>
    <row r="1252" spans="1:5" x14ac:dyDescent="0.3">
      <c r="A1252" t="s">
        <v>864</v>
      </c>
      <c r="B1252" t="s">
        <v>4927</v>
      </c>
      <c r="C1252" t="s">
        <v>459</v>
      </c>
      <c r="D1252" t="s">
        <v>751</v>
      </c>
      <c r="E1252" t="s">
        <v>1</v>
      </c>
    </row>
    <row r="1253" spans="1:5" x14ac:dyDescent="0.3">
      <c r="A1253" t="s">
        <v>4938</v>
      </c>
      <c r="B1253" t="s">
        <v>1779</v>
      </c>
      <c r="C1253" t="s">
        <v>460</v>
      </c>
      <c r="D1253" t="s">
        <v>4937</v>
      </c>
      <c r="E1253" t="s">
        <v>741</v>
      </c>
    </row>
    <row r="1254" spans="1:5" x14ac:dyDescent="0.3">
      <c r="A1254" t="s">
        <v>131</v>
      </c>
      <c r="B1254" t="s">
        <v>378</v>
      </c>
      <c r="C1254" t="s">
        <v>862</v>
      </c>
      <c r="D1254" t="s">
        <v>1509</v>
      </c>
      <c r="E1254" t="s">
        <v>781</v>
      </c>
    </row>
    <row r="1255" spans="1:5" x14ac:dyDescent="0.3">
      <c r="A1255" t="s">
        <v>3092</v>
      </c>
      <c r="B1255" t="s">
        <v>4940</v>
      </c>
      <c r="C1255" t="s">
        <v>459</v>
      </c>
      <c r="D1255" t="s">
        <v>1509</v>
      </c>
      <c r="E1255" t="s">
        <v>781</v>
      </c>
    </row>
    <row r="1256" spans="1:5" x14ac:dyDescent="0.3">
      <c r="A1256" t="s">
        <v>177</v>
      </c>
      <c r="B1256" t="s">
        <v>4942</v>
      </c>
      <c r="C1256" t="s">
        <v>4941</v>
      </c>
      <c r="D1256" t="s">
        <v>1509</v>
      </c>
      <c r="E1256" t="s">
        <v>781</v>
      </c>
    </row>
    <row r="1257" spans="1:5" x14ac:dyDescent="0.3">
      <c r="A1257" t="s">
        <v>4943</v>
      </c>
      <c r="B1257" t="s">
        <v>3566</v>
      </c>
      <c r="C1257" t="s">
        <v>518</v>
      </c>
      <c r="D1257" t="s">
        <v>1509</v>
      </c>
      <c r="E1257" t="s">
        <v>781</v>
      </c>
    </row>
    <row r="1258" spans="1:5" x14ac:dyDescent="0.3">
      <c r="A1258" t="s">
        <v>4944</v>
      </c>
      <c r="B1258" t="s">
        <v>444</v>
      </c>
      <c r="C1258" t="s">
        <v>862</v>
      </c>
      <c r="D1258" t="s">
        <v>1509</v>
      </c>
      <c r="E1258" t="s">
        <v>781</v>
      </c>
    </row>
    <row r="1259" spans="1:5" x14ac:dyDescent="0.3">
      <c r="A1259" t="s">
        <v>41</v>
      </c>
      <c r="B1259" t="s">
        <v>365</v>
      </c>
      <c r="C1259" t="s">
        <v>4945</v>
      </c>
      <c r="D1259" t="s">
        <v>1509</v>
      </c>
      <c r="E1259" t="s">
        <v>781</v>
      </c>
    </row>
    <row r="1260" spans="1:5" x14ac:dyDescent="0.3">
      <c r="A1260" t="s">
        <v>997</v>
      </c>
      <c r="B1260" t="s">
        <v>2401</v>
      </c>
      <c r="C1260" t="s">
        <v>4946</v>
      </c>
      <c r="D1260" t="s">
        <v>1509</v>
      </c>
      <c r="E1260" t="s">
        <v>781</v>
      </c>
    </row>
    <row r="1261" spans="1:5" x14ac:dyDescent="0.3">
      <c r="A1261" t="s">
        <v>1051</v>
      </c>
      <c r="B1261" t="s">
        <v>1420</v>
      </c>
      <c r="C1261" t="s">
        <v>4947</v>
      </c>
      <c r="D1261" t="s">
        <v>1509</v>
      </c>
      <c r="E1261" t="s">
        <v>781</v>
      </c>
    </row>
    <row r="1262" spans="1:5" x14ac:dyDescent="0.3">
      <c r="A1262" t="s">
        <v>41</v>
      </c>
      <c r="B1262" t="s">
        <v>1263</v>
      </c>
      <c r="C1262" t="s">
        <v>1755</v>
      </c>
      <c r="D1262" t="s">
        <v>1509</v>
      </c>
      <c r="E1262" t="s">
        <v>781</v>
      </c>
    </row>
    <row r="1263" spans="1:5" x14ac:dyDescent="0.3">
      <c r="A1263" t="s">
        <v>2989</v>
      </c>
      <c r="B1263" t="s">
        <v>4954</v>
      </c>
      <c r="C1263" t="s">
        <v>862</v>
      </c>
      <c r="D1263" t="s">
        <v>4953</v>
      </c>
      <c r="E1263" t="s">
        <v>781</v>
      </c>
    </row>
    <row r="1264" spans="1:5" x14ac:dyDescent="0.3">
      <c r="A1264" t="s">
        <v>1112</v>
      </c>
      <c r="B1264" t="s">
        <v>4955</v>
      </c>
      <c r="C1264" t="s">
        <v>459</v>
      </c>
      <c r="D1264" t="s">
        <v>4953</v>
      </c>
      <c r="E1264" t="s">
        <v>781</v>
      </c>
    </row>
    <row r="1265" spans="1:5" x14ac:dyDescent="0.3">
      <c r="A1265" t="s">
        <v>4961</v>
      </c>
      <c r="B1265" t="s">
        <v>4519</v>
      </c>
      <c r="C1265" t="s">
        <v>720</v>
      </c>
    </row>
    <row r="1266" spans="1:5" x14ac:dyDescent="0.3">
      <c r="A1266" t="s">
        <v>39</v>
      </c>
      <c r="B1266" t="s">
        <v>4962</v>
      </c>
      <c r="C1266" t="s">
        <v>862</v>
      </c>
      <c r="D1266" t="s">
        <v>751</v>
      </c>
      <c r="E1266" t="s">
        <v>1</v>
      </c>
    </row>
    <row r="1267" spans="1:5" x14ac:dyDescent="0.3">
      <c r="A1267" t="s">
        <v>65</v>
      </c>
      <c r="B1267" t="s">
        <v>4967</v>
      </c>
      <c r="C1267" t="s">
        <v>459</v>
      </c>
      <c r="D1267" t="s">
        <v>751</v>
      </c>
      <c r="E1267" t="s">
        <v>1</v>
      </c>
    </row>
    <row r="1268" spans="1:5" x14ac:dyDescent="0.3">
      <c r="A1268" t="s">
        <v>3093</v>
      </c>
      <c r="B1268" t="s">
        <v>4969</v>
      </c>
      <c r="C1268" t="s">
        <v>862</v>
      </c>
      <c r="D1268" t="s">
        <v>751</v>
      </c>
      <c r="E1268" t="s">
        <v>1</v>
      </c>
    </row>
    <row r="1269" spans="1:5" x14ac:dyDescent="0.3">
      <c r="A1269" t="s">
        <v>3902</v>
      </c>
      <c r="B1269" t="s">
        <v>1426</v>
      </c>
      <c r="C1269" t="s">
        <v>862</v>
      </c>
      <c r="D1269" t="s">
        <v>751</v>
      </c>
      <c r="E1269" t="s">
        <v>1</v>
      </c>
    </row>
    <row r="1270" spans="1:5" x14ac:dyDescent="0.3">
      <c r="A1270" t="s">
        <v>1212</v>
      </c>
      <c r="B1270" t="s">
        <v>4970</v>
      </c>
      <c r="C1270" t="s">
        <v>862</v>
      </c>
      <c r="D1270" t="s">
        <v>751</v>
      </c>
      <c r="E1270" t="s">
        <v>1</v>
      </c>
    </row>
    <row r="1271" spans="1:5" x14ac:dyDescent="0.3">
      <c r="A1271" t="s">
        <v>4971</v>
      </c>
      <c r="B1271" t="s">
        <v>4972</v>
      </c>
      <c r="C1271" t="s">
        <v>862</v>
      </c>
      <c r="D1271" t="s">
        <v>751</v>
      </c>
      <c r="E1271" t="s">
        <v>1</v>
      </c>
    </row>
    <row r="1272" spans="1:5" x14ac:dyDescent="0.3">
      <c r="A1272" t="s">
        <v>1176</v>
      </c>
      <c r="B1272" t="s">
        <v>4973</v>
      </c>
      <c r="C1272" t="s">
        <v>862</v>
      </c>
      <c r="D1272" t="s">
        <v>751</v>
      </c>
      <c r="E1272" t="s">
        <v>1</v>
      </c>
    </row>
    <row r="1273" spans="1:5" x14ac:dyDescent="0.3">
      <c r="A1273" t="s">
        <v>4480</v>
      </c>
      <c r="B1273" t="s">
        <v>4974</v>
      </c>
      <c r="C1273" t="s">
        <v>862</v>
      </c>
      <c r="D1273" t="s">
        <v>751</v>
      </c>
      <c r="E1273" t="s">
        <v>1</v>
      </c>
    </row>
    <row r="1274" spans="1:5" x14ac:dyDescent="0.3">
      <c r="A1274" t="s">
        <v>2187</v>
      </c>
      <c r="B1274" t="s">
        <v>348</v>
      </c>
      <c r="C1274" t="s">
        <v>2571</v>
      </c>
      <c r="D1274" t="s">
        <v>751</v>
      </c>
      <c r="E1274" t="s">
        <v>1</v>
      </c>
    </row>
    <row r="1275" spans="1:5" x14ac:dyDescent="0.3">
      <c r="A1275" t="s">
        <v>1630</v>
      </c>
      <c r="B1275" t="s">
        <v>4977</v>
      </c>
      <c r="C1275" t="s">
        <v>2571</v>
      </c>
      <c r="D1275" t="s">
        <v>751</v>
      </c>
      <c r="E1275" t="s">
        <v>1</v>
      </c>
    </row>
    <row r="1276" spans="1:5" x14ac:dyDescent="0.3">
      <c r="A1276" t="s">
        <v>167</v>
      </c>
      <c r="B1276" t="s">
        <v>1902</v>
      </c>
      <c r="C1276" t="s">
        <v>862</v>
      </c>
      <c r="D1276" t="s">
        <v>751</v>
      </c>
      <c r="E1276" t="s">
        <v>1</v>
      </c>
    </row>
    <row r="1277" spans="1:5" x14ac:dyDescent="0.3">
      <c r="A1277" t="s">
        <v>259</v>
      </c>
      <c r="B1277" t="s">
        <v>4980</v>
      </c>
      <c r="C1277" t="s">
        <v>862</v>
      </c>
      <c r="D1277" t="s">
        <v>751</v>
      </c>
      <c r="E1277" t="s">
        <v>1</v>
      </c>
    </row>
    <row r="1278" spans="1:5" x14ac:dyDescent="0.3">
      <c r="A1278" t="s">
        <v>132</v>
      </c>
      <c r="B1278" t="s">
        <v>4981</v>
      </c>
      <c r="C1278" t="s">
        <v>628</v>
      </c>
      <c r="D1278" t="s">
        <v>751</v>
      </c>
      <c r="E1278" t="s">
        <v>1</v>
      </c>
    </row>
    <row r="1279" spans="1:5" x14ac:dyDescent="0.3">
      <c r="A1279" t="s">
        <v>4982</v>
      </c>
      <c r="B1279" t="s">
        <v>4983</v>
      </c>
      <c r="C1279" t="s">
        <v>862</v>
      </c>
      <c r="D1279" t="s">
        <v>751</v>
      </c>
      <c r="E1279" t="s">
        <v>1</v>
      </c>
    </row>
    <row r="1280" spans="1:5" x14ac:dyDescent="0.3">
      <c r="A1280" t="s">
        <v>4984</v>
      </c>
      <c r="B1280" t="s">
        <v>1356</v>
      </c>
      <c r="C1280" t="s">
        <v>862</v>
      </c>
      <c r="D1280" t="s">
        <v>751</v>
      </c>
      <c r="E1280" t="s">
        <v>1</v>
      </c>
    </row>
    <row r="1281" spans="1:5" x14ac:dyDescent="0.3">
      <c r="A1281" t="s">
        <v>2989</v>
      </c>
      <c r="B1281" t="s">
        <v>4558</v>
      </c>
      <c r="C1281" t="s">
        <v>862</v>
      </c>
      <c r="D1281" t="s">
        <v>751</v>
      </c>
      <c r="E1281" t="s">
        <v>1</v>
      </c>
    </row>
    <row r="1282" spans="1:5" x14ac:dyDescent="0.3">
      <c r="A1282" t="s">
        <v>206</v>
      </c>
      <c r="B1282" t="s">
        <v>3994</v>
      </c>
      <c r="C1282" t="s">
        <v>862</v>
      </c>
      <c r="D1282" t="s">
        <v>751</v>
      </c>
      <c r="E1282" t="s">
        <v>1</v>
      </c>
    </row>
    <row r="1283" spans="1:5" x14ac:dyDescent="0.3">
      <c r="A1283" t="s">
        <v>82</v>
      </c>
      <c r="B1283" t="s">
        <v>4989</v>
      </c>
      <c r="C1283" t="s">
        <v>4988</v>
      </c>
      <c r="D1283" t="s">
        <v>751</v>
      </c>
      <c r="E1283" t="s">
        <v>1</v>
      </c>
    </row>
    <row r="1284" spans="1:5" x14ac:dyDescent="0.3">
      <c r="A1284" t="s">
        <v>4990</v>
      </c>
      <c r="B1284" t="s">
        <v>4992</v>
      </c>
      <c r="C1284" t="s">
        <v>4991</v>
      </c>
      <c r="D1284" t="s">
        <v>751</v>
      </c>
      <c r="E1284" t="s">
        <v>1</v>
      </c>
    </row>
    <row r="1285" spans="1:5" x14ac:dyDescent="0.3">
      <c r="A1285" t="s">
        <v>4996</v>
      </c>
      <c r="B1285" t="s">
        <v>1420</v>
      </c>
      <c r="C1285" t="s">
        <v>862</v>
      </c>
      <c r="D1285" t="s">
        <v>751</v>
      </c>
      <c r="E1285" t="s">
        <v>1</v>
      </c>
    </row>
    <row r="1286" spans="1:5" x14ac:dyDescent="0.3">
      <c r="A1286" t="s">
        <v>66</v>
      </c>
      <c r="B1286" t="s">
        <v>5005</v>
      </c>
      <c r="C1286" t="s">
        <v>461</v>
      </c>
      <c r="D1286" t="s">
        <v>751</v>
      </c>
      <c r="E1286" t="s">
        <v>1</v>
      </c>
    </row>
    <row r="1287" spans="1:5" x14ac:dyDescent="0.3">
      <c r="A1287" t="s">
        <v>2187</v>
      </c>
      <c r="B1287" t="s">
        <v>1420</v>
      </c>
      <c r="C1287" t="s">
        <v>862</v>
      </c>
      <c r="D1287" t="s">
        <v>751</v>
      </c>
      <c r="E1287" t="s">
        <v>1</v>
      </c>
    </row>
    <row r="1288" spans="1:5" x14ac:dyDescent="0.3">
      <c r="A1288" t="s">
        <v>3353</v>
      </c>
      <c r="B1288" t="s">
        <v>5006</v>
      </c>
      <c r="C1288" t="s">
        <v>862</v>
      </c>
      <c r="D1288" t="s">
        <v>751</v>
      </c>
      <c r="E1288" t="s">
        <v>1</v>
      </c>
    </row>
    <row r="1289" spans="1:5" x14ac:dyDescent="0.3">
      <c r="A1289" t="s">
        <v>2985</v>
      </c>
      <c r="B1289" t="s">
        <v>5007</v>
      </c>
      <c r="C1289" t="s">
        <v>862</v>
      </c>
      <c r="D1289" t="s">
        <v>751</v>
      </c>
      <c r="E1289" t="s">
        <v>1</v>
      </c>
    </row>
    <row r="1290" spans="1:5" x14ac:dyDescent="0.3">
      <c r="A1290" t="s">
        <v>79</v>
      </c>
      <c r="B1290" t="s">
        <v>5009</v>
      </c>
      <c r="C1290" t="s">
        <v>5008</v>
      </c>
      <c r="D1290" t="s">
        <v>751</v>
      </c>
      <c r="E1290" t="s">
        <v>1</v>
      </c>
    </row>
    <row r="1291" spans="1:5" x14ac:dyDescent="0.3">
      <c r="A1291" t="s">
        <v>27</v>
      </c>
      <c r="B1291" t="s">
        <v>3015</v>
      </c>
      <c r="C1291" t="s">
        <v>457</v>
      </c>
      <c r="D1291" t="s">
        <v>751</v>
      </c>
      <c r="E1291" t="s">
        <v>1</v>
      </c>
    </row>
    <row r="1292" spans="1:5" x14ac:dyDescent="0.3">
      <c r="A1292" t="s">
        <v>5014</v>
      </c>
      <c r="B1292" t="s">
        <v>5016</v>
      </c>
      <c r="C1292" t="s">
        <v>5015</v>
      </c>
      <c r="D1292" t="s">
        <v>751</v>
      </c>
      <c r="E1292" t="s">
        <v>1</v>
      </c>
    </row>
    <row r="1293" spans="1:5" x14ac:dyDescent="0.3">
      <c r="A1293" t="s">
        <v>368</v>
      </c>
      <c r="B1293" t="s">
        <v>5017</v>
      </c>
      <c r="C1293" t="s">
        <v>862</v>
      </c>
      <c r="D1293" t="s">
        <v>751</v>
      </c>
      <c r="E1293" t="s">
        <v>1</v>
      </c>
    </row>
    <row r="1294" spans="1:5" x14ac:dyDescent="0.3">
      <c r="A1294" t="s">
        <v>244</v>
      </c>
      <c r="B1294" t="s">
        <v>5018</v>
      </c>
      <c r="C1294" t="s">
        <v>862</v>
      </c>
      <c r="D1294" t="s">
        <v>751</v>
      </c>
      <c r="E1294" t="s">
        <v>1</v>
      </c>
    </row>
    <row r="1295" spans="1:5" x14ac:dyDescent="0.3">
      <c r="A1295" t="s">
        <v>22</v>
      </c>
      <c r="B1295" t="s">
        <v>5020</v>
      </c>
      <c r="C1295" t="s">
        <v>5019</v>
      </c>
      <c r="D1295" t="s">
        <v>751</v>
      </c>
      <c r="E1295" t="s">
        <v>1</v>
      </c>
    </row>
    <row r="1296" spans="1:5" x14ac:dyDescent="0.3">
      <c r="A1296" t="s">
        <v>1304</v>
      </c>
      <c r="B1296" t="s">
        <v>4361</v>
      </c>
      <c r="C1296" t="s">
        <v>5021</v>
      </c>
      <c r="D1296" t="s">
        <v>751</v>
      </c>
      <c r="E1296" t="s">
        <v>1</v>
      </c>
    </row>
    <row r="1297" spans="1:5" x14ac:dyDescent="0.3">
      <c r="A1297" t="s">
        <v>182</v>
      </c>
      <c r="B1297" t="s">
        <v>5022</v>
      </c>
      <c r="C1297" t="s">
        <v>5015</v>
      </c>
      <c r="D1297" t="s">
        <v>751</v>
      </c>
      <c r="E1297" t="s">
        <v>1</v>
      </c>
    </row>
    <row r="1298" spans="1:5" x14ac:dyDescent="0.3">
      <c r="A1298" t="s">
        <v>3069</v>
      </c>
      <c r="B1298" t="s">
        <v>5024</v>
      </c>
      <c r="C1298" t="s">
        <v>5023</v>
      </c>
      <c r="D1298" t="s">
        <v>751</v>
      </c>
      <c r="E1298" t="s">
        <v>1</v>
      </c>
    </row>
    <row r="1299" spans="1:5" x14ac:dyDescent="0.3">
      <c r="A1299" t="s">
        <v>4497</v>
      </c>
      <c r="B1299" t="s">
        <v>5026</v>
      </c>
      <c r="C1299" t="s">
        <v>5025</v>
      </c>
      <c r="D1299" t="s">
        <v>3257</v>
      </c>
      <c r="E1299" t="s">
        <v>841</v>
      </c>
    </row>
    <row r="1300" spans="1:5" x14ac:dyDescent="0.3">
      <c r="A1300" t="s">
        <v>177</v>
      </c>
      <c r="B1300" t="s">
        <v>4562</v>
      </c>
      <c r="C1300" t="s">
        <v>3001</v>
      </c>
      <c r="D1300" t="s">
        <v>3257</v>
      </c>
      <c r="E1300" t="s">
        <v>841</v>
      </c>
    </row>
    <row r="1301" spans="1:5" x14ac:dyDescent="0.3">
      <c r="A1301" t="s">
        <v>857</v>
      </c>
      <c r="B1301" t="s">
        <v>5028</v>
      </c>
      <c r="C1301" t="s">
        <v>459</v>
      </c>
      <c r="D1301" t="s">
        <v>5027</v>
      </c>
      <c r="E1301" t="s">
        <v>781</v>
      </c>
    </row>
    <row r="1302" spans="1:5" x14ac:dyDescent="0.3">
      <c r="A1302" t="s">
        <v>5033</v>
      </c>
      <c r="B1302" t="s">
        <v>5034</v>
      </c>
      <c r="C1302" t="s">
        <v>467</v>
      </c>
      <c r="D1302" t="s">
        <v>4797</v>
      </c>
      <c r="E1302" t="s">
        <v>75</v>
      </c>
    </row>
    <row r="1303" spans="1:5" x14ac:dyDescent="0.3">
      <c r="A1303" t="s">
        <v>5040</v>
      </c>
      <c r="B1303" t="s">
        <v>1630</v>
      </c>
      <c r="C1303" t="s">
        <v>518</v>
      </c>
      <c r="D1303" t="s">
        <v>5039</v>
      </c>
      <c r="E1303" t="s">
        <v>75</v>
      </c>
    </row>
    <row r="1304" spans="1:5" x14ac:dyDescent="0.3">
      <c r="A1304" t="s">
        <v>5044</v>
      </c>
      <c r="B1304" t="s">
        <v>2771</v>
      </c>
      <c r="C1304" t="s">
        <v>459</v>
      </c>
      <c r="D1304" t="s">
        <v>5043</v>
      </c>
      <c r="E1304" t="s">
        <v>741</v>
      </c>
    </row>
    <row r="1305" spans="1:5" x14ac:dyDescent="0.3">
      <c r="A1305" t="s">
        <v>251</v>
      </c>
      <c r="B1305" t="s">
        <v>1446</v>
      </c>
      <c r="C1305" t="s">
        <v>461</v>
      </c>
      <c r="D1305" t="s">
        <v>5043</v>
      </c>
      <c r="E1305" t="s">
        <v>741</v>
      </c>
    </row>
    <row r="1306" spans="1:5" x14ac:dyDescent="0.3">
      <c r="A1306" t="s">
        <v>5046</v>
      </c>
      <c r="B1306" t="s">
        <v>2095</v>
      </c>
      <c r="C1306" t="s">
        <v>459</v>
      </c>
      <c r="D1306" t="s">
        <v>5045</v>
      </c>
      <c r="E1306" t="s">
        <v>75</v>
      </c>
    </row>
    <row r="1307" spans="1:5" x14ac:dyDescent="0.3">
      <c r="A1307" t="s">
        <v>2603</v>
      </c>
      <c r="B1307" t="s">
        <v>3919</v>
      </c>
      <c r="C1307" t="s">
        <v>862</v>
      </c>
      <c r="D1307" t="s">
        <v>5047</v>
      </c>
      <c r="E1307" t="s">
        <v>781</v>
      </c>
    </row>
    <row r="1308" spans="1:5" x14ac:dyDescent="0.3">
      <c r="A1308" t="s">
        <v>2485</v>
      </c>
      <c r="B1308" t="s">
        <v>5055</v>
      </c>
      <c r="C1308" t="s">
        <v>5054</v>
      </c>
    </row>
    <row r="1309" spans="1:5" x14ac:dyDescent="0.3">
      <c r="A1309" t="s">
        <v>67</v>
      </c>
      <c r="B1309" t="s">
        <v>2810</v>
      </c>
      <c r="C1309" t="s">
        <v>457</v>
      </c>
      <c r="D1309" t="s">
        <v>5057</v>
      </c>
      <c r="E1309" t="s">
        <v>741</v>
      </c>
    </row>
    <row r="1310" spans="1:5" x14ac:dyDescent="0.3">
      <c r="A1310" t="s">
        <v>195</v>
      </c>
      <c r="B1310" t="s">
        <v>5064</v>
      </c>
      <c r="C1310" t="s">
        <v>461</v>
      </c>
      <c r="D1310" t="s">
        <v>5061</v>
      </c>
      <c r="E1310" t="s">
        <v>741</v>
      </c>
    </row>
    <row r="1311" spans="1:5" x14ac:dyDescent="0.3">
      <c r="A1311" t="s">
        <v>146</v>
      </c>
      <c r="B1311" t="s">
        <v>443</v>
      </c>
      <c r="C1311" t="s">
        <v>467</v>
      </c>
      <c r="D1311" t="s">
        <v>5061</v>
      </c>
      <c r="E1311" t="s">
        <v>741</v>
      </c>
    </row>
    <row r="1312" spans="1:5" x14ac:dyDescent="0.3">
      <c r="A1312" t="s">
        <v>5065</v>
      </c>
      <c r="B1312" t="s">
        <v>5066</v>
      </c>
      <c r="C1312" t="s">
        <v>460</v>
      </c>
      <c r="D1312" t="s">
        <v>5061</v>
      </c>
      <c r="E1312" t="s">
        <v>741</v>
      </c>
    </row>
    <row r="1313" spans="1:5" x14ac:dyDescent="0.3">
      <c r="A1313" t="s">
        <v>5068</v>
      </c>
      <c r="B1313" t="s">
        <v>5070</v>
      </c>
      <c r="C1313" t="s">
        <v>5069</v>
      </c>
      <c r="D1313" t="s">
        <v>5061</v>
      </c>
      <c r="E1313" t="s">
        <v>741</v>
      </c>
    </row>
    <row r="1314" spans="1:5" x14ac:dyDescent="0.3">
      <c r="A1314" t="s">
        <v>2489</v>
      </c>
      <c r="B1314" t="s">
        <v>5073</v>
      </c>
      <c r="C1314" t="s">
        <v>461</v>
      </c>
      <c r="D1314" t="s">
        <v>5072</v>
      </c>
      <c r="E1314" t="s">
        <v>781</v>
      </c>
    </row>
    <row r="1315" spans="1:5" x14ac:dyDescent="0.3">
      <c r="A1315" t="s">
        <v>938</v>
      </c>
      <c r="B1315" t="s">
        <v>5077</v>
      </c>
      <c r="C1315" t="s">
        <v>5076</v>
      </c>
      <c r="D1315" t="s">
        <v>1132</v>
      </c>
      <c r="E1315" t="s">
        <v>774</v>
      </c>
    </row>
    <row r="1316" spans="1:5" x14ac:dyDescent="0.3">
      <c r="A1316" t="s">
        <v>5081</v>
      </c>
      <c r="B1316" t="s">
        <v>5083</v>
      </c>
      <c r="C1316" t="s">
        <v>5082</v>
      </c>
      <c r="D1316" t="s">
        <v>5080</v>
      </c>
      <c r="E1316" t="s">
        <v>781</v>
      </c>
    </row>
    <row r="1317" spans="1:5" x14ac:dyDescent="0.3">
      <c r="A1317" t="s">
        <v>116</v>
      </c>
      <c r="B1317" t="s">
        <v>2603</v>
      </c>
      <c r="C1317" t="s">
        <v>461</v>
      </c>
      <c r="D1317" t="s">
        <v>5085</v>
      </c>
      <c r="E1317" t="s">
        <v>75</v>
      </c>
    </row>
    <row r="1318" spans="1:5" x14ac:dyDescent="0.3">
      <c r="A1318" t="s">
        <v>851</v>
      </c>
      <c r="B1318" t="s">
        <v>5086</v>
      </c>
      <c r="C1318" t="s">
        <v>2571</v>
      </c>
      <c r="D1318" t="s">
        <v>5085</v>
      </c>
      <c r="E1318" t="s">
        <v>75</v>
      </c>
    </row>
    <row r="1319" spans="1:5" x14ac:dyDescent="0.3">
      <c r="A1319" t="s">
        <v>150</v>
      </c>
      <c r="B1319" t="s">
        <v>287</v>
      </c>
      <c r="C1319" t="s">
        <v>467</v>
      </c>
      <c r="D1319" t="s">
        <v>5085</v>
      </c>
      <c r="E1319" t="s">
        <v>75</v>
      </c>
    </row>
    <row r="1320" spans="1:5" x14ac:dyDescent="0.3">
      <c r="A1320" t="s">
        <v>138</v>
      </c>
      <c r="B1320" t="s">
        <v>3960</v>
      </c>
      <c r="C1320" t="s">
        <v>460</v>
      </c>
      <c r="D1320" t="s">
        <v>811</v>
      </c>
      <c r="E1320" t="s">
        <v>761</v>
      </c>
    </row>
    <row r="1321" spans="1:5" x14ac:dyDescent="0.3">
      <c r="A1321" t="s">
        <v>411</v>
      </c>
      <c r="B1321" t="s">
        <v>5090</v>
      </c>
      <c r="C1321" t="s">
        <v>461</v>
      </c>
      <c r="D1321" t="s">
        <v>811</v>
      </c>
      <c r="E1321" t="s">
        <v>761</v>
      </c>
    </row>
    <row r="1322" spans="1:5" x14ac:dyDescent="0.3">
      <c r="A1322" t="s">
        <v>157</v>
      </c>
      <c r="B1322" t="s">
        <v>5092</v>
      </c>
      <c r="C1322" t="s">
        <v>5091</v>
      </c>
      <c r="D1322" t="s">
        <v>811</v>
      </c>
      <c r="E1322" t="s">
        <v>761</v>
      </c>
    </row>
    <row r="1323" spans="1:5" x14ac:dyDescent="0.3">
      <c r="A1323" t="s">
        <v>5093</v>
      </c>
      <c r="B1323" t="s">
        <v>5094</v>
      </c>
      <c r="C1323" t="s">
        <v>461</v>
      </c>
      <c r="D1323" t="s">
        <v>811</v>
      </c>
      <c r="E1323" t="s">
        <v>761</v>
      </c>
    </row>
    <row r="1324" spans="1:5" x14ac:dyDescent="0.3">
      <c r="A1324" t="s">
        <v>1722</v>
      </c>
      <c r="B1324" t="s">
        <v>5096</v>
      </c>
      <c r="C1324" t="s">
        <v>862</v>
      </c>
      <c r="D1324" t="s">
        <v>986</v>
      </c>
      <c r="E1324" t="s">
        <v>18</v>
      </c>
    </row>
    <row r="1325" spans="1:5" x14ac:dyDescent="0.3">
      <c r="A1325" t="s">
        <v>360</v>
      </c>
      <c r="B1325" t="s">
        <v>5097</v>
      </c>
      <c r="C1325" t="s">
        <v>698</v>
      </c>
      <c r="D1325" t="s">
        <v>986</v>
      </c>
      <c r="E1325" t="s">
        <v>18</v>
      </c>
    </row>
    <row r="1326" spans="1:5" x14ac:dyDescent="0.3">
      <c r="A1326" t="s">
        <v>1720</v>
      </c>
      <c r="B1326" t="s">
        <v>1668</v>
      </c>
      <c r="C1326" t="s">
        <v>5099</v>
      </c>
      <c r="D1326" t="s">
        <v>986</v>
      </c>
      <c r="E1326" t="s">
        <v>18</v>
      </c>
    </row>
    <row r="1327" spans="1:5" x14ac:dyDescent="0.3">
      <c r="A1327" t="s">
        <v>89</v>
      </c>
      <c r="B1327" t="s">
        <v>5100</v>
      </c>
      <c r="C1327" t="s">
        <v>467</v>
      </c>
      <c r="D1327" t="s">
        <v>986</v>
      </c>
      <c r="E1327" t="s">
        <v>18</v>
      </c>
    </row>
    <row r="1328" spans="1:5" x14ac:dyDescent="0.3">
      <c r="A1328" t="s">
        <v>220</v>
      </c>
      <c r="B1328" t="s">
        <v>5101</v>
      </c>
      <c r="C1328" t="s">
        <v>459</v>
      </c>
      <c r="D1328" t="s">
        <v>986</v>
      </c>
      <c r="E1328" t="s">
        <v>18</v>
      </c>
    </row>
    <row r="1329" spans="1:5" x14ac:dyDescent="0.3">
      <c r="A1329" t="s">
        <v>44</v>
      </c>
      <c r="B1329" t="s">
        <v>2828</v>
      </c>
      <c r="C1329" t="s">
        <v>467</v>
      </c>
      <c r="D1329" t="s">
        <v>986</v>
      </c>
      <c r="E1329" t="s">
        <v>18</v>
      </c>
    </row>
    <row r="1330" spans="1:5" x14ac:dyDescent="0.3">
      <c r="A1330" t="s">
        <v>177</v>
      </c>
      <c r="B1330" t="s">
        <v>3112</v>
      </c>
      <c r="C1330" t="s">
        <v>3629</v>
      </c>
      <c r="D1330" t="s">
        <v>986</v>
      </c>
      <c r="E1330" t="s">
        <v>18</v>
      </c>
    </row>
    <row r="1331" spans="1:5" x14ac:dyDescent="0.3">
      <c r="A1331" t="s">
        <v>181</v>
      </c>
      <c r="B1331" t="s">
        <v>5105</v>
      </c>
      <c r="C1331" t="s">
        <v>460</v>
      </c>
      <c r="D1331" t="s">
        <v>986</v>
      </c>
      <c r="E1331" t="s">
        <v>18</v>
      </c>
    </row>
    <row r="1332" spans="1:5" x14ac:dyDescent="0.3">
      <c r="A1332" t="s">
        <v>2408</v>
      </c>
      <c r="B1332" t="s">
        <v>3168</v>
      </c>
      <c r="C1332" t="s">
        <v>467</v>
      </c>
      <c r="D1332" t="s">
        <v>5107</v>
      </c>
      <c r="E1332" t="s">
        <v>774</v>
      </c>
    </row>
    <row r="1333" spans="1:5" x14ac:dyDescent="0.3">
      <c r="A1333" t="s">
        <v>250</v>
      </c>
      <c r="B1333" t="s">
        <v>5109</v>
      </c>
      <c r="C1333" t="s">
        <v>467</v>
      </c>
      <c r="D1333" t="s">
        <v>5108</v>
      </c>
      <c r="E1333" t="s">
        <v>841</v>
      </c>
    </row>
    <row r="1334" spans="1:5" x14ac:dyDescent="0.3">
      <c r="A1334" t="s">
        <v>179</v>
      </c>
      <c r="B1334" t="s">
        <v>296</v>
      </c>
      <c r="C1334" t="s">
        <v>461</v>
      </c>
      <c r="D1334" t="s">
        <v>1646</v>
      </c>
      <c r="E1334" t="s">
        <v>743</v>
      </c>
    </row>
    <row r="1335" spans="1:5" x14ac:dyDescent="0.3">
      <c r="A1335" t="s">
        <v>131</v>
      </c>
      <c r="B1335" t="s">
        <v>5112</v>
      </c>
      <c r="C1335" t="s">
        <v>467</v>
      </c>
      <c r="D1335" t="s">
        <v>1646</v>
      </c>
      <c r="E1335" t="s">
        <v>743</v>
      </c>
    </row>
    <row r="1336" spans="1:5" x14ac:dyDescent="0.3">
      <c r="A1336" t="s">
        <v>3698</v>
      </c>
      <c r="B1336" t="s">
        <v>5117</v>
      </c>
      <c r="C1336" t="s">
        <v>467</v>
      </c>
      <c r="D1336" t="s">
        <v>5116</v>
      </c>
      <c r="E1336" t="s">
        <v>774</v>
      </c>
    </row>
    <row r="1337" spans="1:5" x14ac:dyDescent="0.3">
      <c r="A1337" t="s">
        <v>3069</v>
      </c>
      <c r="B1337" t="s">
        <v>5118</v>
      </c>
      <c r="C1337" t="s">
        <v>461</v>
      </c>
      <c r="D1337" t="s">
        <v>5116</v>
      </c>
      <c r="E1337" t="s">
        <v>774</v>
      </c>
    </row>
    <row r="1338" spans="1:5" x14ac:dyDescent="0.3">
      <c r="A1338" t="s">
        <v>3705</v>
      </c>
      <c r="B1338" t="s">
        <v>5119</v>
      </c>
      <c r="C1338" t="s">
        <v>451</v>
      </c>
      <c r="D1338" t="s">
        <v>5116</v>
      </c>
      <c r="E1338" t="s">
        <v>774</v>
      </c>
    </row>
    <row r="1339" spans="1:5" x14ac:dyDescent="0.3">
      <c r="A1339" t="s">
        <v>5120</v>
      </c>
      <c r="B1339" t="s">
        <v>881</v>
      </c>
      <c r="C1339" t="s">
        <v>5121</v>
      </c>
      <c r="D1339" t="s">
        <v>4936</v>
      </c>
      <c r="E1339" t="s">
        <v>741</v>
      </c>
    </row>
    <row r="1340" spans="1:5" x14ac:dyDescent="0.3">
      <c r="A1340" t="s">
        <v>224</v>
      </c>
      <c r="B1340" t="s">
        <v>4804</v>
      </c>
      <c r="C1340" t="s">
        <v>460</v>
      </c>
      <c r="D1340" t="s">
        <v>5122</v>
      </c>
      <c r="E1340" t="s">
        <v>75</v>
      </c>
    </row>
    <row r="1341" spans="1:5" x14ac:dyDescent="0.3">
      <c r="A1341" t="s">
        <v>851</v>
      </c>
      <c r="B1341" t="s">
        <v>5126</v>
      </c>
      <c r="C1341" t="s">
        <v>5125</v>
      </c>
      <c r="D1341" t="s">
        <v>902</v>
      </c>
      <c r="E1341" t="s">
        <v>1</v>
      </c>
    </row>
    <row r="1342" spans="1:5" x14ac:dyDescent="0.3">
      <c r="A1342" t="s">
        <v>404</v>
      </c>
      <c r="B1342" t="s">
        <v>3546</v>
      </c>
      <c r="C1342" t="s">
        <v>862</v>
      </c>
      <c r="D1342" t="s">
        <v>902</v>
      </c>
      <c r="E1342" t="s">
        <v>1</v>
      </c>
    </row>
    <row r="1343" spans="1:5" x14ac:dyDescent="0.3">
      <c r="A1343" t="s">
        <v>241</v>
      </c>
      <c r="B1343" t="s">
        <v>242</v>
      </c>
      <c r="C1343" t="s">
        <v>243</v>
      </c>
      <c r="D1343" t="s">
        <v>902</v>
      </c>
      <c r="E1343" t="s">
        <v>1</v>
      </c>
    </row>
    <row r="1344" spans="1:5" x14ac:dyDescent="0.3">
      <c r="A1344" t="s">
        <v>45</v>
      </c>
      <c r="B1344" t="s">
        <v>5132</v>
      </c>
      <c r="C1344" t="s">
        <v>862</v>
      </c>
      <c r="D1344" t="s">
        <v>902</v>
      </c>
      <c r="E1344" t="s">
        <v>1</v>
      </c>
    </row>
    <row r="1345" spans="1:5" x14ac:dyDescent="0.3">
      <c r="A1345" t="s">
        <v>438</v>
      </c>
      <c r="B1345" t="s">
        <v>796</v>
      </c>
      <c r="C1345" t="s">
        <v>467</v>
      </c>
      <c r="D1345" t="s">
        <v>1250</v>
      </c>
      <c r="E1345" t="s">
        <v>741</v>
      </c>
    </row>
    <row r="1346" spans="1:5" x14ac:dyDescent="0.3">
      <c r="A1346" t="s">
        <v>5135</v>
      </c>
      <c r="B1346" t="s">
        <v>103</v>
      </c>
      <c r="C1346" t="s">
        <v>467</v>
      </c>
      <c r="D1346" t="s">
        <v>5134</v>
      </c>
      <c r="E1346" t="s">
        <v>774</v>
      </c>
    </row>
    <row r="1347" spans="1:5" x14ac:dyDescent="0.3">
      <c r="A1347" t="s">
        <v>4652</v>
      </c>
      <c r="B1347" t="s">
        <v>4897</v>
      </c>
      <c r="C1347" t="s">
        <v>467</v>
      </c>
      <c r="D1347" t="s">
        <v>5136</v>
      </c>
      <c r="E1347" t="s">
        <v>774</v>
      </c>
    </row>
    <row r="1348" spans="1:5" x14ac:dyDescent="0.3">
      <c r="A1348" t="s">
        <v>150</v>
      </c>
      <c r="B1348" t="s">
        <v>492</v>
      </c>
      <c r="C1348" t="s">
        <v>456</v>
      </c>
      <c r="D1348" t="s">
        <v>5136</v>
      </c>
      <c r="E1348" t="s">
        <v>774</v>
      </c>
    </row>
    <row r="1349" spans="1:5" x14ac:dyDescent="0.3">
      <c r="A1349" t="s">
        <v>111</v>
      </c>
      <c r="B1349" t="s">
        <v>1202</v>
      </c>
      <c r="C1349" t="s">
        <v>461</v>
      </c>
      <c r="D1349" t="s">
        <v>5136</v>
      </c>
      <c r="E1349" t="s">
        <v>774</v>
      </c>
    </row>
    <row r="1350" spans="1:5" x14ac:dyDescent="0.3">
      <c r="A1350" t="s">
        <v>220</v>
      </c>
      <c r="B1350" t="s">
        <v>1419</v>
      </c>
      <c r="C1350" t="s">
        <v>5142</v>
      </c>
      <c r="D1350" t="s">
        <v>2814</v>
      </c>
      <c r="E1350" t="s">
        <v>781</v>
      </c>
    </row>
    <row r="1351" spans="1:5" x14ac:dyDescent="0.3">
      <c r="A1351" t="s">
        <v>150</v>
      </c>
      <c r="B1351" t="s">
        <v>3002</v>
      </c>
      <c r="C1351" t="s">
        <v>518</v>
      </c>
      <c r="D1351" t="s">
        <v>2814</v>
      </c>
      <c r="E1351" t="s">
        <v>781</v>
      </c>
    </row>
    <row r="1352" spans="1:5" x14ac:dyDescent="0.3">
      <c r="A1352" t="s">
        <v>5147</v>
      </c>
      <c r="B1352" t="s">
        <v>5149</v>
      </c>
      <c r="C1352" t="s">
        <v>5148</v>
      </c>
      <c r="D1352" t="s">
        <v>2814</v>
      </c>
      <c r="E1352" t="s">
        <v>781</v>
      </c>
    </row>
    <row r="1353" spans="1:5" x14ac:dyDescent="0.3">
      <c r="A1353" t="s">
        <v>116</v>
      </c>
      <c r="B1353" t="s">
        <v>868</v>
      </c>
      <c r="C1353" t="s">
        <v>5153</v>
      </c>
      <c r="D1353" t="s">
        <v>2814</v>
      </c>
      <c r="E1353" t="s">
        <v>781</v>
      </c>
    </row>
    <row r="1354" spans="1:5" x14ac:dyDescent="0.3">
      <c r="A1354" t="s">
        <v>1532</v>
      </c>
      <c r="B1354" t="s">
        <v>5158</v>
      </c>
      <c r="C1354" t="s">
        <v>455</v>
      </c>
      <c r="D1354" t="s">
        <v>5157</v>
      </c>
      <c r="E1354" t="s">
        <v>75</v>
      </c>
    </row>
    <row r="1355" spans="1:5" x14ac:dyDescent="0.3">
      <c r="A1355" t="s">
        <v>224</v>
      </c>
      <c r="B1355" t="s">
        <v>5159</v>
      </c>
      <c r="C1355" t="s">
        <v>467</v>
      </c>
      <c r="D1355" t="s">
        <v>5157</v>
      </c>
      <c r="E1355" t="s">
        <v>75</v>
      </c>
    </row>
    <row r="1356" spans="1:5" x14ac:dyDescent="0.3">
      <c r="A1356" t="s">
        <v>3616</v>
      </c>
      <c r="B1356" t="s">
        <v>942</v>
      </c>
      <c r="C1356" t="s">
        <v>467</v>
      </c>
      <c r="D1356" t="s">
        <v>5160</v>
      </c>
      <c r="E1356" t="s">
        <v>781</v>
      </c>
    </row>
    <row r="1357" spans="1:5" x14ac:dyDescent="0.3">
      <c r="A1357" t="s">
        <v>87</v>
      </c>
      <c r="B1357" t="s">
        <v>3173</v>
      </c>
      <c r="C1357" t="s">
        <v>5163</v>
      </c>
      <c r="D1357" t="s">
        <v>5162</v>
      </c>
      <c r="E1357" t="s">
        <v>774</v>
      </c>
    </row>
    <row r="1358" spans="1:5" x14ac:dyDescent="0.3">
      <c r="A1358" t="s">
        <v>347</v>
      </c>
      <c r="B1358" t="s">
        <v>5165</v>
      </c>
      <c r="C1358" t="s">
        <v>461</v>
      </c>
      <c r="D1358" t="s">
        <v>5164</v>
      </c>
      <c r="E1358" t="s">
        <v>75</v>
      </c>
    </row>
    <row r="1359" spans="1:5" x14ac:dyDescent="0.3">
      <c r="A1359" t="s">
        <v>1825</v>
      </c>
      <c r="B1359" t="s">
        <v>5167</v>
      </c>
      <c r="C1359" t="s">
        <v>5166</v>
      </c>
      <c r="D1359" t="s">
        <v>5164</v>
      </c>
      <c r="E1359" t="s">
        <v>75</v>
      </c>
    </row>
    <row r="1360" spans="1:5" x14ac:dyDescent="0.3">
      <c r="A1360" t="s">
        <v>2998</v>
      </c>
      <c r="B1360" t="s">
        <v>2386</v>
      </c>
      <c r="C1360" t="s">
        <v>5168</v>
      </c>
      <c r="D1360" t="s">
        <v>5164</v>
      </c>
      <c r="E1360" t="s">
        <v>75</v>
      </c>
    </row>
    <row r="1361" spans="1:5" x14ac:dyDescent="0.3">
      <c r="A1361" t="s">
        <v>5170</v>
      </c>
      <c r="B1361" t="s">
        <v>2381</v>
      </c>
      <c r="C1361" t="s">
        <v>5171</v>
      </c>
      <c r="D1361" t="s">
        <v>919</v>
      </c>
      <c r="E1361" t="s">
        <v>1</v>
      </c>
    </row>
    <row r="1362" spans="1:5" x14ac:dyDescent="0.3">
      <c r="A1362" t="s">
        <v>2138</v>
      </c>
      <c r="B1362" t="s">
        <v>4929</v>
      </c>
      <c r="C1362" t="s">
        <v>467</v>
      </c>
      <c r="D1362" t="s">
        <v>5169</v>
      </c>
      <c r="E1362" t="s">
        <v>781</v>
      </c>
    </row>
    <row r="1363" spans="1:5" x14ac:dyDescent="0.3">
      <c r="A1363" t="s">
        <v>130</v>
      </c>
      <c r="B1363" t="s">
        <v>1370</v>
      </c>
      <c r="C1363" t="s">
        <v>460</v>
      </c>
      <c r="D1363" t="s">
        <v>5173</v>
      </c>
      <c r="E1363" t="s">
        <v>774</v>
      </c>
    </row>
    <row r="1364" spans="1:5" x14ac:dyDescent="0.3">
      <c r="A1364" t="s">
        <v>273</v>
      </c>
      <c r="B1364" t="s">
        <v>5181</v>
      </c>
      <c r="C1364" t="s">
        <v>5180</v>
      </c>
      <c r="D1364" t="s">
        <v>5179</v>
      </c>
      <c r="E1364" t="s">
        <v>75</v>
      </c>
    </row>
    <row r="1365" spans="1:5" x14ac:dyDescent="0.3">
      <c r="A1365" t="s">
        <v>41</v>
      </c>
      <c r="B1365" t="s">
        <v>5187</v>
      </c>
      <c r="C1365" t="s">
        <v>5186</v>
      </c>
      <c r="D1365" t="s">
        <v>5183</v>
      </c>
      <c r="E1365" t="s">
        <v>75</v>
      </c>
    </row>
    <row r="1366" spans="1:5" x14ac:dyDescent="0.3">
      <c r="A1366" t="s">
        <v>864</v>
      </c>
      <c r="B1366" t="s">
        <v>187</v>
      </c>
      <c r="C1366" t="s">
        <v>455</v>
      </c>
      <c r="D1366" t="s">
        <v>5188</v>
      </c>
      <c r="E1366" t="s">
        <v>743</v>
      </c>
    </row>
    <row r="1367" spans="1:5" x14ac:dyDescent="0.3">
      <c r="A1367" t="s">
        <v>211</v>
      </c>
      <c r="B1367" t="s">
        <v>3441</v>
      </c>
      <c r="C1367" t="s">
        <v>5191</v>
      </c>
      <c r="D1367" t="s">
        <v>5190</v>
      </c>
      <c r="E1367" t="s">
        <v>761</v>
      </c>
    </row>
    <row r="1368" spans="1:5" x14ac:dyDescent="0.3">
      <c r="A1368" t="s">
        <v>59</v>
      </c>
      <c r="B1368" t="s">
        <v>3809</v>
      </c>
      <c r="C1368" t="s">
        <v>518</v>
      </c>
      <c r="D1368" t="s">
        <v>2797</v>
      </c>
      <c r="E1368" t="s">
        <v>741</v>
      </c>
    </row>
    <row r="1369" spans="1:5" x14ac:dyDescent="0.3">
      <c r="A1369" t="s">
        <v>113</v>
      </c>
      <c r="B1369" t="s">
        <v>5197</v>
      </c>
      <c r="C1369" t="s">
        <v>5196</v>
      </c>
      <c r="D1369" t="s">
        <v>2797</v>
      </c>
      <c r="E1369" t="s">
        <v>741</v>
      </c>
    </row>
    <row r="1370" spans="1:5" x14ac:dyDescent="0.3">
      <c r="A1370" t="s">
        <v>4033</v>
      </c>
      <c r="B1370" t="s">
        <v>3570</v>
      </c>
      <c r="C1370" t="s">
        <v>457</v>
      </c>
      <c r="D1370" t="s">
        <v>1735</v>
      </c>
      <c r="E1370" t="s">
        <v>741</v>
      </c>
    </row>
    <row r="1371" spans="1:5" x14ac:dyDescent="0.3">
      <c r="A1371" t="s">
        <v>4173</v>
      </c>
      <c r="B1371" t="s">
        <v>1420</v>
      </c>
      <c r="C1371" t="s">
        <v>467</v>
      </c>
      <c r="D1371" t="s">
        <v>1735</v>
      </c>
      <c r="E1371" t="s">
        <v>741</v>
      </c>
    </row>
    <row r="1372" spans="1:5" x14ac:dyDescent="0.3">
      <c r="A1372" t="s">
        <v>1286</v>
      </c>
      <c r="B1372" t="s">
        <v>3615</v>
      </c>
      <c r="C1372" t="s">
        <v>467</v>
      </c>
      <c r="D1372" t="s">
        <v>1735</v>
      </c>
      <c r="E1372" t="s">
        <v>741</v>
      </c>
    </row>
    <row r="1373" spans="1:5" x14ac:dyDescent="0.3">
      <c r="A1373" t="s">
        <v>20</v>
      </c>
      <c r="B1373" t="s">
        <v>881</v>
      </c>
      <c r="C1373" t="s">
        <v>3371</v>
      </c>
      <c r="D1373" t="s">
        <v>1735</v>
      </c>
      <c r="E1373" t="s">
        <v>741</v>
      </c>
    </row>
    <row r="1374" spans="1:5" x14ac:dyDescent="0.3">
      <c r="A1374" t="s">
        <v>209</v>
      </c>
      <c r="B1374" t="s">
        <v>4640</v>
      </c>
      <c r="C1374" t="s">
        <v>459</v>
      </c>
      <c r="D1374" t="s">
        <v>1735</v>
      </c>
      <c r="E1374" t="s">
        <v>741</v>
      </c>
    </row>
    <row r="1375" spans="1:5" x14ac:dyDescent="0.3">
      <c r="A1375" t="s">
        <v>2008</v>
      </c>
      <c r="B1375" t="s">
        <v>5200</v>
      </c>
      <c r="C1375" t="s">
        <v>467</v>
      </c>
      <c r="D1375" t="s">
        <v>1735</v>
      </c>
      <c r="E1375" t="s">
        <v>741</v>
      </c>
    </row>
    <row r="1376" spans="1:5" x14ac:dyDescent="0.3">
      <c r="A1376" t="s">
        <v>2945</v>
      </c>
      <c r="B1376" t="s">
        <v>5206</v>
      </c>
      <c r="C1376" t="s">
        <v>5205</v>
      </c>
      <c r="D1376" t="s">
        <v>5204</v>
      </c>
      <c r="E1376" t="s">
        <v>897</v>
      </c>
    </row>
    <row r="1377" spans="1:5" x14ac:dyDescent="0.3">
      <c r="A1377" t="s">
        <v>1404</v>
      </c>
      <c r="B1377" t="s">
        <v>4166</v>
      </c>
      <c r="C1377" t="s">
        <v>461</v>
      </c>
      <c r="D1377" t="s">
        <v>5204</v>
      </c>
      <c r="E1377" t="s">
        <v>897</v>
      </c>
    </row>
    <row r="1378" spans="1:5" x14ac:dyDescent="0.3">
      <c r="A1378" t="s">
        <v>66</v>
      </c>
      <c r="B1378" t="s">
        <v>5208</v>
      </c>
      <c r="C1378" t="s">
        <v>467</v>
      </c>
      <c r="D1378" t="s">
        <v>4776</v>
      </c>
      <c r="E1378" t="s">
        <v>741</v>
      </c>
    </row>
    <row r="1379" spans="1:5" x14ac:dyDescent="0.3">
      <c r="A1379" t="s">
        <v>2390</v>
      </c>
      <c r="B1379" t="s">
        <v>2095</v>
      </c>
      <c r="C1379" t="s">
        <v>461</v>
      </c>
    </row>
    <row r="1380" spans="1:5" x14ac:dyDescent="0.3">
      <c r="A1380" t="s">
        <v>3723</v>
      </c>
      <c r="B1380" t="s">
        <v>362</v>
      </c>
      <c r="C1380" t="s">
        <v>698</v>
      </c>
      <c r="D1380" t="s">
        <v>5211</v>
      </c>
      <c r="E1380" t="s">
        <v>774</v>
      </c>
    </row>
    <row r="1381" spans="1:5" x14ac:dyDescent="0.3">
      <c r="A1381" t="s">
        <v>79</v>
      </c>
      <c r="B1381" t="s">
        <v>5214</v>
      </c>
      <c r="C1381" t="s">
        <v>628</v>
      </c>
      <c r="D1381" t="s">
        <v>5213</v>
      </c>
      <c r="E1381" t="s">
        <v>2175</v>
      </c>
    </row>
    <row r="1382" spans="1:5" x14ac:dyDescent="0.3">
      <c r="A1382" t="s">
        <v>5216</v>
      </c>
      <c r="B1382" t="s">
        <v>3772</v>
      </c>
      <c r="C1382" t="s">
        <v>5217</v>
      </c>
      <c r="D1382" t="s">
        <v>2789</v>
      </c>
      <c r="E1382" t="s">
        <v>1</v>
      </c>
    </row>
    <row r="1383" spans="1:5" x14ac:dyDescent="0.3">
      <c r="A1383" t="s">
        <v>195</v>
      </c>
      <c r="B1383" t="s">
        <v>4533</v>
      </c>
      <c r="C1383" t="s">
        <v>467</v>
      </c>
      <c r="D1383" t="s">
        <v>5210</v>
      </c>
      <c r="E1383" t="s">
        <v>1</v>
      </c>
    </row>
    <row r="1384" spans="1:5" x14ac:dyDescent="0.3">
      <c r="A1384" t="s">
        <v>35</v>
      </c>
      <c r="B1384" t="s">
        <v>2081</v>
      </c>
      <c r="C1384" t="s">
        <v>862</v>
      </c>
      <c r="D1384" t="s">
        <v>5210</v>
      </c>
      <c r="E1384" t="s">
        <v>1</v>
      </c>
    </row>
    <row r="1385" spans="1:5" x14ac:dyDescent="0.3">
      <c r="A1385" t="s">
        <v>1515</v>
      </c>
      <c r="B1385" t="s">
        <v>2614</v>
      </c>
      <c r="C1385" t="s">
        <v>461</v>
      </c>
      <c r="D1385" t="s">
        <v>5218</v>
      </c>
      <c r="E1385" t="s">
        <v>18</v>
      </c>
    </row>
    <row r="1386" spans="1:5" x14ac:dyDescent="0.3">
      <c r="A1386" t="s">
        <v>5220</v>
      </c>
      <c r="B1386" t="s">
        <v>5221</v>
      </c>
      <c r="C1386" t="s">
        <v>862</v>
      </c>
      <c r="D1386" t="s">
        <v>1554</v>
      </c>
      <c r="E1386" t="s">
        <v>1</v>
      </c>
    </row>
    <row r="1387" spans="1:5" x14ac:dyDescent="0.3">
      <c r="A1387" t="s">
        <v>206</v>
      </c>
      <c r="B1387" t="s">
        <v>5224</v>
      </c>
      <c r="C1387" t="s">
        <v>862</v>
      </c>
      <c r="D1387" t="s">
        <v>1554</v>
      </c>
      <c r="E1387" t="s">
        <v>1</v>
      </c>
    </row>
    <row r="1388" spans="1:5" x14ac:dyDescent="0.3">
      <c r="A1388" t="s">
        <v>5225</v>
      </c>
      <c r="B1388" t="s">
        <v>3569</v>
      </c>
      <c r="C1388" t="s">
        <v>862</v>
      </c>
      <c r="D1388" t="s">
        <v>1554</v>
      </c>
      <c r="E1388" t="s">
        <v>1</v>
      </c>
    </row>
    <row r="1389" spans="1:5" x14ac:dyDescent="0.3">
      <c r="A1389" t="s">
        <v>3534</v>
      </c>
      <c r="B1389" t="s">
        <v>5228</v>
      </c>
      <c r="C1389" t="s">
        <v>5227</v>
      </c>
      <c r="D1389" t="s">
        <v>1554</v>
      </c>
      <c r="E1389" t="s">
        <v>1</v>
      </c>
    </row>
    <row r="1390" spans="1:5" x14ac:dyDescent="0.3">
      <c r="A1390" t="s">
        <v>5232</v>
      </c>
      <c r="B1390" t="s">
        <v>2620</v>
      </c>
      <c r="C1390" t="s">
        <v>4645</v>
      </c>
      <c r="D1390" t="s">
        <v>5231</v>
      </c>
      <c r="E1390" t="s">
        <v>758</v>
      </c>
    </row>
    <row r="1391" spans="1:5" x14ac:dyDescent="0.3">
      <c r="A1391" t="s">
        <v>130</v>
      </c>
      <c r="B1391" t="s">
        <v>336</v>
      </c>
      <c r="C1391" t="s">
        <v>337</v>
      </c>
      <c r="D1391" t="s">
        <v>1554</v>
      </c>
      <c r="E1391" t="s">
        <v>1</v>
      </c>
    </row>
    <row r="1392" spans="1:5" x14ac:dyDescent="0.3">
      <c r="A1392" t="s">
        <v>4129</v>
      </c>
      <c r="B1392" t="s">
        <v>5238</v>
      </c>
      <c r="C1392" t="s">
        <v>5237</v>
      </c>
      <c r="D1392" t="s">
        <v>1554</v>
      </c>
      <c r="E1392" t="s">
        <v>1</v>
      </c>
    </row>
    <row r="1393" spans="1:5" x14ac:dyDescent="0.3">
      <c r="A1393" t="s">
        <v>146</v>
      </c>
      <c r="B1393" t="s">
        <v>270</v>
      </c>
      <c r="C1393" t="s">
        <v>341</v>
      </c>
      <c r="D1393" t="s">
        <v>1554</v>
      </c>
      <c r="E1393" t="s">
        <v>1</v>
      </c>
    </row>
    <row r="1394" spans="1:5" x14ac:dyDescent="0.3">
      <c r="A1394" t="s">
        <v>1357</v>
      </c>
      <c r="B1394" t="s">
        <v>86</v>
      </c>
      <c r="C1394" t="s">
        <v>5239</v>
      </c>
      <c r="D1394" t="s">
        <v>1554</v>
      </c>
      <c r="E1394" t="s">
        <v>1</v>
      </c>
    </row>
    <row r="1395" spans="1:5" x14ac:dyDescent="0.3">
      <c r="A1395" t="s">
        <v>5240</v>
      </c>
      <c r="B1395" t="s">
        <v>3545</v>
      </c>
      <c r="C1395" t="s">
        <v>862</v>
      </c>
      <c r="D1395" t="s">
        <v>1554</v>
      </c>
      <c r="E1395" t="s">
        <v>1</v>
      </c>
    </row>
    <row r="1396" spans="1:5" x14ac:dyDescent="0.3">
      <c r="A1396" t="s">
        <v>345</v>
      </c>
      <c r="B1396" t="s">
        <v>346</v>
      </c>
      <c r="C1396" t="s">
        <v>341</v>
      </c>
      <c r="D1396" t="s">
        <v>1554</v>
      </c>
      <c r="E1396" t="s">
        <v>1</v>
      </c>
    </row>
    <row r="1397" spans="1:5" x14ac:dyDescent="0.3">
      <c r="A1397" t="s">
        <v>50</v>
      </c>
      <c r="B1397" t="s">
        <v>285</v>
      </c>
      <c r="C1397" t="s">
        <v>461</v>
      </c>
      <c r="D1397" t="s">
        <v>5242</v>
      </c>
      <c r="E1397" t="s">
        <v>774</v>
      </c>
    </row>
    <row r="1398" spans="1:5" x14ac:dyDescent="0.3">
      <c r="A1398" t="s">
        <v>2486</v>
      </c>
      <c r="B1398" t="s">
        <v>3303</v>
      </c>
      <c r="C1398" t="s">
        <v>5243</v>
      </c>
      <c r="D1398" t="s">
        <v>5242</v>
      </c>
      <c r="E1398" t="s">
        <v>774</v>
      </c>
    </row>
    <row r="1399" spans="1:5" x14ac:dyDescent="0.3">
      <c r="A1399" t="s">
        <v>1393</v>
      </c>
      <c r="B1399" t="s">
        <v>5244</v>
      </c>
      <c r="C1399" t="s">
        <v>456</v>
      </c>
      <c r="D1399" t="s">
        <v>5104</v>
      </c>
      <c r="E1399" t="s">
        <v>774</v>
      </c>
    </row>
    <row r="1400" spans="1:5" x14ac:dyDescent="0.3">
      <c r="A1400" t="s">
        <v>157</v>
      </c>
      <c r="B1400" t="s">
        <v>3119</v>
      </c>
      <c r="C1400" t="s">
        <v>3109</v>
      </c>
      <c r="D1400" t="s">
        <v>5250</v>
      </c>
      <c r="E1400" t="s">
        <v>75</v>
      </c>
    </row>
    <row r="1401" spans="1:5" x14ac:dyDescent="0.3">
      <c r="A1401" t="s">
        <v>50</v>
      </c>
      <c r="B1401" t="s">
        <v>1899</v>
      </c>
      <c r="C1401" t="s">
        <v>5251</v>
      </c>
      <c r="D1401" t="s">
        <v>5250</v>
      </c>
      <c r="E1401" t="s">
        <v>75</v>
      </c>
    </row>
    <row r="1402" spans="1:5" x14ac:dyDescent="0.3">
      <c r="A1402" t="s">
        <v>116</v>
      </c>
      <c r="B1402" t="s">
        <v>4365</v>
      </c>
      <c r="C1402" t="s">
        <v>5252</v>
      </c>
      <c r="D1402" t="s">
        <v>5250</v>
      </c>
      <c r="E1402" t="s">
        <v>75</v>
      </c>
    </row>
    <row r="1403" spans="1:5" x14ac:dyDescent="0.3">
      <c r="A1403" t="s">
        <v>2886</v>
      </c>
      <c r="B1403" t="s">
        <v>2705</v>
      </c>
      <c r="C1403" t="s">
        <v>862</v>
      </c>
      <c r="D1403" t="s">
        <v>883</v>
      </c>
      <c r="E1403" t="s">
        <v>1</v>
      </c>
    </row>
    <row r="1404" spans="1:5" x14ac:dyDescent="0.3">
      <c r="A1404" t="s">
        <v>177</v>
      </c>
      <c r="B1404" t="s">
        <v>1280</v>
      </c>
      <c r="C1404" t="s">
        <v>5254</v>
      </c>
      <c r="D1404" t="s">
        <v>883</v>
      </c>
      <c r="E1404" t="s">
        <v>1</v>
      </c>
    </row>
    <row r="1405" spans="1:5" x14ac:dyDescent="0.3">
      <c r="A1405" t="s">
        <v>35</v>
      </c>
      <c r="B1405" t="s">
        <v>1615</v>
      </c>
      <c r="C1405" t="s">
        <v>862</v>
      </c>
      <c r="D1405" t="s">
        <v>883</v>
      </c>
      <c r="E1405" t="s">
        <v>1</v>
      </c>
    </row>
    <row r="1406" spans="1:5" x14ac:dyDescent="0.3">
      <c r="A1406" t="s">
        <v>313</v>
      </c>
      <c r="B1406" t="s">
        <v>276</v>
      </c>
      <c r="C1406" t="s">
        <v>862</v>
      </c>
      <c r="D1406" t="s">
        <v>883</v>
      </c>
      <c r="E1406" t="s">
        <v>1</v>
      </c>
    </row>
    <row r="1407" spans="1:5" x14ac:dyDescent="0.3">
      <c r="A1407" t="s">
        <v>68</v>
      </c>
      <c r="B1407" t="s">
        <v>1170</v>
      </c>
      <c r="C1407" t="s">
        <v>862</v>
      </c>
      <c r="D1407" t="s">
        <v>883</v>
      </c>
      <c r="E1407" t="s">
        <v>1</v>
      </c>
    </row>
    <row r="1408" spans="1:5" x14ac:dyDescent="0.3">
      <c r="A1408" t="s">
        <v>179</v>
      </c>
      <c r="B1408" t="s">
        <v>5257</v>
      </c>
      <c r="C1408" t="s">
        <v>862</v>
      </c>
      <c r="D1408" t="s">
        <v>883</v>
      </c>
      <c r="E1408" t="s">
        <v>1</v>
      </c>
    </row>
    <row r="1409" spans="1:5" x14ac:dyDescent="0.3">
      <c r="A1409" t="s">
        <v>5258</v>
      </c>
      <c r="B1409" t="s">
        <v>4471</v>
      </c>
      <c r="C1409" t="s">
        <v>862</v>
      </c>
      <c r="D1409" t="s">
        <v>883</v>
      </c>
      <c r="E1409" t="s">
        <v>1</v>
      </c>
    </row>
    <row r="1410" spans="1:5" x14ac:dyDescent="0.3">
      <c r="A1410" t="s">
        <v>30</v>
      </c>
      <c r="B1410" t="s">
        <v>1160</v>
      </c>
      <c r="C1410" t="s">
        <v>862</v>
      </c>
      <c r="D1410" t="s">
        <v>883</v>
      </c>
      <c r="E1410" t="s">
        <v>1</v>
      </c>
    </row>
    <row r="1411" spans="1:5" x14ac:dyDescent="0.3">
      <c r="A1411" t="s">
        <v>4406</v>
      </c>
      <c r="B1411" t="s">
        <v>5261</v>
      </c>
      <c r="C1411" t="s">
        <v>5260</v>
      </c>
      <c r="D1411" t="s">
        <v>883</v>
      </c>
      <c r="E1411" t="s">
        <v>1</v>
      </c>
    </row>
    <row r="1412" spans="1:5" x14ac:dyDescent="0.3">
      <c r="A1412" t="s">
        <v>1579</v>
      </c>
      <c r="B1412" t="s">
        <v>1293</v>
      </c>
      <c r="C1412" t="s">
        <v>5262</v>
      </c>
      <c r="D1412" t="s">
        <v>883</v>
      </c>
      <c r="E1412" t="s">
        <v>1</v>
      </c>
    </row>
    <row r="1413" spans="1:5" x14ac:dyDescent="0.3">
      <c r="A1413" t="s">
        <v>5264</v>
      </c>
      <c r="B1413" t="s">
        <v>5266</v>
      </c>
      <c r="C1413" t="s">
        <v>5265</v>
      </c>
      <c r="D1413" t="s">
        <v>5263</v>
      </c>
      <c r="E1413" t="s">
        <v>2175</v>
      </c>
    </row>
    <row r="1414" spans="1:5" x14ac:dyDescent="0.3">
      <c r="A1414" t="s">
        <v>97</v>
      </c>
      <c r="B1414" t="s">
        <v>5267</v>
      </c>
      <c r="C1414" t="s">
        <v>862</v>
      </c>
      <c r="D1414" t="s">
        <v>883</v>
      </c>
      <c r="E1414" t="s">
        <v>1</v>
      </c>
    </row>
    <row r="1415" spans="1:5" x14ac:dyDescent="0.3">
      <c r="A1415" t="s">
        <v>5268</v>
      </c>
      <c r="B1415" t="s">
        <v>5269</v>
      </c>
      <c r="C1415" t="s">
        <v>862</v>
      </c>
      <c r="D1415" t="s">
        <v>883</v>
      </c>
      <c r="E1415" t="s">
        <v>1</v>
      </c>
    </row>
    <row r="1416" spans="1:5" x14ac:dyDescent="0.3">
      <c r="A1416" t="s">
        <v>864</v>
      </c>
      <c r="B1416" t="s">
        <v>822</v>
      </c>
      <c r="C1416" t="s">
        <v>862</v>
      </c>
      <c r="D1416" t="s">
        <v>883</v>
      </c>
      <c r="E1416" t="s">
        <v>1</v>
      </c>
    </row>
    <row r="1417" spans="1:5" x14ac:dyDescent="0.3">
      <c r="A1417" t="s">
        <v>157</v>
      </c>
      <c r="B1417" t="s">
        <v>5274</v>
      </c>
      <c r="C1417" t="s">
        <v>5273</v>
      </c>
      <c r="D1417" t="s">
        <v>883</v>
      </c>
      <c r="E1417" t="s">
        <v>1</v>
      </c>
    </row>
    <row r="1418" spans="1:5" x14ac:dyDescent="0.3">
      <c r="A1418" t="s">
        <v>826</v>
      </c>
      <c r="B1418" t="s">
        <v>3182</v>
      </c>
      <c r="C1418" t="s">
        <v>862</v>
      </c>
      <c r="D1418" t="s">
        <v>883</v>
      </c>
      <c r="E1418" t="s">
        <v>1</v>
      </c>
    </row>
    <row r="1419" spans="1:5" x14ac:dyDescent="0.3">
      <c r="A1419" t="s">
        <v>5275</v>
      </c>
      <c r="B1419" t="s">
        <v>2434</v>
      </c>
      <c r="C1419" t="s">
        <v>862</v>
      </c>
      <c r="D1419" t="s">
        <v>883</v>
      </c>
      <c r="E1419" t="s">
        <v>1</v>
      </c>
    </row>
    <row r="1420" spans="1:5" x14ac:dyDescent="0.3">
      <c r="A1420" t="s">
        <v>5276</v>
      </c>
      <c r="B1420" t="s">
        <v>439</v>
      </c>
      <c r="C1420" t="s">
        <v>862</v>
      </c>
      <c r="D1420" t="s">
        <v>883</v>
      </c>
      <c r="E1420" t="s">
        <v>1</v>
      </c>
    </row>
    <row r="1421" spans="1:5" x14ac:dyDescent="0.3">
      <c r="A1421" t="s">
        <v>237</v>
      </c>
      <c r="B1421" t="s">
        <v>5127</v>
      </c>
      <c r="C1421" t="s">
        <v>5277</v>
      </c>
      <c r="D1421" t="s">
        <v>769</v>
      </c>
      <c r="E1421" t="s">
        <v>1</v>
      </c>
    </row>
    <row r="1422" spans="1:5" x14ac:dyDescent="0.3">
      <c r="A1422" t="s">
        <v>740</v>
      </c>
      <c r="B1422" t="s">
        <v>5280</v>
      </c>
      <c r="C1422" t="s">
        <v>862</v>
      </c>
      <c r="D1422" t="s">
        <v>883</v>
      </c>
      <c r="E1422" t="s">
        <v>1</v>
      </c>
    </row>
    <row r="1423" spans="1:5" x14ac:dyDescent="0.3">
      <c r="A1423" t="s">
        <v>224</v>
      </c>
      <c r="B1423" t="s">
        <v>5281</v>
      </c>
      <c r="C1423" t="s">
        <v>862</v>
      </c>
      <c r="D1423" t="s">
        <v>883</v>
      </c>
      <c r="E1423" t="s">
        <v>1</v>
      </c>
    </row>
    <row r="1424" spans="1:5" x14ac:dyDescent="0.3">
      <c r="A1424" t="s">
        <v>342</v>
      </c>
      <c r="B1424" t="s">
        <v>5283</v>
      </c>
      <c r="C1424" t="s">
        <v>862</v>
      </c>
      <c r="D1424" t="s">
        <v>883</v>
      </c>
      <c r="E1424" t="s">
        <v>1</v>
      </c>
    </row>
    <row r="1425" spans="1:5" x14ac:dyDescent="0.3">
      <c r="A1425" t="s">
        <v>14</v>
      </c>
      <c r="B1425" t="s">
        <v>5284</v>
      </c>
      <c r="C1425" t="s">
        <v>862</v>
      </c>
      <c r="D1425" t="s">
        <v>883</v>
      </c>
      <c r="E1425" t="s">
        <v>1</v>
      </c>
    </row>
    <row r="1426" spans="1:5" x14ac:dyDescent="0.3">
      <c r="A1426" t="s">
        <v>931</v>
      </c>
      <c r="B1426" t="s">
        <v>5286</v>
      </c>
      <c r="C1426" t="s">
        <v>3299</v>
      </c>
      <c r="D1426" t="s">
        <v>883</v>
      </c>
      <c r="E1426" t="s">
        <v>1</v>
      </c>
    </row>
    <row r="1427" spans="1:5" x14ac:dyDescent="0.3">
      <c r="A1427" t="s">
        <v>1283</v>
      </c>
      <c r="B1427" t="s">
        <v>5288</v>
      </c>
      <c r="C1427" t="s">
        <v>5287</v>
      </c>
      <c r="D1427" t="s">
        <v>883</v>
      </c>
      <c r="E1427" t="s">
        <v>1</v>
      </c>
    </row>
    <row r="1428" spans="1:5" x14ac:dyDescent="0.3">
      <c r="A1428" t="s">
        <v>166</v>
      </c>
      <c r="B1428" t="s">
        <v>5289</v>
      </c>
      <c r="C1428" t="s">
        <v>3555</v>
      </c>
      <c r="D1428" t="s">
        <v>883</v>
      </c>
      <c r="E1428" t="s">
        <v>1</v>
      </c>
    </row>
    <row r="1429" spans="1:5" x14ac:dyDescent="0.3">
      <c r="A1429" t="s">
        <v>1212</v>
      </c>
      <c r="B1429" t="s">
        <v>3014</v>
      </c>
      <c r="C1429" t="s">
        <v>5291</v>
      </c>
      <c r="D1429" t="s">
        <v>883</v>
      </c>
      <c r="E1429" t="s">
        <v>1</v>
      </c>
    </row>
    <row r="1430" spans="1:5" x14ac:dyDescent="0.3">
      <c r="A1430" t="s">
        <v>5292</v>
      </c>
      <c r="B1430" t="s">
        <v>5293</v>
      </c>
      <c r="C1430" t="s">
        <v>862</v>
      </c>
      <c r="D1430" t="s">
        <v>883</v>
      </c>
      <c r="E1430" t="s">
        <v>1</v>
      </c>
    </row>
    <row r="1431" spans="1:5" x14ac:dyDescent="0.3">
      <c r="A1431" t="s">
        <v>4093</v>
      </c>
      <c r="B1431" t="s">
        <v>5294</v>
      </c>
      <c r="C1431" t="s">
        <v>862</v>
      </c>
      <c r="D1431" t="s">
        <v>883</v>
      </c>
      <c r="E1431" t="s">
        <v>1</v>
      </c>
    </row>
    <row r="1432" spans="1:5" x14ac:dyDescent="0.3">
      <c r="A1432" t="s">
        <v>4729</v>
      </c>
      <c r="B1432" t="s">
        <v>2999</v>
      </c>
      <c r="C1432" t="s">
        <v>862</v>
      </c>
      <c r="D1432" t="s">
        <v>883</v>
      </c>
      <c r="E1432" t="s">
        <v>1</v>
      </c>
    </row>
    <row r="1433" spans="1:5" x14ac:dyDescent="0.3">
      <c r="A1433" t="s">
        <v>50</v>
      </c>
      <c r="B1433" t="s">
        <v>4194</v>
      </c>
      <c r="C1433" t="s">
        <v>5295</v>
      </c>
      <c r="D1433" t="s">
        <v>883</v>
      </c>
      <c r="E1433" t="s">
        <v>1</v>
      </c>
    </row>
    <row r="1434" spans="1:5" x14ac:dyDescent="0.3">
      <c r="A1434" t="s">
        <v>5296</v>
      </c>
      <c r="B1434" t="s">
        <v>5297</v>
      </c>
      <c r="C1434" t="s">
        <v>862</v>
      </c>
      <c r="D1434" t="s">
        <v>883</v>
      </c>
      <c r="E1434" t="s">
        <v>1</v>
      </c>
    </row>
    <row r="1435" spans="1:5" x14ac:dyDescent="0.3">
      <c r="A1435" t="s">
        <v>112</v>
      </c>
      <c r="B1435" t="s">
        <v>5299</v>
      </c>
      <c r="C1435" t="s">
        <v>5298</v>
      </c>
      <c r="D1435" t="s">
        <v>883</v>
      </c>
      <c r="E1435" t="s">
        <v>1</v>
      </c>
    </row>
    <row r="1436" spans="1:5" x14ac:dyDescent="0.3">
      <c r="A1436" t="s">
        <v>3072</v>
      </c>
      <c r="B1436" t="s">
        <v>5301</v>
      </c>
      <c r="C1436" t="s">
        <v>461</v>
      </c>
      <c r="D1436" t="s">
        <v>5300</v>
      </c>
      <c r="E1436" t="s">
        <v>774</v>
      </c>
    </row>
    <row r="1437" spans="1:5" x14ac:dyDescent="0.3">
      <c r="A1437" t="s">
        <v>5303</v>
      </c>
      <c r="B1437" t="s">
        <v>5304</v>
      </c>
      <c r="C1437" t="s">
        <v>461</v>
      </c>
      <c r="D1437" t="s">
        <v>1104</v>
      </c>
      <c r="E1437" t="s">
        <v>781</v>
      </c>
    </row>
    <row r="1438" spans="1:5" x14ac:dyDescent="0.3">
      <c r="A1438" t="s">
        <v>224</v>
      </c>
      <c r="B1438" t="s">
        <v>5145</v>
      </c>
      <c r="C1438" t="s">
        <v>5306</v>
      </c>
      <c r="D1438" t="s">
        <v>1104</v>
      </c>
      <c r="E1438" t="s">
        <v>781</v>
      </c>
    </row>
    <row r="1439" spans="1:5" x14ac:dyDescent="0.3">
      <c r="A1439" t="s">
        <v>2482</v>
      </c>
      <c r="B1439" t="s">
        <v>5308</v>
      </c>
      <c r="C1439" t="s">
        <v>5307</v>
      </c>
      <c r="D1439" t="s">
        <v>1104</v>
      </c>
      <c r="E1439" t="s">
        <v>781</v>
      </c>
    </row>
    <row r="1440" spans="1:5" x14ac:dyDescent="0.3">
      <c r="A1440" t="s">
        <v>22</v>
      </c>
      <c r="B1440" t="s">
        <v>5310</v>
      </c>
      <c r="C1440" t="s">
        <v>467</v>
      </c>
      <c r="D1440" t="s">
        <v>5309</v>
      </c>
      <c r="E1440" t="s">
        <v>75</v>
      </c>
    </row>
    <row r="1441" spans="1:5" x14ac:dyDescent="0.3">
      <c r="A1441" t="s">
        <v>153</v>
      </c>
      <c r="B1441" t="s">
        <v>5312</v>
      </c>
      <c r="C1441" t="s">
        <v>5311</v>
      </c>
      <c r="D1441" t="s">
        <v>1940</v>
      </c>
      <c r="E1441" t="s">
        <v>743</v>
      </c>
    </row>
    <row r="1442" spans="1:5" x14ac:dyDescent="0.3">
      <c r="A1442" t="s">
        <v>14</v>
      </c>
      <c r="B1442" t="s">
        <v>13049</v>
      </c>
      <c r="C1442" t="s">
        <v>5313</v>
      </c>
      <c r="D1442" t="s">
        <v>1940</v>
      </c>
      <c r="E1442" t="s">
        <v>743</v>
      </c>
    </row>
    <row r="1443" spans="1:5" x14ac:dyDescent="0.3">
      <c r="A1443" t="s">
        <v>804</v>
      </c>
      <c r="B1443" t="s">
        <v>5315</v>
      </c>
      <c r="C1443" t="s">
        <v>5314</v>
      </c>
      <c r="D1443" t="s">
        <v>1940</v>
      </c>
      <c r="E1443" t="s">
        <v>743</v>
      </c>
    </row>
    <row r="1444" spans="1:5" x14ac:dyDescent="0.3">
      <c r="A1444" t="s">
        <v>5321</v>
      </c>
      <c r="B1444" t="s">
        <v>5322</v>
      </c>
      <c r="C1444" t="s">
        <v>4837</v>
      </c>
      <c r="D1444" t="s">
        <v>1940</v>
      </c>
      <c r="E1444" t="s">
        <v>743</v>
      </c>
    </row>
    <row r="1445" spans="1:5" x14ac:dyDescent="0.3">
      <c r="A1445" t="s">
        <v>209</v>
      </c>
      <c r="B1445" t="s">
        <v>5323</v>
      </c>
      <c r="C1445" t="s">
        <v>467</v>
      </c>
      <c r="D1445" t="s">
        <v>1940</v>
      </c>
      <c r="E1445" t="s">
        <v>743</v>
      </c>
    </row>
    <row r="1446" spans="1:5" x14ac:dyDescent="0.3">
      <c r="A1446" t="s">
        <v>190</v>
      </c>
      <c r="B1446" t="s">
        <v>5324</v>
      </c>
      <c r="C1446" t="s">
        <v>518</v>
      </c>
      <c r="D1446" t="s">
        <v>1940</v>
      </c>
      <c r="E1446" t="s">
        <v>743</v>
      </c>
    </row>
    <row r="1447" spans="1:5" x14ac:dyDescent="0.3">
      <c r="A1447" t="s">
        <v>342</v>
      </c>
      <c r="B1447" t="s">
        <v>1159</v>
      </c>
      <c r="C1447" t="s">
        <v>5327</v>
      </c>
      <c r="D1447" t="s">
        <v>1940</v>
      </c>
      <c r="E1447" t="s">
        <v>743</v>
      </c>
    </row>
    <row r="1448" spans="1:5" x14ac:dyDescent="0.3">
      <c r="A1448" t="s">
        <v>1304</v>
      </c>
      <c r="B1448" t="s">
        <v>5329</v>
      </c>
      <c r="C1448" t="s">
        <v>5328</v>
      </c>
      <c r="D1448" t="s">
        <v>1940</v>
      </c>
      <c r="E1448" t="s">
        <v>743</v>
      </c>
    </row>
    <row r="1449" spans="1:5" x14ac:dyDescent="0.3">
      <c r="A1449" t="s">
        <v>5336</v>
      </c>
      <c r="B1449" t="s">
        <v>5338</v>
      </c>
      <c r="C1449" t="s">
        <v>5337</v>
      </c>
      <c r="D1449" t="s">
        <v>4379</v>
      </c>
      <c r="E1449" t="s">
        <v>841</v>
      </c>
    </row>
    <row r="1450" spans="1:5" x14ac:dyDescent="0.3">
      <c r="A1450" t="s">
        <v>352</v>
      </c>
      <c r="B1450" t="s">
        <v>5340</v>
      </c>
      <c r="C1450" t="s">
        <v>459</v>
      </c>
      <c r="D1450" t="s">
        <v>5339</v>
      </c>
      <c r="E1450" t="s">
        <v>743</v>
      </c>
    </row>
    <row r="1451" spans="1:5" x14ac:dyDescent="0.3">
      <c r="A1451" t="s">
        <v>999</v>
      </c>
      <c r="B1451" t="s">
        <v>5342</v>
      </c>
      <c r="C1451" t="s">
        <v>467</v>
      </c>
      <c r="D1451" t="s">
        <v>1500</v>
      </c>
      <c r="E1451" t="s">
        <v>741</v>
      </c>
    </row>
    <row r="1452" spans="1:5" x14ac:dyDescent="0.3">
      <c r="A1452" t="s">
        <v>5343</v>
      </c>
      <c r="B1452" t="s">
        <v>5345</v>
      </c>
      <c r="C1452" t="s">
        <v>5344</v>
      </c>
      <c r="D1452" t="s">
        <v>1500</v>
      </c>
      <c r="E1452" t="s">
        <v>741</v>
      </c>
    </row>
    <row r="1453" spans="1:5" x14ac:dyDescent="0.3">
      <c r="A1453" t="s">
        <v>3150</v>
      </c>
      <c r="B1453" t="s">
        <v>5352</v>
      </c>
      <c r="C1453" t="s">
        <v>460</v>
      </c>
      <c r="D1453" t="s">
        <v>5351</v>
      </c>
      <c r="E1453" t="s">
        <v>774</v>
      </c>
    </row>
    <row r="1454" spans="1:5" x14ac:dyDescent="0.3">
      <c r="A1454" t="s">
        <v>132</v>
      </c>
      <c r="B1454" t="s">
        <v>5356</v>
      </c>
      <c r="C1454" t="s">
        <v>518</v>
      </c>
      <c r="D1454" t="s">
        <v>5355</v>
      </c>
      <c r="E1454" t="s">
        <v>781</v>
      </c>
    </row>
    <row r="1455" spans="1:5" x14ac:dyDescent="0.3">
      <c r="A1455" t="s">
        <v>146</v>
      </c>
      <c r="B1455" t="s">
        <v>5357</v>
      </c>
      <c r="C1455" t="s">
        <v>461</v>
      </c>
      <c r="D1455" t="s">
        <v>5355</v>
      </c>
      <c r="E1455" t="s">
        <v>781</v>
      </c>
    </row>
    <row r="1456" spans="1:5" x14ac:dyDescent="0.3">
      <c r="A1456" t="s">
        <v>2952</v>
      </c>
      <c r="B1456" t="s">
        <v>5074</v>
      </c>
      <c r="C1456" t="s">
        <v>455</v>
      </c>
      <c r="D1456" t="s">
        <v>5355</v>
      </c>
      <c r="E1456" t="s">
        <v>781</v>
      </c>
    </row>
    <row r="1457" spans="1:5" x14ac:dyDescent="0.3">
      <c r="A1457" t="s">
        <v>132</v>
      </c>
      <c r="B1457" t="s">
        <v>5358</v>
      </c>
      <c r="C1457" t="s">
        <v>461</v>
      </c>
      <c r="D1457" t="s">
        <v>5355</v>
      </c>
      <c r="E1457" t="s">
        <v>781</v>
      </c>
    </row>
    <row r="1458" spans="1:5" x14ac:dyDescent="0.3">
      <c r="A1458" t="s">
        <v>65</v>
      </c>
      <c r="B1458" t="s">
        <v>3429</v>
      </c>
      <c r="C1458" t="s">
        <v>461</v>
      </c>
      <c r="D1458" t="s">
        <v>5360</v>
      </c>
      <c r="E1458" t="s">
        <v>774</v>
      </c>
    </row>
    <row r="1459" spans="1:5" x14ac:dyDescent="0.3">
      <c r="A1459" t="s">
        <v>5365</v>
      </c>
      <c r="B1459" t="s">
        <v>5367</v>
      </c>
      <c r="C1459" t="s">
        <v>5366</v>
      </c>
      <c r="D1459" t="s">
        <v>5364</v>
      </c>
      <c r="E1459" t="s">
        <v>841</v>
      </c>
    </row>
    <row r="1460" spans="1:5" x14ac:dyDescent="0.3">
      <c r="A1460" t="s">
        <v>2179</v>
      </c>
      <c r="B1460" t="s">
        <v>321</v>
      </c>
      <c r="C1460" t="s">
        <v>862</v>
      </c>
      <c r="D1460" t="s">
        <v>869</v>
      </c>
      <c r="E1460" t="s">
        <v>781</v>
      </c>
    </row>
    <row r="1461" spans="1:5" x14ac:dyDescent="0.3">
      <c r="A1461" t="s">
        <v>2008</v>
      </c>
      <c r="B1461" t="s">
        <v>5373</v>
      </c>
      <c r="C1461" t="s">
        <v>5372</v>
      </c>
      <c r="D1461" t="s">
        <v>869</v>
      </c>
      <c r="E1461" t="s">
        <v>781</v>
      </c>
    </row>
    <row r="1462" spans="1:5" x14ac:dyDescent="0.3">
      <c r="A1462" t="s">
        <v>1271</v>
      </c>
      <c r="B1462" t="s">
        <v>5374</v>
      </c>
      <c r="C1462" t="s">
        <v>862</v>
      </c>
      <c r="D1462" t="s">
        <v>869</v>
      </c>
      <c r="E1462" t="s">
        <v>781</v>
      </c>
    </row>
    <row r="1463" spans="1:5" x14ac:dyDescent="0.3">
      <c r="A1463" t="s">
        <v>1355</v>
      </c>
      <c r="B1463" t="s">
        <v>5375</v>
      </c>
      <c r="C1463" t="s">
        <v>862</v>
      </c>
      <c r="D1463" t="s">
        <v>869</v>
      </c>
      <c r="E1463" t="s">
        <v>781</v>
      </c>
    </row>
    <row r="1464" spans="1:5" x14ac:dyDescent="0.3">
      <c r="A1464" t="s">
        <v>112</v>
      </c>
      <c r="B1464" t="s">
        <v>5383</v>
      </c>
      <c r="C1464" t="s">
        <v>862</v>
      </c>
      <c r="D1464" t="s">
        <v>869</v>
      </c>
      <c r="E1464" t="s">
        <v>781</v>
      </c>
    </row>
    <row r="1465" spans="1:5" x14ac:dyDescent="0.3">
      <c r="A1465" t="s">
        <v>30</v>
      </c>
      <c r="B1465" t="s">
        <v>1230</v>
      </c>
      <c r="C1465" t="s">
        <v>5384</v>
      </c>
      <c r="D1465" t="s">
        <v>869</v>
      </c>
      <c r="E1465" t="s">
        <v>781</v>
      </c>
    </row>
    <row r="1466" spans="1:5" x14ac:dyDescent="0.3">
      <c r="A1466" t="s">
        <v>2917</v>
      </c>
      <c r="B1466" t="s">
        <v>5387</v>
      </c>
      <c r="C1466" t="s">
        <v>5386</v>
      </c>
      <c r="D1466" t="s">
        <v>869</v>
      </c>
      <c r="E1466" t="s">
        <v>781</v>
      </c>
    </row>
    <row r="1467" spans="1:5" x14ac:dyDescent="0.3">
      <c r="A1467" t="s">
        <v>5388</v>
      </c>
      <c r="B1467" t="s">
        <v>5390</v>
      </c>
      <c r="C1467" t="s">
        <v>5389</v>
      </c>
      <c r="D1467" t="s">
        <v>869</v>
      </c>
      <c r="E1467" t="s">
        <v>781</v>
      </c>
    </row>
    <row r="1468" spans="1:5" x14ac:dyDescent="0.3">
      <c r="A1468" t="s">
        <v>740</v>
      </c>
      <c r="B1468" t="s">
        <v>1256</v>
      </c>
      <c r="C1468" t="s">
        <v>2571</v>
      </c>
      <c r="D1468" t="s">
        <v>869</v>
      </c>
      <c r="E1468" t="s">
        <v>781</v>
      </c>
    </row>
    <row r="1469" spans="1:5" x14ac:dyDescent="0.3">
      <c r="A1469" t="s">
        <v>5391</v>
      </c>
      <c r="B1469" t="s">
        <v>5393</v>
      </c>
      <c r="C1469" t="s">
        <v>5392</v>
      </c>
      <c r="D1469" t="s">
        <v>869</v>
      </c>
      <c r="E1469" t="s">
        <v>781</v>
      </c>
    </row>
    <row r="1470" spans="1:5" x14ac:dyDescent="0.3">
      <c r="A1470" t="s">
        <v>5394</v>
      </c>
      <c r="B1470" t="s">
        <v>5395</v>
      </c>
      <c r="C1470" t="s">
        <v>862</v>
      </c>
      <c r="D1470" t="s">
        <v>869</v>
      </c>
      <c r="E1470" t="s">
        <v>781</v>
      </c>
    </row>
    <row r="1471" spans="1:5" x14ac:dyDescent="0.3">
      <c r="A1471" t="s">
        <v>1283</v>
      </c>
      <c r="B1471" t="s">
        <v>1432</v>
      </c>
      <c r="C1471" t="s">
        <v>862</v>
      </c>
      <c r="D1471" t="s">
        <v>869</v>
      </c>
      <c r="E1471" t="s">
        <v>781</v>
      </c>
    </row>
    <row r="1472" spans="1:5" x14ac:dyDescent="0.3">
      <c r="A1472" t="s">
        <v>34</v>
      </c>
      <c r="B1472" t="s">
        <v>5396</v>
      </c>
      <c r="C1472" t="s">
        <v>862</v>
      </c>
      <c r="D1472" t="s">
        <v>869</v>
      </c>
      <c r="E1472" t="s">
        <v>781</v>
      </c>
    </row>
    <row r="1473" spans="1:5" x14ac:dyDescent="0.3">
      <c r="A1473" t="s">
        <v>5230</v>
      </c>
      <c r="B1473" t="s">
        <v>3229</v>
      </c>
      <c r="C1473" t="s">
        <v>862</v>
      </c>
      <c r="D1473" t="s">
        <v>869</v>
      </c>
      <c r="E1473" t="s">
        <v>781</v>
      </c>
    </row>
    <row r="1474" spans="1:5" x14ac:dyDescent="0.3">
      <c r="A1474" t="s">
        <v>5397</v>
      </c>
      <c r="B1474" t="s">
        <v>5398</v>
      </c>
      <c r="C1474" t="s">
        <v>862</v>
      </c>
      <c r="D1474" t="s">
        <v>869</v>
      </c>
      <c r="E1474" t="s">
        <v>781</v>
      </c>
    </row>
    <row r="1475" spans="1:5" x14ac:dyDescent="0.3">
      <c r="A1475" t="s">
        <v>259</v>
      </c>
      <c r="B1475" t="s">
        <v>4157</v>
      </c>
      <c r="C1475" t="s">
        <v>862</v>
      </c>
      <c r="D1475" t="s">
        <v>869</v>
      </c>
      <c r="E1475" t="s">
        <v>781</v>
      </c>
    </row>
    <row r="1476" spans="1:5" x14ac:dyDescent="0.3">
      <c r="A1476" t="s">
        <v>131</v>
      </c>
      <c r="B1476" t="s">
        <v>4733</v>
      </c>
      <c r="C1476" t="s">
        <v>5399</v>
      </c>
      <c r="D1476" t="s">
        <v>869</v>
      </c>
      <c r="E1476" t="s">
        <v>781</v>
      </c>
    </row>
    <row r="1477" spans="1:5" x14ac:dyDescent="0.3">
      <c r="A1477" t="s">
        <v>161</v>
      </c>
      <c r="B1477" t="s">
        <v>1188</v>
      </c>
      <c r="C1477" t="s">
        <v>5400</v>
      </c>
      <c r="D1477" t="s">
        <v>869</v>
      </c>
      <c r="E1477" t="s">
        <v>781</v>
      </c>
    </row>
    <row r="1478" spans="1:5" x14ac:dyDescent="0.3">
      <c r="A1478" t="s">
        <v>30</v>
      </c>
      <c r="B1478" t="s">
        <v>4203</v>
      </c>
      <c r="C1478" t="s">
        <v>862</v>
      </c>
      <c r="D1478" t="s">
        <v>869</v>
      </c>
      <c r="E1478" t="s">
        <v>781</v>
      </c>
    </row>
    <row r="1479" spans="1:5" x14ac:dyDescent="0.3">
      <c r="A1479" t="s">
        <v>5402</v>
      </c>
      <c r="B1479" t="s">
        <v>5403</v>
      </c>
      <c r="C1479" t="s">
        <v>862</v>
      </c>
      <c r="D1479" t="s">
        <v>869</v>
      </c>
      <c r="E1479" t="s">
        <v>781</v>
      </c>
    </row>
    <row r="1480" spans="1:5" x14ac:dyDescent="0.3">
      <c r="A1480" t="s">
        <v>132</v>
      </c>
      <c r="B1480" t="s">
        <v>5406</v>
      </c>
      <c r="C1480" t="s">
        <v>5405</v>
      </c>
      <c r="D1480" t="s">
        <v>928</v>
      </c>
      <c r="E1480" t="s">
        <v>1</v>
      </c>
    </row>
    <row r="1481" spans="1:5" x14ac:dyDescent="0.3">
      <c r="A1481" t="s">
        <v>744</v>
      </c>
      <c r="B1481" t="s">
        <v>5408</v>
      </c>
      <c r="C1481" t="s">
        <v>456</v>
      </c>
      <c r="D1481" t="s">
        <v>5407</v>
      </c>
      <c r="E1481" t="s">
        <v>18</v>
      </c>
    </row>
    <row r="1482" spans="1:5" x14ac:dyDescent="0.3">
      <c r="A1482" t="s">
        <v>5414</v>
      </c>
      <c r="B1482" t="s">
        <v>5415</v>
      </c>
      <c r="C1482" t="s">
        <v>862</v>
      </c>
      <c r="D1482" t="s">
        <v>2577</v>
      </c>
      <c r="E1482" t="s">
        <v>741</v>
      </c>
    </row>
    <row r="1483" spans="1:5" x14ac:dyDescent="0.3">
      <c r="A1483" t="s">
        <v>860</v>
      </c>
      <c r="B1483" t="s">
        <v>5416</v>
      </c>
      <c r="C1483" t="s">
        <v>518</v>
      </c>
      <c r="D1483" t="s">
        <v>2577</v>
      </c>
      <c r="E1483" t="s">
        <v>741</v>
      </c>
    </row>
    <row r="1484" spans="1:5" x14ac:dyDescent="0.3">
      <c r="A1484" t="s">
        <v>312</v>
      </c>
      <c r="B1484" t="s">
        <v>5417</v>
      </c>
      <c r="C1484" t="s">
        <v>2252</v>
      </c>
      <c r="D1484" t="s">
        <v>2577</v>
      </c>
      <c r="E1484" t="s">
        <v>741</v>
      </c>
    </row>
    <row r="1485" spans="1:5" x14ac:dyDescent="0.3">
      <c r="A1485" t="s">
        <v>177</v>
      </c>
      <c r="B1485" t="s">
        <v>5418</v>
      </c>
      <c r="C1485" t="s">
        <v>862</v>
      </c>
      <c r="D1485" t="s">
        <v>2577</v>
      </c>
      <c r="E1485" t="s">
        <v>741</v>
      </c>
    </row>
    <row r="1486" spans="1:5" x14ac:dyDescent="0.3">
      <c r="A1486" t="s">
        <v>266</v>
      </c>
      <c r="B1486" t="s">
        <v>267</v>
      </c>
      <c r="C1486" t="s">
        <v>268</v>
      </c>
      <c r="D1486" t="s">
        <v>2577</v>
      </c>
      <c r="E1486" t="s">
        <v>741</v>
      </c>
    </row>
    <row r="1487" spans="1:5" x14ac:dyDescent="0.3">
      <c r="A1487" t="s">
        <v>22</v>
      </c>
      <c r="B1487" t="s">
        <v>2849</v>
      </c>
      <c r="C1487" t="s">
        <v>5419</v>
      </c>
      <c r="D1487" t="s">
        <v>2577</v>
      </c>
      <c r="E1487" t="s">
        <v>741</v>
      </c>
    </row>
    <row r="1488" spans="1:5" x14ac:dyDescent="0.3">
      <c r="A1488" t="s">
        <v>864</v>
      </c>
      <c r="B1488" t="s">
        <v>3774</v>
      </c>
      <c r="C1488" t="s">
        <v>628</v>
      </c>
      <c r="D1488" t="s">
        <v>2577</v>
      </c>
      <c r="E1488" t="s">
        <v>741</v>
      </c>
    </row>
    <row r="1489" spans="1:5" x14ac:dyDescent="0.3">
      <c r="A1489" t="s">
        <v>224</v>
      </c>
      <c r="B1489" t="s">
        <v>2970</v>
      </c>
      <c r="C1489" t="s">
        <v>862</v>
      </c>
      <c r="D1489" t="s">
        <v>2577</v>
      </c>
      <c r="E1489" t="s">
        <v>741</v>
      </c>
    </row>
    <row r="1490" spans="1:5" x14ac:dyDescent="0.3">
      <c r="A1490" t="s">
        <v>2201</v>
      </c>
      <c r="B1490" t="s">
        <v>5420</v>
      </c>
      <c r="C1490" t="s">
        <v>460</v>
      </c>
      <c r="D1490" t="s">
        <v>2577</v>
      </c>
      <c r="E1490" t="s">
        <v>741</v>
      </c>
    </row>
    <row r="1491" spans="1:5" x14ac:dyDescent="0.3">
      <c r="A1491" t="s">
        <v>4269</v>
      </c>
      <c r="B1491" t="s">
        <v>2614</v>
      </c>
      <c r="C1491" t="s">
        <v>467</v>
      </c>
      <c r="D1491" t="s">
        <v>2577</v>
      </c>
      <c r="E1491" t="s">
        <v>741</v>
      </c>
    </row>
    <row r="1492" spans="1:5" x14ac:dyDescent="0.3">
      <c r="A1492" t="s">
        <v>41</v>
      </c>
      <c r="B1492" t="s">
        <v>1471</v>
      </c>
      <c r="C1492" t="s">
        <v>5076</v>
      </c>
      <c r="D1492" t="s">
        <v>2577</v>
      </c>
      <c r="E1492" t="s">
        <v>741</v>
      </c>
    </row>
    <row r="1493" spans="1:5" x14ac:dyDescent="0.3">
      <c r="A1493" t="s">
        <v>41</v>
      </c>
      <c r="B1493" t="s">
        <v>5422</v>
      </c>
      <c r="C1493" t="s">
        <v>5421</v>
      </c>
      <c r="D1493" t="s">
        <v>2577</v>
      </c>
      <c r="E1493" t="s">
        <v>741</v>
      </c>
    </row>
    <row r="1494" spans="1:5" x14ac:dyDescent="0.3">
      <c r="A1494" t="s">
        <v>290</v>
      </c>
      <c r="B1494" t="s">
        <v>5423</v>
      </c>
      <c r="C1494" t="s">
        <v>862</v>
      </c>
      <c r="D1494" t="s">
        <v>2577</v>
      </c>
      <c r="E1494" t="s">
        <v>741</v>
      </c>
    </row>
    <row r="1495" spans="1:5" x14ac:dyDescent="0.3">
      <c r="A1495" t="s">
        <v>5424</v>
      </c>
      <c r="B1495" t="s">
        <v>4234</v>
      </c>
      <c r="C1495" t="s">
        <v>5425</v>
      </c>
      <c r="D1495" t="s">
        <v>2577</v>
      </c>
      <c r="E1495" t="s">
        <v>741</v>
      </c>
    </row>
    <row r="1496" spans="1:5" x14ac:dyDescent="0.3">
      <c r="A1496" t="s">
        <v>76</v>
      </c>
      <c r="B1496" t="s">
        <v>1421</v>
      </c>
      <c r="C1496" t="s">
        <v>461</v>
      </c>
      <c r="D1496" t="s">
        <v>5427</v>
      </c>
      <c r="E1496" t="s">
        <v>781</v>
      </c>
    </row>
    <row r="1497" spans="1:5" x14ac:dyDescent="0.3">
      <c r="A1497" t="s">
        <v>4913</v>
      </c>
      <c r="B1497" t="s">
        <v>5428</v>
      </c>
      <c r="C1497" t="s">
        <v>460</v>
      </c>
      <c r="D1497" t="s">
        <v>5427</v>
      </c>
      <c r="E1497" t="s">
        <v>781</v>
      </c>
    </row>
    <row r="1498" spans="1:5" x14ac:dyDescent="0.3">
      <c r="A1498" t="s">
        <v>3320</v>
      </c>
      <c r="B1498" t="s">
        <v>5430</v>
      </c>
      <c r="C1498" t="s">
        <v>628</v>
      </c>
      <c r="D1498" t="s">
        <v>1748</v>
      </c>
      <c r="E1498" t="s">
        <v>741</v>
      </c>
    </row>
    <row r="1499" spans="1:5" x14ac:dyDescent="0.3">
      <c r="A1499" t="s">
        <v>116</v>
      </c>
      <c r="B1499" t="s">
        <v>5432</v>
      </c>
      <c r="C1499" t="s">
        <v>5431</v>
      </c>
      <c r="D1499" t="s">
        <v>1748</v>
      </c>
      <c r="E1499" t="s">
        <v>741</v>
      </c>
    </row>
    <row r="1500" spans="1:5" x14ac:dyDescent="0.3">
      <c r="A1500" t="s">
        <v>181</v>
      </c>
      <c r="B1500" t="s">
        <v>2614</v>
      </c>
      <c r="C1500" t="s">
        <v>459</v>
      </c>
      <c r="D1500" t="s">
        <v>1748</v>
      </c>
      <c r="E1500" t="s">
        <v>741</v>
      </c>
    </row>
    <row r="1501" spans="1:5" x14ac:dyDescent="0.3">
      <c r="A1501" t="s">
        <v>68</v>
      </c>
      <c r="B1501" t="s">
        <v>5433</v>
      </c>
      <c r="C1501" t="s">
        <v>2571</v>
      </c>
      <c r="D1501" t="s">
        <v>1748</v>
      </c>
      <c r="E1501" t="s">
        <v>741</v>
      </c>
    </row>
    <row r="1502" spans="1:5" x14ac:dyDescent="0.3">
      <c r="A1502" t="s">
        <v>251</v>
      </c>
      <c r="B1502" t="s">
        <v>3275</v>
      </c>
      <c r="C1502" t="s">
        <v>518</v>
      </c>
      <c r="D1502" t="s">
        <v>3725</v>
      </c>
      <c r="E1502" t="s">
        <v>743</v>
      </c>
    </row>
    <row r="1503" spans="1:5" x14ac:dyDescent="0.3">
      <c r="A1503" t="s">
        <v>224</v>
      </c>
      <c r="B1503" t="s">
        <v>4896</v>
      </c>
      <c r="C1503" t="s">
        <v>862</v>
      </c>
      <c r="D1503" t="s">
        <v>5437</v>
      </c>
      <c r="E1503" t="s">
        <v>774</v>
      </c>
    </row>
    <row r="1504" spans="1:5" x14ac:dyDescent="0.3">
      <c r="A1504" t="s">
        <v>2489</v>
      </c>
      <c r="B1504" t="s">
        <v>5440</v>
      </c>
      <c r="C1504" t="s">
        <v>5439</v>
      </c>
      <c r="D1504" t="s">
        <v>1362</v>
      </c>
      <c r="E1504" t="s">
        <v>75</v>
      </c>
    </row>
    <row r="1505" spans="1:5" x14ac:dyDescent="0.3">
      <c r="A1505" t="s">
        <v>2489</v>
      </c>
      <c r="B1505" t="s">
        <v>5441</v>
      </c>
      <c r="C1505" t="s">
        <v>467</v>
      </c>
      <c r="D1505" t="s">
        <v>1362</v>
      </c>
      <c r="E1505" t="s">
        <v>75</v>
      </c>
    </row>
    <row r="1506" spans="1:5" x14ac:dyDescent="0.3">
      <c r="A1506" t="s">
        <v>304</v>
      </c>
      <c r="B1506" t="s">
        <v>5443</v>
      </c>
      <c r="C1506" t="s">
        <v>467</v>
      </c>
      <c r="D1506" t="s">
        <v>1362</v>
      </c>
      <c r="E1506" t="s">
        <v>75</v>
      </c>
    </row>
    <row r="1507" spans="1:5" x14ac:dyDescent="0.3">
      <c r="A1507" t="s">
        <v>3070</v>
      </c>
      <c r="B1507" t="s">
        <v>5445</v>
      </c>
      <c r="C1507" t="s">
        <v>5444</v>
      </c>
      <c r="D1507" t="s">
        <v>1362</v>
      </c>
      <c r="E1507" t="s">
        <v>75</v>
      </c>
    </row>
    <row r="1508" spans="1:5" x14ac:dyDescent="0.3">
      <c r="A1508" t="s">
        <v>864</v>
      </c>
      <c r="B1508" t="s">
        <v>4421</v>
      </c>
      <c r="C1508" t="s">
        <v>459</v>
      </c>
      <c r="D1508" t="s">
        <v>5448</v>
      </c>
      <c r="E1508" t="s">
        <v>841</v>
      </c>
    </row>
    <row r="1509" spans="1:5" x14ac:dyDescent="0.3">
      <c r="A1509" t="s">
        <v>331</v>
      </c>
      <c r="B1509" t="s">
        <v>974</v>
      </c>
      <c r="C1509" t="s">
        <v>461</v>
      </c>
      <c r="D1509" t="s">
        <v>5448</v>
      </c>
      <c r="E1509" t="s">
        <v>841</v>
      </c>
    </row>
    <row r="1510" spans="1:5" x14ac:dyDescent="0.3">
      <c r="A1510" t="s">
        <v>864</v>
      </c>
      <c r="B1510" t="s">
        <v>5450</v>
      </c>
      <c r="C1510" t="s">
        <v>5449</v>
      </c>
      <c r="D1510" t="s">
        <v>5448</v>
      </c>
      <c r="E1510" t="s">
        <v>841</v>
      </c>
    </row>
    <row r="1511" spans="1:5" x14ac:dyDescent="0.3">
      <c r="A1511" t="s">
        <v>250</v>
      </c>
      <c r="B1511" t="s">
        <v>5453</v>
      </c>
      <c r="C1511" t="s">
        <v>467</v>
      </c>
      <c r="D1511" t="s">
        <v>5452</v>
      </c>
      <c r="E1511" t="s">
        <v>18</v>
      </c>
    </row>
    <row r="1512" spans="1:5" x14ac:dyDescent="0.3">
      <c r="A1512" t="s">
        <v>3410</v>
      </c>
      <c r="B1512" t="s">
        <v>5456</v>
      </c>
      <c r="C1512" t="s">
        <v>5455</v>
      </c>
      <c r="D1512" t="s">
        <v>5452</v>
      </c>
      <c r="E1512" t="s">
        <v>18</v>
      </c>
    </row>
    <row r="1513" spans="1:5" x14ac:dyDescent="0.3">
      <c r="A1513" t="s">
        <v>27</v>
      </c>
      <c r="B1513" t="s">
        <v>5457</v>
      </c>
      <c r="C1513" t="s">
        <v>460</v>
      </c>
      <c r="D1513" t="s">
        <v>5452</v>
      </c>
      <c r="E1513" t="s">
        <v>18</v>
      </c>
    </row>
    <row r="1514" spans="1:5" x14ac:dyDescent="0.3">
      <c r="A1514" t="s">
        <v>194</v>
      </c>
      <c r="B1514" t="s">
        <v>142</v>
      </c>
      <c r="C1514" t="s">
        <v>628</v>
      </c>
      <c r="D1514" t="s">
        <v>5458</v>
      </c>
      <c r="E1514" t="s">
        <v>774</v>
      </c>
    </row>
    <row r="1515" spans="1:5" x14ac:dyDescent="0.3">
      <c r="A1515" t="s">
        <v>68</v>
      </c>
      <c r="B1515" t="s">
        <v>5460</v>
      </c>
      <c r="C1515" t="s">
        <v>467</v>
      </c>
      <c r="D1515" t="s">
        <v>5459</v>
      </c>
      <c r="E1515" t="s">
        <v>774</v>
      </c>
    </row>
    <row r="1516" spans="1:5" x14ac:dyDescent="0.3">
      <c r="A1516" t="s">
        <v>77</v>
      </c>
      <c r="B1516" t="s">
        <v>1055</v>
      </c>
      <c r="C1516" t="s">
        <v>467</v>
      </c>
      <c r="D1516" t="s">
        <v>5459</v>
      </c>
      <c r="E1516" t="s">
        <v>774</v>
      </c>
    </row>
    <row r="1517" spans="1:5" x14ac:dyDescent="0.3">
      <c r="A1517" t="s">
        <v>2499</v>
      </c>
      <c r="B1517" t="s">
        <v>3237</v>
      </c>
      <c r="C1517" t="s">
        <v>862</v>
      </c>
      <c r="D1517" t="s">
        <v>5462</v>
      </c>
      <c r="E1517" t="s">
        <v>741</v>
      </c>
    </row>
    <row r="1518" spans="1:5" x14ac:dyDescent="0.3">
      <c r="A1518" t="s">
        <v>2730</v>
      </c>
      <c r="B1518" t="s">
        <v>5465</v>
      </c>
      <c r="C1518" t="s">
        <v>628</v>
      </c>
      <c r="D1518" t="s">
        <v>5462</v>
      </c>
      <c r="E1518" t="s">
        <v>741</v>
      </c>
    </row>
    <row r="1519" spans="1:5" x14ac:dyDescent="0.3">
      <c r="A1519" t="s">
        <v>41</v>
      </c>
      <c r="B1519" t="s">
        <v>1031</v>
      </c>
      <c r="C1519" t="s">
        <v>457</v>
      </c>
      <c r="D1519" t="s">
        <v>5469</v>
      </c>
      <c r="E1519" t="s">
        <v>761</v>
      </c>
    </row>
    <row r="1520" spans="1:5" x14ac:dyDescent="0.3">
      <c r="A1520" t="s">
        <v>3169</v>
      </c>
      <c r="B1520" t="s">
        <v>5472</v>
      </c>
      <c r="C1520" t="s">
        <v>5471</v>
      </c>
      <c r="D1520" t="s">
        <v>5469</v>
      </c>
      <c r="E1520" t="s">
        <v>761</v>
      </c>
    </row>
    <row r="1521" spans="1:5" x14ac:dyDescent="0.3">
      <c r="A1521" t="s">
        <v>5474</v>
      </c>
      <c r="B1521" t="s">
        <v>5475</v>
      </c>
      <c r="C1521" t="s">
        <v>461</v>
      </c>
      <c r="D1521" t="s">
        <v>5473</v>
      </c>
      <c r="E1521" t="s">
        <v>781</v>
      </c>
    </row>
    <row r="1522" spans="1:5" x14ac:dyDescent="0.3">
      <c r="A1522" t="s">
        <v>4607</v>
      </c>
      <c r="B1522" t="s">
        <v>1759</v>
      </c>
      <c r="C1522" t="s">
        <v>5328</v>
      </c>
      <c r="D1522" t="s">
        <v>5473</v>
      </c>
      <c r="E1522" t="s">
        <v>781</v>
      </c>
    </row>
    <row r="1523" spans="1:5" x14ac:dyDescent="0.3">
      <c r="A1523" t="s">
        <v>2696</v>
      </c>
      <c r="B1523" t="s">
        <v>1262</v>
      </c>
      <c r="C1523" t="s">
        <v>5476</v>
      </c>
      <c r="D1523" t="s">
        <v>5473</v>
      </c>
      <c r="E1523" t="s">
        <v>781</v>
      </c>
    </row>
    <row r="1524" spans="1:5" x14ac:dyDescent="0.3">
      <c r="A1524" t="s">
        <v>5478</v>
      </c>
      <c r="B1524" t="s">
        <v>2111</v>
      </c>
      <c r="C1524" t="s">
        <v>459</v>
      </c>
      <c r="D1524" t="s">
        <v>5477</v>
      </c>
      <c r="E1524" t="s">
        <v>781</v>
      </c>
    </row>
    <row r="1525" spans="1:5" x14ac:dyDescent="0.3">
      <c r="A1525" t="s">
        <v>1182</v>
      </c>
      <c r="B1525" t="s">
        <v>5481</v>
      </c>
      <c r="C1525" t="s">
        <v>5480</v>
      </c>
      <c r="D1525" t="s">
        <v>5479</v>
      </c>
      <c r="E1525" t="s">
        <v>75</v>
      </c>
    </row>
    <row r="1526" spans="1:5" x14ac:dyDescent="0.3">
      <c r="A1526" t="s">
        <v>3240</v>
      </c>
      <c r="B1526" t="s">
        <v>5482</v>
      </c>
      <c r="C1526" t="s">
        <v>467</v>
      </c>
      <c r="D1526" t="s">
        <v>5479</v>
      </c>
      <c r="E1526" t="s">
        <v>75</v>
      </c>
    </row>
    <row r="1527" spans="1:5" x14ac:dyDescent="0.3">
      <c r="A1527" t="s">
        <v>5484</v>
      </c>
      <c r="B1527" t="s">
        <v>5485</v>
      </c>
      <c r="C1527" t="s">
        <v>628</v>
      </c>
      <c r="D1527" t="s">
        <v>5483</v>
      </c>
      <c r="E1527" t="s">
        <v>75</v>
      </c>
    </row>
    <row r="1528" spans="1:5" x14ac:dyDescent="0.3">
      <c r="A1528" t="s">
        <v>5489</v>
      </c>
      <c r="B1528" t="s">
        <v>5490</v>
      </c>
      <c r="C1528" t="s">
        <v>3555</v>
      </c>
      <c r="D1528" t="s">
        <v>4589</v>
      </c>
      <c r="E1528" t="s">
        <v>781</v>
      </c>
    </row>
    <row r="1529" spans="1:5" x14ac:dyDescent="0.3">
      <c r="A1529" t="s">
        <v>931</v>
      </c>
      <c r="B1529" t="s">
        <v>3429</v>
      </c>
      <c r="C1529" t="s">
        <v>467</v>
      </c>
      <c r="D1529" t="s">
        <v>5492</v>
      </c>
      <c r="E1529" t="s">
        <v>781</v>
      </c>
    </row>
    <row r="1530" spans="1:5" x14ac:dyDescent="0.3">
      <c r="A1530" t="s">
        <v>58</v>
      </c>
      <c r="B1530" t="s">
        <v>5494</v>
      </c>
      <c r="C1530" t="s">
        <v>467</v>
      </c>
      <c r="D1530" t="s">
        <v>5493</v>
      </c>
      <c r="E1530" t="s">
        <v>781</v>
      </c>
    </row>
    <row r="1531" spans="1:5" x14ac:dyDescent="0.3">
      <c r="A1531" t="s">
        <v>58</v>
      </c>
      <c r="B1531" t="s">
        <v>5495</v>
      </c>
      <c r="C1531" t="s">
        <v>467</v>
      </c>
      <c r="D1531" t="s">
        <v>5493</v>
      </c>
      <c r="E1531" t="s">
        <v>781</v>
      </c>
    </row>
    <row r="1532" spans="1:5" x14ac:dyDescent="0.3">
      <c r="A1532" t="s">
        <v>58</v>
      </c>
      <c r="B1532" t="s">
        <v>5497</v>
      </c>
      <c r="C1532" t="s">
        <v>455</v>
      </c>
      <c r="D1532" t="s">
        <v>5493</v>
      </c>
      <c r="E1532" t="s">
        <v>781</v>
      </c>
    </row>
    <row r="1533" spans="1:5" x14ac:dyDescent="0.3">
      <c r="A1533" t="s">
        <v>5499</v>
      </c>
      <c r="B1533" t="s">
        <v>5500</v>
      </c>
      <c r="C1533" t="s">
        <v>461</v>
      </c>
    </row>
    <row r="1534" spans="1:5" x14ac:dyDescent="0.3">
      <c r="A1534" t="s">
        <v>224</v>
      </c>
      <c r="B1534" t="s">
        <v>5503</v>
      </c>
      <c r="C1534" t="s">
        <v>467</v>
      </c>
      <c r="D1534" t="s">
        <v>5502</v>
      </c>
      <c r="E1534" t="s">
        <v>741</v>
      </c>
    </row>
    <row r="1535" spans="1:5" x14ac:dyDescent="0.3">
      <c r="A1535" t="s">
        <v>298</v>
      </c>
      <c r="B1535" t="s">
        <v>2802</v>
      </c>
      <c r="C1535" t="s">
        <v>698</v>
      </c>
      <c r="D1535" t="s">
        <v>5502</v>
      </c>
      <c r="E1535" t="s">
        <v>741</v>
      </c>
    </row>
    <row r="1536" spans="1:5" x14ac:dyDescent="0.3">
      <c r="A1536" t="s">
        <v>259</v>
      </c>
      <c r="B1536" t="s">
        <v>5354</v>
      </c>
      <c r="C1536" t="s">
        <v>456</v>
      </c>
      <c r="D1536" t="s">
        <v>5502</v>
      </c>
      <c r="E1536" t="s">
        <v>741</v>
      </c>
    </row>
    <row r="1537" spans="1:5" x14ac:dyDescent="0.3">
      <c r="A1537" t="s">
        <v>146</v>
      </c>
      <c r="B1537" t="s">
        <v>1837</v>
      </c>
      <c r="C1537" t="s">
        <v>461</v>
      </c>
      <c r="D1537" t="s">
        <v>4860</v>
      </c>
      <c r="E1537" t="s">
        <v>781</v>
      </c>
    </row>
    <row r="1538" spans="1:5" x14ac:dyDescent="0.3">
      <c r="A1538" t="s">
        <v>1494</v>
      </c>
      <c r="B1538" t="s">
        <v>5507</v>
      </c>
      <c r="C1538" t="s">
        <v>460</v>
      </c>
      <c r="D1538" t="s">
        <v>4860</v>
      </c>
      <c r="E1538" t="s">
        <v>781</v>
      </c>
    </row>
    <row r="1539" spans="1:5" x14ac:dyDescent="0.3">
      <c r="A1539" t="s">
        <v>1221</v>
      </c>
      <c r="B1539" t="s">
        <v>5509</v>
      </c>
      <c r="C1539" t="s">
        <v>467</v>
      </c>
      <c r="D1539" t="s">
        <v>2330</v>
      </c>
      <c r="E1539" t="s">
        <v>841</v>
      </c>
    </row>
    <row r="1540" spans="1:5" x14ac:dyDescent="0.3">
      <c r="A1540" t="s">
        <v>181</v>
      </c>
      <c r="B1540" t="s">
        <v>131</v>
      </c>
      <c r="C1540" t="s">
        <v>862</v>
      </c>
      <c r="D1540" t="s">
        <v>895</v>
      </c>
      <c r="E1540" t="s">
        <v>897</v>
      </c>
    </row>
    <row r="1541" spans="1:5" x14ac:dyDescent="0.3">
      <c r="A1541" t="s">
        <v>220</v>
      </c>
      <c r="B1541" t="s">
        <v>3885</v>
      </c>
      <c r="C1541" t="s">
        <v>5513</v>
      </c>
      <c r="D1541" t="s">
        <v>895</v>
      </c>
      <c r="E1541" t="s">
        <v>897</v>
      </c>
    </row>
    <row r="1542" spans="1:5" x14ac:dyDescent="0.3">
      <c r="A1542" t="s">
        <v>230</v>
      </c>
      <c r="B1542" t="s">
        <v>182</v>
      </c>
      <c r="C1542" t="s">
        <v>862</v>
      </c>
      <c r="D1542" t="s">
        <v>895</v>
      </c>
      <c r="E1542" t="s">
        <v>897</v>
      </c>
    </row>
    <row r="1543" spans="1:5" x14ac:dyDescent="0.3">
      <c r="A1543" t="s">
        <v>5514</v>
      </c>
      <c r="B1543" t="s">
        <v>1613</v>
      </c>
      <c r="C1543" t="s">
        <v>5515</v>
      </c>
      <c r="D1543" t="s">
        <v>895</v>
      </c>
      <c r="E1543" t="s">
        <v>897</v>
      </c>
    </row>
    <row r="1544" spans="1:5" x14ac:dyDescent="0.3">
      <c r="A1544" t="s">
        <v>2727</v>
      </c>
      <c r="B1544" t="s">
        <v>5517</v>
      </c>
      <c r="C1544" t="s">
        <v>862</v>
      </c>
      <c r="D1544" t="s">
        <v>895</v>
      </c>
      <c r="E1544" t="s">
        <v>897</v>
      </c>
    </row>
    <row r="1545" spans="1:5" x14ac:dyDescent="0.3">
      <c r="A1545" t="s">
        <v>63</v>
      </c>
      <c r="B1545" t="s">
        <v>1758</v>
      </c>
      <c r="C1545" t="s">
        <v>5518</v>
      </c>
      <c r="D1545" t="s">
        <v>895</v>
      </c>
      <c r="E1545" t="s">
        <v>897</v>
      </c>
    </row>
    <row r="1546" spans="1:5" x14ac:dyDescent="0.3">
      <c r="A1546" t="s">
        <v>313</v>
      </c>
      <c r="B1546" t="s">
        <v>4419</v>
      </c>
      <c r="C1546" t="s">
        <v>5520</v>
      </c>
      <c r="D1546" t="s">
        <v>895</v>
      </c>
      <c r="E1546" t="s">
        <v>897</v>
      </c>
    </row>
    <row r="1547" spans="1:5" x14ac:dyDescent="0.3">
      <c r="A1547" t="s">
        <v>2109</v>
      </c>
      <c r="B1547" t="s">
        <v>5523</v>
      </c>
      <c r="C1547" t="s">
        <v>467</v>
      </c>
      <c r="D1547" t="s">
        <v>5522</v>
      </c>
      <c r="E1547" t="s">
        <v>774</v>
      </c>
    </row>
    <row r="1548" spans="1:5" x14ac:dyDescent="0.3">
      <c r="A1548" t="s">
        <v>2342</v>
      </c>
      <c r="B1548" t="s">
        <v>5526</v>
      </c>
      <c r="C1548" t="s">
        <v>5525</v>
      </c>
      <c r="D1548" t="s">
        <v>5524</v>
      </c>
      <c r="E1548" t="s">
        <v>774</v>
      </c>
    </row>
    <row r="1549" spans="1:5" x14ac:dyDescent="0.3">
      <c r="A1549" t="s">
        <v>5528</v>
      </c>
      <c r="B1549" t="s">
        <v>5530</v>
      </c>
      <c r="C1549" t="s">
        <v>5529</v>
      </c>
      <c r="D1549" t="s">
        <v>5527</v>
      </c>
      <c r="E1549" t="s">
        <v>2175</v>
      </c>
    </row>
    <row r="1550" spans="1:5" x14ac:dyDescent="0.3">
      <c r="A1550" t="s">
        <v>2849</v>
      </c>
      <c r="B1550" t="s">
        <v>5533</v>
      </c>
      <c r="C1550" t="s">
        <v>5532</v>
      </c>
      <c r="D1550" t="s">
        <v>5531</v>
      </c>
      <c r="E1550" t="s">
        <v>774</v>
      </c>
    </row>
    <row r="1551" spans="1:5" x14ac:dyDescent="0.3">
      <c r="A1551" t="s">
        <v>1594</v>
      </c>
      <c r="B1551" t="s">
        <v>3896</v>
      </c>
      <c r="C1551" t="s">
        <v>5535</v>
      </c>
      <c r="D1551" t="s">
        <v>5140</v>
      </c>
      <c r="E1551" t="s">
        <v>18</v>
      </c>
    </row>
    <row r="1552" spans="1:5" x14ac:dyDescent="0.3">
      <c r="A1552" t="s">
        <v>5536</v>
      </c>
      <c r="B1552" t="s">
        <v>5537</v>
      </c>
      <c r="C1552" t="s">
        <v>459</v>
      </c>
      <c r="D1552" t="s">
        <v>5140</v>
      </c>
      <c r="E1552" t="s">
        <v>18</v>
      </c>
    </row>
    <row r="1553" spans="1:5" x14ac:dyDescent="0.3">
      <c r="A1553" t="s">
        <v>352</v>
      </c>
      <c r="B1553" t="s">
        <v>5538</v>
      </c>
      <c r="C1553" t="s">
        <v>467</v>
      </c>
      <c r="D1553" t="s">
        <v>5140</v>
      </c>
      <c r="E1553" t="s">
        <v>18</v>
      </c>
    </row>
    <row r="1554" spans="1:5" x14ac:dyDescent="0.3">
      <c r="A1554" t="s">
        <v>253</v>
      </c>
      <c r="B1554" t="s">
        <v>5539</v>
      </c>
      <c r="C1554" t="s">
        <v>862</v>
      </c>
      <c r="D1554" t="s">
        <v>4750</v>
      </c>
      <c r="E1554" t="s">
        <v>841</v>
      </c>
    </row>
    <row r="1555" spans="1:5" x14ac:dyDescent="0.3">
      <c r="A1555" t="s">
        <v>160</v>
      </c>
      <c r="B1555" t="s">
        <v>5545</v>
      </c>
      <c r="C1555" t="s">
        <v>467</v>
      </c>
      <c r="D1555" t="s">
        <v>5544</v>
      </c>
      <c r="E1555" t="s">
        <v>75</v>
      </c>
    </row>
    <row r="1556" spans="1:5" x14ac:dyDescent="0.3">
      <c r="A1556" t="s">
        <v>132</v>
      </c>
      <c r="B1556" t="s">
        <v>5547</v>
      </c>
      <c r="C1556" t="s">
        <v>5546</v>
      </c>
      <c r="D1556" t="s">
        <v>5543</v>
      </c>
      <c r="E1556" t="s">
        <v>75</v>
      </c>
    </row>
    <row r="1557" spans="1:5" x14ac:dyDescent="0.3">
      <c r="A1557" t="s">
        <v>146</v>
      </c>
      <c r="B1557" t="s">
        <v>3619</v>
      </c>
      <c r="C1557" t="s">
        <v>5548</v>
      </c>
      <c r="D1557" t="s">
        <v>2658</v>
      </c>
      <c r="E1557" t="s">
        <v>781</v>
      </c>
    </row>
    <row r="1558" spans="1:5" x14ac:dyDescent="0.3">
      <c r="A1558" t="s">
        <v>2483</v>
      </c>
      <c r="B1558" t="s">
        <v>1420</v>
      </c>
      <c r="C1558" t="s">
        <v>456</v>
      </c>
      <c r="D1558" t="s">
        <v>5549</v>
      </c>
      <c r="E1558" t="s">
        <v>75</v>
      </c>
    </row>
    <row r="1559" spans="1:5" x14ac:dyDescent="0.3">
      <c r="A1559" t="s">
        <v>5202</v>
      </c>
      <c r="B1559" t="s">
        <v>169</v>
      </c>
      <c r="C1559" t="s">
        <v>454</v>
      </c>
      <c r="D1559" t="s">
        <v>5549</v>
      </c>
      <c r="E1559" t="s">
        <v>75</v>
      </c>
    </row>
    <row r="1560" spans="1:5" x14ac:dyDescent="0.3">
      <c r="A1560" t="s">
        <v>5550</v>
      </c>
      <c r="B1560" t="s">
        <v>4128</v>
      </c>
      <c r="C1560" t="s">
        <v>467</v>
      </c>
      <c r="D1560" t="s">
        <v>5549</v>
      </c>
      <c r="E1560" t="s">
        <v>75</v>
      </c>
    </row>
    <row r="1561" spans="1:5" x14ac:dyDescent="0.3">
      <c r="A1561" t="s">
        <v>5551</v>
      </c>
      <c r="B1561" t="s">
        <v>3604</v>
      </c>
      <c r="C1561" t="s">
        <v>5552</v>
      </c>
      <c r="D1561" t="s">
        <v>2171</v>
      </c>
      <c r="E1561" t="s">
        <v>741</v>
      </c>
    </row>
    <row r="1562" spans="1:5" x14ac:dyDescent="0.3">
      <c r="A1562" t="s">
        <v>864</v>
      </c>
      <c r="B1562" t="s">
        <v>5554</v>
      </c>
      <c r="C1562" t="s">
        <v>467</v>
      </c>
      <c r="D1562" t="s">
        <v>2171</v>
      </c>
      <c r="E1562" t="s">
        <v>741</v>
      </c>
    </row>
    <row r="1563" spans="1:5" x14ac:dyDescent="0.3">
      <c r="A1563" t="s">
        <v>133</v>
      </c>
      <c r="B1563" t="s">
        <v>5050</v>
      </c>
      <c r="C1563" t="s">
        <v>467</v>
      </c>
      <c r="D1563" t="s">
        <v>2171</v>
      </c>
      <c r="E1563" t="s">
        <v>741</v>
      </c>
    </row>
    <row r="1564" spans="1:5" x14ac:dyDescent="0.3">
      <c r="A1564" t="s">
        <v>4841</v>
      </c>
      <c r="B1564" t="s">
        <v>5557</v>
      </c>
      <c r="C1564" t="s">
        <v>460</v>
      </c>
      <c r="D1564" t="s">
        <v>5556</v>
      </c>
      <c r="E1564" t="s">
        <v>781</v>
      </c>
    </row>
    <row r="1565" spans="1:5" x14ac:dyDescent="0.3">
      <c r="A1565" t="s">
        <v>230</v>
      </c>
      <c r="B1565" t="s">
        <v>5559</v>
      </c>
      <c r="C1565" t="s">
        <v>628</v>
      </c>
      <c r="D1565" t="s">
        <v>5558</v>
      </c>
      <c r="E1565" t="s">
        <v>75</v>
      </c>
    </row>
    <row r="1566" spans="1:5" x14ac:dyDescent="0.3">
      <c r="A1566" t="s">
        <v>4568</v>
      </c>
      <c r="B1566" t="s">
        <v>2386</v>
      </c>
      <c r="C1566" t="s">
        <v>5560</v>
      </c>
      <c r="D1566" t="s">
        <v>5558</v>
      </c>
      <c r="E1566" t="s">
        <v>75</v>
      </c>
    </row>
    <row r="1567" spans="1:5" x14ac:dyDescent="0.3">
      <c r="A1567" t="s">
        <v>3006</v>
      </c>
      <c r="B1567" t="s">
        <v>3662</v>
      </c>
      <c r="C1567" t="s">
        <v>518</v>
      </c>
      <c r="D1567" t="s">
        <v>5563</v>
      </c>
      <c r="E1567" t="s">
        <v>741</v>
      </c>
    </row>
    <row r="1568" spans="1:5" x14ac:dyDescent="0.3">
      <c r="A1568" t="s">
        <v>860</v>
      </c>
      <c r="B1568" t="s">
        <v>108</v>
      </c>
      <c r="C1568" t="s">
        <v>2571</v>
      </c>
      <c r="D1568" t="s">
        <v>5563</v>
      </c>
      <c r="E1568" t="s">
        <v>741</v>
      </c>
    </row>
    <row r="1569" spans="1:5" x14ac:dyDescent="0.3">
      <c r="A1569" t="s">
        <v>2787</v>
      </c>
      <c r="B1569" t="s">
        <v>5565</v>
      </c>
      <c r="C1569" t="s">
        <v>467</v>
      </c>
      <c r="D1569" t="s">
        <v>5563</v>
      </c>
      <c r="E1569" t="s">
        <v>741</v>
      </c>
    </row>
    <row r="1570" spans="1:5" x14ac:dyDescent="0.3">
      <c r="A1570" t="s">
        <v>5564</v>
      </c>
      <c r="B1570" t="s">
        <v>3793</v>
      </c>
      <c r="C1570" t="s">
        <v>5566</v>
      </c>
      <c r="D1570" t="s">
        <v>5563</v>
      </c>
      <c r="E1570" t="s">
        <v>741</v>
      </c>
    </row>
    <row r="1571" spans="1:5" x14ac:dyDescent="0.3">
      <c r="A1571" t="s">
        <v>1182</v>
      </c>
      <c r="B1571" t="s">
        <v>5567</v>
      </c>
      <c r="C1571" t="s">
        <v>456</v>
      </c>
      <c r="D1571" t="s">
        <v>5563</v>
      </c>
      <c r="E1571" t="s">
        <v>741</v>
      </c>
    </row>
    <row r="1572" spans="1:5" x14ac:dyDescent="0.3">
      <c r="A1572" t="s">
        <v>122</v>
      </c>
      <c r="B1572" t="s">
        <v>5571</v>
      </c>
      <c r="C1572" t="s">
        <v>5570</v>
      </c>
      <c r="D1572" t="s">
        <v>5569</v>
      </c>
      <c r="E1572" t="s">
        <v>2175</v>
      </c>
    </row>
    <row r="1573" spans="1:5" x14ac:dyDescent="0.3">
      <c r="A1573" t="s">
        <v>53</v>
      </c>
      <c r="B1573" t="s">
        <v>3499</v>
      </c>
      <c r="C1573" t="s">
        <v>4057</v>
      </c>
      <c r="D1573" t="s">
        <v>5569</v>
      </c>
      <c r="E1573" t="s">
        <v>2175</v>
      </c>
    </row>
    <row r="1574" spans="1:5" x14ac:dyDescent="0.3">
      <c r="A1574" t="s">
        <v>224</v>
      </c>
      <c r="B1574" t="s">
        <v>5573</v>
      </c>
      <c r="C1574" t="s">
        <v>457</v>
      </c>
      <c r="D1574" t="s">
        <v>5572</v>
      </c>
      <c r="E1574" t="s">
        <v>75</v>
      </c>
    </row>
    <row r="1575" spans="1:5" x14ac:dyDescent="0.3">
      <c r="A1575" t="s">
        <v>220</v>
      </c>
      <c r="B1575" t="s">
        <v>5369</v>
      </c>
      <c r="C1575" t="s">
        <v>467</v>
      </c>
      <c r="D1575" t="s">
        <v>1554</v>
      </c>
      <c r="E1575" t="s">
        <v>1</v>
      </c>
    </row>
    <row r="1576" spans="1:5" x14ac:dyDescent="0.3">
      <c r="A1576" t="s">
        <v>5575</v>
      </c>
      <c r="B1576" t="s">
        <v>5436</v>
      </c>
      <c r="C1576" t="s">
        <v>461</v>
      </c>
    </row>
    <row r="1577" spans="1:5" x14ac:dyDescent="0.3">
      <c r="A1577" t="s">
        <v>150</v>
      </c>
      <c r="B1577" t="s">
        <v>5579</v>
      </c>
      <c r="C1577" t="s">
        <v>467</v>
      </c>
      <c r="D1577" t="s">
        <v>5578</v>
      </c>
      <c r="E1577" t="s">
        <v>2175</v>
      </c>
    </row>
    <row r="1578" spans="1:5" x14ac:dyDescent="0.3">
      <c r="A1578" t="s">
        <v>5580</v>
      </c>
      <c r="B1578" t="s">
        <v>5582</v>
      </c>
      <c r="C1578" t="s">
        <v>5581</v>
      </c>
      <c r="D1578" t="s">
        <v>5578</v>
      </c>
      <c r="E1578" t="s">
        <v>2175</v>
      </c>
    </row>
    <row r="1579" spans="1:5" x14ac:dyDescent="0.3">
      <c r="A1579" t="s">
        <v>123</v>
      </c>
      <c r="B1579" t="s">
        <v>5584</v>
      </c>
      <c r="C1579" t="s">
        <v>456</v>
      </c>
      <c r="D1579" t="s">
        <v>5583</v>
      </c>
      <c r="E1579" t="s">
        <v>781</v>
      </c>
    </row>
    <row r="1580" spans="1:5" x14ac:dyDescent="0.3">
      <c r="A1580" t="s">
        <v>182</v>
      </c>
      <c r="B1580" t="s">
        <v>5141</v>
      </c>
      <c r="C1580" t="s">
        <v>455</v>
      </c>
      <c r="D1580" t="s">
        <v>5583</v>
      </c>
      <c r="E1580" t="s">
        <v>781</v>
      </c>
    </row>
    <row r="1581" spans="1:5" x14ac:dyDescent="0.3">
      <c r="A1581" t="s">
        <v>132</v>
      </c>
      <c r="B1581" t="s">
        <v>252</v>
      </c>
      <c r="C1581" t="s">
        <v>467</v>
      </c>
      <c r="D1581" t="s">
        <v>5583</v>
      </c>
      <c r="E1581" t="s">
        <v>781</v>
      </c>
    </row>
    <row r="1582" spans="1:5" x14ac:dyDescent="0.3">
      <c r="A1582" t="s">
        <v>209</v>
      </c>
      <c r="B1582" t="s">
        <v>5586</v>
      </c>
      <c r="C1582" t="s">
        <v>467</v>
      </c>
      <c r="D1582" t="s">
        <v>3228</v>
      </c>
      <c r="E1582" t="s">
        <v>1</v>
      </c>
    </row>
    <row r="1583" spans="1:5" x14ac:dyDescent="0.3">
      <c r="A1583" t="s">
        <v>259</v>
      </c>
      <c r="B1583" t="s">
        <v>4306</v>
      </c>
      <c r="C1583" t="s">
        <v>455</v>
      </c>
      <c r="D1583" t="s">
        <v>3228</v>
      </c>
      <c r="E1583" t="s">
        <v>1</v>
      </c>
    </row>
    <row r="1584" spans="1:5" x14ac:dyDescent="0.3">
      <c r="A1584" t="s">
        <v>404</v>
      </c>
      <c r="B1584" t="s">
        <v>5590</v>
      </c>
      <c r="C1584" t="s">
        <v>5589</v>
      </c>
      <c r="D1584" t="s">
        <v>3228</v>
      </c>
      <c r="E1584" t="s">
        <v>1</v>
      </c>
    </row>
    <row r="1585" spans="1:5" x14ac:dyDescent="0.3">
      <c r="A1585" t="s">
        <v>5592</v>
      </c>
      <c r="B1585" t="s">
        <v>5594</v>
      </c>
      <c r="C1585" t="s">
        <v>5593</v>
      </c>
      <c r="D1585" t="s">
        <v>5591</v>
      </c>
      <c r="E1585" t="s">
        <v>75</v>
      </c>
    </row>
    <row r="1586" spans="1:5" x14ac:dyDescent="0.3">
      <c r="A1586" t="s">
        <v>2441</v>
      </c>
      <c r="B1586" t="s">
        <v>5596</v>
      </c>
      <c r="C1586" t="s">
        <v>5595</v>
      </c>
      <c r="D1586" t="s">
        <v>5591</v>
      </c>
      <c r="E1586" t="s">
        <v>75</v>
      </c>
    </row>
    <row r="1587" spans="1:5" x14ac:dyDescent="0.3">
      <c r="A1587" t="s">
        <v>4174</v>
      </c>
      <c r="B1587" t="s">
        <v>5602</v>
      </c>
      <c r="C1587" t="s">
        <v>5601</v>
      </c>
      <c r="D1587" t="s">
        <v>5591</v>
      </c>
      <c r="E1587" t="s">
        <v>75</v>
      </c>
    </row>
    <row r="1588" spans="1:5" x14ac:dyDescent="0.3">
      <c r="A1588" t="s">
        <v>1358</v>
      </c>
      <c r="B1588" t="s">
        <v>5606</v>
      </c>
      <c r="C1588" t="s">
        <v>467</v>
      </c>
      <c r="D1588" t="s">
        <v>5604</v>
      </c>
      <c r="E1588" t="s">
        <v>75</v>
      </c>
    </row>
    <row r="1589" spans="1:5" x14ac:dyDescent="0.3">
      <c r="A1589" t="s">
        <v>1334</v>
      </c>
      <c r="B1589" t="s">
        <v>5611</v>
      </c>
      <c r="C1589" t="s">
        <v>5610</v>
      </c>
      <c r="D1589" t="s">
        <v>906</v>
      </c>
      <c r="E1589" t="s">
        <v>1</v>
      </c>
    </row>
    <row r="1590" spans="1:5" x14ac:dyDescent="0.3">
      <c r="A1590" t="s">
        <v>77</v>
      </c>
      <c r="B1590" t="s">
        <v>5612</v>
      </c>
      <c r="C1590" t="s">
        <v>467</v>
      </c>
      <c r="D1590" t="s">
        <v>5607</v>
      </c>
      <c r="E1590" t="s">
        <v>1</v>
      </c>
    </row>
    <row r="1591" spans="1:5" x14ac:dyDescent="0.3">
      <c r="A1591" t="s">
        <v>3806</v>
      </c>
      <c r="B1591" t="s">
        <v>5614</v>
      </c>
      <c r="C1591" t="s">
        <v>5613</v>
      </c>
      <c r="D1591" t="s">
        <v>951</v>
      </c>
      <c r="E1591" t="s">
        <v>1</v>
      </c>
    </row>
    <row r="1592" spans="1:5" x14ac:dyDescent="0.3">
      <c r="A1592" t="s">
        <v>1647</v>
      </c>
      <c r="B1592" t="s">
        <v>5617</v>
      </c>
      <c r="C1592" t="s">
        <v>459</v>
      </c>
      <c r="D1592" t="s">
        <v>5616</v>
      </c>
      <c r="E1592" t="s">
        <v>18</v>
      </c>
    </row>
    <row r="1593" spans="1:5" x14ac:dyDescent="0.3">
      <c r="A1593" t="s">
        <v>5619</v>
      </c>
      <c r="B1593" t="s">
        <v>5620</v>
      </c>
      <c r="C1593" t="s">
        <v>459</v>
      </c>
      <c r="D1593" t="s">
        <v>1009</v>
      </c>
      <c r="E1593" t="s">
        <v>18</v>
      </c>
    </row>
    <row r="1594" spans="1:5" x14ac:dyDescent="0.3">
      <c r="A1594" t="s">
        <v>130</v>
      </c>
      <c r="B1594" t="s">
        <v>5623</v>
      </c>
      <c r="C1594" t="s">
        <v>628</v>
      </c>
      <c r="D1594" t="s">
        <v>5075</v>
      </c>
      <c r="E1594" t="s">
        <v>781</v>
      </c>
    </row>
    <row r="1595" spans="1:5" x14ac:dyDescent="0.3">
      <c r="A1595" t="s">
        <v>50</v>
      </c>
      <c r="B1595" t="s">
        <v>5626</v>
      </c>
      <c r="C1595" t="s">
        <v>2571</v>
      </c>
      <c r="D1595" t="s">
        <v>5075</v>
      </c>
      <c r="E1595" t="s">
        <v>781</v>
      </c>
    </row>
    <row r="1596" spans="1:5" x14ac:dyDescent="0.3">
      <c r="A1596" t="s">
        <v>113</v>
      </c>
      <c r="B1596" t="s">
        <v>5628</v>
      </c>
      <c r="C1596" t="s">
        <v>5627</v>
      </c>
      <c r="D1596" t="s">
        <v>5075</v>
      </c>
      <c r="E1596" t="s">
        <v>781</v>
      </c>
    </row>
    <row r="1597" spans="1:5" x14ac:dyDescent="0.3">
      <c r="A1597" t="s">
        <v>5630</v>
      </c>
      <c r="B1597" t="s">
        <v>5632</v>
      </c>
      <c r="C1597" t="s">
        <v>5631</v>
      </c>
      <c r="D1597" t="s">
        <v>5075</v>
      </c>
      <c r="E1597" t="s">
        <v>781</v>
      </c>
    </row>
    <row r="1598" spans="1:5" x14ac:dyDescent="0.3">
      <c r="A1598" t="s">
        <v>5637</v>
      </c>
      <c r="B1598" t="s">
        <v>5638</v>
      </c>
      <c r="C1598" t="s">
        <v>862</v>
      </c>
      <c r="D1598" t="s">
        <v>806</v>
      </c>
      <c r="E1598" t="s">
        <v>1</v>
      </c>
    </row>
    <row r="1599" spans="1:5" x14ac:dyDescent="0.3">
      <c r="A1599" t="s">
        <v>35</v>
      </c>
      <c r="B1599" t="s">
        <v>151</v>
      </c>
      <c r="C1599" t="s">
        <v>5639</v>
      </c>
      <c r="D1599" t="s">
        <v>806</v>
      </c>
      <c r="E1599" t="s">
        <v>1</v>
      </c>
    </row>
    <row r="1600" spans="1:5" x14ac:dyDescent="0.3">
      <c r="A1600" t="s">
        <v>5640</v>
      </c>
      <c r="B1600" t="s">
        <v>5641</v>
      </c>
      <c r="C1600" t="s">
        <v>862</v>
      </c>
      <c r="D1600" t="s">
        <v>806</v>
      </c>
      <c r="E1600" t="s">
        <v>1</v>
      </c>
    </row>
    <row r="1601" spans="1:5" x14ac:dyDescent="0.3">
      <c r="A1601" t="s">
        <v>41</v>
      </c>
      <c r="B1601" t="s">
        <v>4989</v>
      </c>
      <c r="C1601" t="s">
        <v>461</v>
      </c>
      <c r="D1601" t="s">
        <v>5645</v>
      </c>
      <c r="E1601" t="s">
        <v>761</v>
      </c>
    </row>
    <row r="1602" spans="1:5" x14ac:dyDescent="0.3">
      <c r="A1602" t="s">
        <v>34</v>
      </c>
      <c r="B1602" t="s">
        <v>5647</v>
      </c>
      <c r="C1602" t="s">
        <v>467</v>
      </c>
      <c r="D1602" t="s">
        <v>806</v>
      </c>
      <c r="E1602" t="s">
        <v>1</v>
      </c>
    </row>
    <row r="1603" spans="1:5" x14ac:dyDescent="0.3">
      <c r="A1603" t="s">
        <v>798</v>
      </c>
      <c r="B1603" t="s">
        <v>4125</v>
      </c>
      <c r="C1603" t="s">
        <v>862</v>
      </c>
      <c r="D1603" t="s">
        <v>806</v>
      </c>
      <c r="E1603" t="s">
        <v>1</v>
      </c>
    </row>
    <row r="1604" spans="1:5" x14ac:dyDescent="0.3">
      <c r="A1604" t="s">
        <v>222</v>
      </c>
      <c r="B1604" t="s">
        <v>5649</v>
      </c>
      <c r="C1604" t="s">
        <v>862</v>
      </c>
      <c r="D1604" t="s">
        <v>806</v>
      </c>
      <c r="E1604" t="s">
        <v>1</v>
      </c>
    </row>
    <row r="1605" spans="1:5" x14ac:dyDescent="0.3">
      <c r="A1605" t="s">
        <v>3806</v>
      </c>
      <c r="B1605" t="s">
        <v>5650</v>
      </c>
      <c r="C1605" t="s">
        <v>467</v>
      </c>
      <c r="D1605" t="s">
        <v>806</v>
      </c>
      <c r="E1605" t="s">
        <v>1</v>
      </c>
    </row>
    <row r="1606" spans="1:5" x14ac:dyDescent="0.3">
      <c r="A1606" t="s">
        <v>2907</v>
      </c>
      <c r="B1606" t="s">
        <v>1179</v>
      </c>
      <c r="C1606" t="s">
        <v>5651</v>
      </c>
    </row>
    <row r="1607" spans="1:5" x14ac:dyDescent="0.3">
      <c r="A1607" t="s">
        <v>2008</v>
      </c>
      <c r="B1607" t="s">
        <v>5653</v>
      </c>
      <c r="C1607" t="s">
        <v>518</v>
      </c>
    </row>
    <row r="1608" spans="1:5" x14ac:dyDescent="0.3">
      <c r="B1608" t="s">
        <v>5657</v>
      </c>
      <c r="C1608" t="s">
        <v>5656</v>
      </c>
      <c r="D1608" t="s">
        <v>5655</v>
      </c>
      <c r="E1608" t="s">
        <v>781</v>
      </c>
    </row>
    <row r="1609" spans="1:5" x14ac:dyDescent="0.3">
      <c r="A1609" t="s">
        <v>82</v>
      </c>
      <c r="B1609" t="s">
        <v>5660</v>
      </c>
      <c r="C1609" t="s">
        <v>5659</v>
      </c>
      <c r="D1609" t="s">
        <v>5658</v>
      </c>
      <c r="E1609" t="s">
        <v>774</v>
      </c>
    </row>
    <row r="1610" spans="1:5" x14ac:dyDescent="0.3">
      <c r="A1610" t="s">
        <v>27</v>
      </c>
      <c r="B1610" t="s">
        <v>5662</v>
      </c>
      <c r="C1610" t="s">
        <v>5661</v>
      </c>
      <c r="D1610" t="s">
        <v>960</v>
      </c>
      <c r="E1610" t="s">
        <v>774</v>
      </c>
    </row>
    <row r="1611" spans="1:5" x14ac:dyDescent="0.3">
      <c r="A1611" t="s">
        <v>5663</v>
      </c>
      <c r="B1611" t="s">
        <v>5665</v>
      </c>
      <c r="C1611" t="s">
        <v>5664</v>
      </c>
      <c r="D1611" t="s">
        <v>5379</v>
      </c>
      <c r="E1611" t="s">
        <v>741</v>
      </c>
    </row>
    <row r="1612" spans="1:5" x14ac:dyDescent="0.3">
      <c r="A1612" t="s">
        <v>305</v>
      </c>
      <c r="B1612" t="s">
        <v>5667</v>
      </c>
      <c r="C1612" t="s">
        <v>5666</v>
      </c>
      <c r="D1612" t="s">
        <v>5379</v>
      </c>
      <c r="E1612" t="s">
        <v>741</v>
      </c>
    </row>
    <row r="1613" spans="1:5" x14ac:dyDescent="0.3">
      <c r="A1613" t="s">
        <v>5669</v>
      </c>
      <c r="B1613" t="s">
        <v>5671</v>
      </c>
      <c r="C1613" t="s">
        <v>5670</v>
      </c>
      <c r="D1613" t="s">
        <v>5379</v>
      </c>
      <c r="E1613" t="s">
        <v>741</v>
      </c>
    </row>
    <row r="1614" spans="1:5" x14ac:dyDescent="0.3">
      <c r="A1614" t="s">
        <v>5673</v>
      </c>
      <c r="B1614" t="s">
        <v>5674</v>
      </c>
      <c r="C1614" t="s">
        <v>467</v>
      </c>
      <c r="D1614" t="s">
        <v>3690</v>
      </c>
      <c r="E1614" t="s">
        <v>75</v>
      </c>
    </row>
    <row r="1615" spans="1:5" x14ac:dyDescent="0.3">
      <c r="A1615" t="s">
        <v>44</v>
      </c>
      <c r="B1615" t="s">
        <v>5676</v>
      </c>
      <c r="C1615" t="s">
        <v>467</v>
      </c>
      <c r="D1615" t="s">
        <v>5675</v>
      </c>
      <c r="E1615" t="s">
        <v>75</v>
      </c>
    </row>
    <row r="1616" spans="1:5" x14ac:dyDescent="0.3">
      <c r="A1616" t="s">
        <v>79</v>
      </c>
      <c r="B1616" t="s">
        <v>3262</v>
      </c>
      <c r="C1616" t="s">
        <v>460</v>
      </c>
      <c r="D1616" t="s">
        <v>5677</v>
      </c>
      <c r="E1616" t="s">
        <v>781</v>
      </c>
    </row>
    <row r="1617" spans="1:5" x14ac:dyDescent="0.3">
      <c r="A1617" t="s">
        <v>3663</v>
      </c>
      <c r="B1617" t="s">
        <v>4949</v>
      </c>
      <c r="C1617" t="s">
        <v>459</v>
      </c>
      <c r="D1617" t="s">
        <v>5677</v>
      </c>
      <c r="E1617" t="s">
        <v>781</v>
      </c>
    </row>
    <row r="1618" spans="1:5" x14ac:dyDescent="0.3">
      <c r="A1618" t="s">
        <v>1304</v>
      </c>
      <c r="B1618" t="s">
        <v>5678</v>
      </c>
      <c r="C1618" t="s">
        <v>455</v>
      </c>
      <c r="D1618" t="s">
        <v>5677</v>
      </c>
      <c r="E1618" t="s">
        <v>781</v>
      </c>
    </row>
    <row r="1619" spans="1:5" x14ac:dyDescent="0.3">
      <c r="A1619" t="s">
        <v>5176</v>
      </c>
      <c r="B1619" t="s">
        <v>5684</v>
      </c>
      <c r="C1619" t="s">
        <v>5683</v>
      </c>
      <c r="D1619" t="s">
        <v>5680</v>
      </c>
      <c r="E1619" t="s">
        <v>741</v>
      </c>
    </row>
    <row r="1620" spans="1:5" x14ac:dyDescent="0.3">
      <c r="A1620" t="s">
        <v>3062</v>
      </c>
      <c r="B1620" t="s">
        <v>5686</v>
      </c>
      <c r="C1620" t="s">
        <v>461</v>
      </c>
      <c r="D1620" t="s">
        <v>5685</v>
      </c>
      <c r="E1620" t="s">
        <v>2175</v>
      </c>
    </row>
    <row r="1621" spans="1:5" x14ac:dyDescent="0.3">
      <c r="A1621" t="s">
        <v>150</v>
      </c>
      <c r="B1621" t="s">
        <v>5687</v>
      </c>
      <c r="C1621" t="s">
        <v>862</v>
      </c>
      <c r="D1621" t="s">
        <v>797</v>
      </c>
      <c r="E1621" t="s">
        <v>75</v>
      </c>
    </row>
    <row r="1622" spans="1:5" x14ac:dyDescent="0.3">
      <c r="A1622" t="s">
        <v>864</v>
      </c>
      <c r="B1622" t="s">
        <v>5693</v>
      </c>
      <c r="C1622" t="s">
        <v>467</v>
      </c>
      <c r="D1622" t="s">
        <v>5692</v>
      </c>
      <c r="E1622" t="s">
        <v>1</v>
      </c>
    </row>
    <row r="1623" spans="1:5" x14ac:dyDescent="0.3">
      <c r="A1623" t="s">
        <v>331</v>
      </c>
      <c r="B1623" t="s">
        <v>2868</v>
      </c>
      <c r="C1623" t="s">
        <v>5694</v>
      </c>
    </row>
    <row r="1624" spans="1:5" x14ac:dyDescent="0.3">
      <c r="A1624" t="s">
        <v>1438</v>
      </c>
      <c r="B1624" t="s">
        <v>5695</v>
      </c>
      <c r="C1624" t="s">
        <v>518</v>
      </c>
    </row>
    <row r="1625" spans="1:5" x14ac:dyDescent="0.3">
      <c r="A1625" t="s">
        <v>4261</v>
      </c>
      <c r="B1625" t="s">
        <v>4172</v>
      </c>
      <c r="C1625" t="s">
        <v>862</v>
      </c>
    </row>
    <row r="1626" spans="1:5" x14ac:dyDescent="0.3">
      <c r="A1626" t="s">
        <v>132</v>
      </c>
      <c r="B1626" t="s">
        <v>4212</v>
      </c>
      <c r="C1626" t="s">
        <v>518</v>
      </c>
    </row>
    <row r="1627" spans="1:5" x14ac:dyDescent="0.3">
      <c r="A1627" t="s">
        <v>224</v>
      </c>
      <c r="B1627" t="s">
        <v>5699</v>
      </c>
      <c r="C1627" t="s">
        <v>5698</v>
      </c>
    </row>
    <row r="1628" spans="1:5" x14ac:dyDescent="0.3">
      <c r="A1628" t="s">
        <v>130</v>
      </c>
      <c r="B1628" t="s">
        <v>2665</v>
      </c>
      <c r="C1628" t="s">
        <v>5700</v>
      </c>
    </row>
    <row r="1629" spans="1:5" x14ac:dyDescent="0.3">
      <c r="A1629" t="s">
        <v>1895</v>
      </c>
      <c r="B1629" t="s">
        <v>1515</v>
      </c>
      <c r="C1629" t="s">
        <v>467</v>
      </c>
      <c r="D1629" t="s">
        <v>5701</v>
      </c>
      <c r="E1629" t="s">
        <v>774</v>
      </c>
    </row>
    <row r="1630" spans="1:5" x14ac:dyDescent="0.3">
      <c r="A1630" t="s">
        <v>264</v>
      </c>
      <c r="B1630" t="s">
        <v>5000</v>
      </c>
      <c r="C1630" t="s">
        <v>461</v>
      </c>
      <c r="D1630" t="s">
        <v>5702</v>
      </c>
      <c r="E1630" t="s">
        <v>741</v>
      </c>
    </row>
    <row r="1631" spans="1:5" x14ac:dyDescent="0.3">
      <c r="A1631" t="s">
        <v>2787</v>
      </c>
      <c r="B1631" t="s">
        <v>3679</v>
      </c>
      <c r="C1631" t="s">
        <v>5366</v>
      </c>
      <c r="D1631" t="s">
        <v>5708</v>
      </c>
      <c r="E1631" t="s">
        <v>75</v>
      </c>
    </row>
    <row r="1632" spans="1:5" x14ac:dyDescent="0.3">
      <c r="A1632" t="s">
        <v>1606</v>
      </c>
      <c r="B1632" t="s">
        <v>5705</v>
      </c>
      <c r="C1632" t="s">
        <v>457</v>
      </c>
      <c r="D1632" t="s">
        <v>5708</v>
      </c>
      <c r="E1632" t="s">
        <v>75</v>
      </c>
    </row>
    <row r="1633" spans="1:5" x14ac:dyDescent="0.3">
      <c r="A1633" t="s">
        <v>2996</v>
      </c>
      <c r="B1633" t="s">
        <v>5711</v>
      </c>
      <c r="C1633" t="s">
        <v>5710</v>
      </c>
      <c r="D1633" t="s">
        <v>5709</v>
      </c>
      <c r="E1633" t="s">
        <v>75</v>
      </c>
    </row>
    <row r="1634" spans="1:5" x14ac:dyDescent="0.3">
      <c r="A1634" t="s">
        <v>2599</v>
      </c>
      <c r="B1634" t="s">
        <v>5714</v>
      </c>
      <c r="C1634" t="s">
        <v>5546</v>
      </c>
      <c r="D1634" t="s">
        <v>2816</v>
      </c>
      <c r="E1634" t="s">
        <v>841</v>
      </c>
    </row>
    <row r="1635" spans="1:5" x14ac:dyDescent="0.3">
      <c r="A1635" t="s">
        <v>315</v>
      </c>
      <c r="B1635" t="s">
        <v>5643</v>
      </c>
      <c r="C1635" t="s">
        <v>5715</v>
      </c>
      <c r="D1635" t="s">
        <v>2816</v>
      </c>
      <c r="E1635" t="s">
        <v>841</v>
      </c>
    </row>
    <row r="1636" spans="1:5" x14ac:dyDescent="0.3">
      <c r="A1636" t="s">
        <v>220</v>
      </c>
      <c r="B1636" t="s">
        <v>5721</v>
      </c>
      <c r="C1636" t="s">
        <v>461</v>
      </c>
      <c r="D1636" t="s">
        <v>5719</v>
      </c>
      <c r="E1636" t="s">
        <v>741</v>
      </c>
    </row>
    <row r="1637" spans="1:5" x14ac:dyDescent="0.3">
      <c r="A1637" t="s">
        <v>3675</v>
      </c>
      <c r="B1637" t="s">
        <v>5370</v>
      </c>
      <c r="C1637" t="s">
        <v>5726</v>
      </c>
      <c r="D1637" t="s">
        <v>5725</v>
      </c>
      <c r="E1637" t="s">
        <v>774</v>
      </c>
    </row>
    <row r="1638" spans="1:5" x14ac:dyDescent="0.3">
      <c r="A1638" t="s">
        <v>5727</v>
      </c>
      <c r="B1638" t="s">
        <v>2999</v>
      </c>
      <c r="C1638" t="s">
        <v>455</v>
      </c>
      <c r="D1638" t="s">
        <v>5725</v>
      </c>
      <c r="E1638" t="s">
        <v>774</v>
      </c>
    </row>
    <row r="1639" spans="1:5" x14ac:dyDescent="0.3">
      <c r="A1639" t="s">
        <v>153</v>
      </c>
      <c r="B1639" t="s">
        <v>4633</v>
      </c>
      <c r="C1639" t="s">
        <v>698</v>
      </c>
      <c r="D1639" t="s">
        <v>5725</v>
      </c>
      <c r="E1639" t="s">
        <v>774</v>
      </c>
    </row>
    <row r="1640" spans="1:5" x14ac:dyDescent="0.3">
      <c r="A1640" t="s">
        <v>44</v>
      </c>
      <c r="B1640" t="s">
        <v>3269</v>
      </c>
      <c r="C1640" t="s">
        <v>457</v>
      </c>
      <c r="D1640" t="s">
        <v>4278</v>
      </c>
      <c r="E1640" t="s">
        <v>741</v>
      </c>
    </row>
    <row r="1641" spans="1:5" x14ac:dyDescent="0.3">
      <c r="A1641" t="s">
        <v>195</v>
      </c>
      <c r="B1641" t="s">
        <v>2970</v>
      </c>
      <c r="C1641" t="s">
        <v>467</v>
      </c>
      <c r="D1641" t="s">
        <v>4278</v>
      </c>
      <c r="E1641" t="s">
        <v>741</v>
      </c>
    </row>
    <row r="1642" spans="1:5" x14ac:dyDescent="0.3">
      <c r="A1642" t="s">
        <v>186</v>
      </c>
      <c r="B1642" t="s">
        <v>1630</v>
      </c>
      <c r="C1642" t="s">
        <v>467</v>
      </c>
      <c r="D1642" t="s">
        <v>1000</v>
      </c>
      <c r="E1642" t="s">
        <v>741</v>
      </c>
    </row>
    <row r="1643" spans="1:5" x14ac:dyDescent="0.3">
      <c r="A1643" t="s">
        <v>1167</v>
      </c>
      <c r="B1643" t="s">
        <v>2731</v>
      </c>
      <c r="C1643" t="s">
        <v>467</v>
      </c>
      <c r="D1643" t="s">
        <v>1000</v>
      </c>
      <c r="E1643" t="s">
        <v>741</v>
      </c>
    </row>
    <row r="1644" spans="1:5" x14ac:dyDescent="0.3">
      <c r="A1644" t="s">
        <v>5733</v>
      </c>
      <c r="B1644" t="s">
        <v>5735</v>
      </c>
      <c r="C1644" t="s">
        <v>459</v>
      </c>
      <c r="D1644" t="s">
        <v>5732</v>
      </c>
      <c r="E1644" t="s">
        <v>781</v>
      </c>
    </row>
    <row r="1645" spans="1:5" x14ac:dyDescent="0.3">
      <c r="A1645" t="s">
        <v>997</v>
      </c>
      <c r="B1645" t="s">
        <v>5737</v>
      </c>
      <c r="C1645" t="s">
        <v>460</v>
      </c>
      <c r="D1645" t="s">
        <v>5736</v>
      </c>
      <c r="E1645" t="s">
        <v>75</v>
      </c>
    </row>
    <row r="1646" spans="1:5" x14ac:dyDescent="0.3">
      <c r="A1646" t="s">
        <v>3859</v>
      </c>
      <c r="B1646" t="s">
        <v>5746</v>
      </c>
      <c r="C1646" t="s">
        <v>461</v>
      </c>
      <c r="D1646" t="s">
        <v>5745</v>
      </c>
      <c r="E1646" t="s">
        <v>774</v>
      </c>
    </row>
    <row r="1647" spans="1:5" x14ac:dyDescent="0.3">
      <c r="A1647" t="s">
        <v>65</v>
      </c>
      <c r="B1647" t="s">
        <v>5748</v>
      </c>
      <c r="C1647" t="s">
        <v>461</v>
      </c>
      <c r="D1647" t="s">
        <v>5747</v>
      </c>
      <c r="E1647" t="s">
        <v>774</v>
      </c>
    </row>
    <row r="1648" spans="1:5" x14ac:dyDescent="0.3">
      <c r="A1648" t="s">
        <v>5749</v>
      </c>
      <c r="B1648" t="s">
        <v>5751</v>
      </c>
      <c r="C1648" t="s">
        <v>5750</v>
      </c>
      <c r="D1648" t="s">
        <v>2848</v>
      </c>
      <c r="E1648" t="s">
        <v>781</v>
      </c>
    </row>
    <row r="1649" spans="1:5" x14ac:dyDescent="0.3">
      <c r="A1649" t="s">
        <v>146</v>
      </c>
      <c r="B1649" t="s">
        <v>4684</v>
      </c>
      <c r="C1649" t="s">
        <v>459</v>
      </c>
      <c r="D1649" t="s">
        <v>5752</v>
      </c>
      <c r="E1649" t="s">
        <v>2175</v>
      </c>
    </row>
    <row r="1650" spans="1:5" x14ac:dyDescent="0.3">
      <c r="A1650" t="s">
        <v>112</v>
      </c>
      <c r="B1650" t="s">
        <v>5742</v>
      </c>
      <c r="C1650" t="s">
        <v>698</v>
      </c>
      <c r="D1650" t="s">
        <v>5755</v>
      </c>
      <c r="E1650" t="s">
        <v>774</v>
      </c>
    </row>
    <row r="1651" spans="1:5" x14ac:dyDescent="0.3">
      <c r="A1651" t="s">
        <v>20</v>
      </c>
      <c r="B1651" t="s">
        <v>5756</v>
      </c>
      <c r="C1651" t="s">
        <v>455</v>
      </c>
      <c r="D1651" t="s">
        <v>5754</v>
      </c>
      <c r="E1651" t="s">
        <v>774</v>
      </c>
    </row>
    <row r="1652" spans="1:5" x14ac:dyDescent="0.3">
      <c r="A1652" t="s">
        <v>5757</v>
      </c>
      <c r="B1652" t="s">
        <v>5758</v>
      </c>
      <c r="C1652" t="s">
        <v>467</v>
      </c>
      <c r="D1652" t="s">
        <v>5754</v>
      </c>
      <c r="E1652" t="s">
        <v>774</v>
      </c>
    </row>
    <row r="1653" spans="1:5" x14ac:dyDescent="0.3">
      <c r="A1653" t="s">
        <v>5760</v>
      </c>
      <c r="B1653" t="s">
        <v>1731</v>
      </c>
      <c r="C1653" t="s">
        <v>5761</v>
      </c>
      <c r="D1653" t="s">
        <v>5759</v>
      </c>
      <c r="E1653" t="s">
        <v>75</v>
      </c>
    </row>
    <row r="1654" spans="1:5" x14ac:dyDescent="0.3">
      <c r="A1654" t="s">
        <v>5763</v>
      </c>
      <c r="B1654" t="s">
        <v>2826</v>
      </c>
      <c r="C1654" t="s">
        <v>862</v>
      </c>
      <c r="D1654" t="s">
        <v>5762</v>
      </c>
      <c r="E1654" t="s">
        <v>743</v>
      </c>
    </row>
    <row r="1655" spans="1:5" x14ac:dyDescent="0.3">
      <c r="A1655" t="s">
        <v>313</v>
      </c>
      <c r="B1655" t="s">
        <v>5767</v>
      </c>
      <c r="C1655" t="s">
        <v>5766</v>
      </c>
      <c r="D1655" t="s">
        <v>5765</v>
      </c>
      <c r="E1655" t="s">
        <v>18</v>
      </c>
    </row>
    <row r="1656" spans="1:5" x14ac:dyDescent="0.3">
      <c r="A1656" t="s">
        <v>111</v>
      </c>
      <c r="B1656" t="s">
        <v>5768</v>
      </c>
      <c r="C1656" t="s">
        <v>461</v>
      </c>
      <c r="D1656" t="s">
        <v>2855</v>
      </c>
      <c r="E1656" t="s">
        <v>897</v>
      </c>
    </row>
    <row r="1657" spans="1:5" x14ac:dyDescent="0.3">
      <c r="A1657" t="s">
        <v>5771</v>
      </c>
      <c r="B1657" t="s">
        <v>5393</v>
      </c>
      <c r="C1657" t="s">
        <v>5772</v>
      </c>
      <c r="D1657" t="s">
        <v>5770</v>
      </c>
      <c r="E1657" t="s">
        <v>781</v>
      </c>
    </row>
    <row r="1658" spans="1:5" x14ac:dyDescent="0.3">
      <c r="A1658" t="s">
        <v>4734</v>
      </c>
      <c r="B1658" t="s">
        <v>5773</v>
      </c>
      <c r="C1658" t="s">
        <v>5772</v>
      </c>
      <c r="D1658" t="s">
        <v>5770</v>
      </c>
      <c r="E1658" t="s">
        <v>781</v>
      </c>
    </row>
    <row r="1659" spans="1:5" x14ac:dyDescent="0.3">
      <c r="A1659" t="s">
        <v>1013</v>
      </c>
      <c r="B1659" t="s">
        <v>4002</v>
      </c>
      <c r="C1659" t="s">
        <v>461</v>
      </c>
      <c r="D1659" t="s">
        <v>5770</v>
      </c>
      <c r="E1659" t="s">
        <v>781</v>
      </c>
    </row>
    <row r="1660" spans="1:5" x14ac:dyDescent="0.3">
      <c r="A1660" t="s">
        <v>3067</v>
      </c>
      <c r="B1660" t="s">
        <v>5777</v>
      </c>
      <c r="C1660" t="s">
        <v>467</v>
      </c>
      <c r="D1660" t="s">
        <v>1408</v>
      </c>
      <c r="E1660" t="s">
        <v>1</v>
      </c>
    </row>
    <row r="1661" spans="1:5" x14ac:dyDescent="0.3">
      <c r="A1661" t="s">
        <v>131</v>
      </c>
      <c r="B1661" t="s">
        <v>3823</v>
      </c>
      <c r="C1661" t="s">
        <v>5778</v>
      </c>
      <c r="D1661" t="s">
        <v>747</v>
      </c>
      <c r="E1661" t="s">
        <v>1</v>
      </c>
    </row>
    <row r="1662" spans="1:5" x14ac:dyDescent="0.3">
      <c r="A1662" t="s">
        <v>5781</v>
      </c>
      <c r="B1662" t="s">
        <v>3665</v>
      </c>
      <c r="C1662" t="s">
        <v>862</v>
      </c>
      <c r="D1662" t="s">
        <v>1408</v>
      </c>
      <c r="E1662" t="s">
        <v>1</v>
      </c>
    </row>
    <row r="1663" spans="1:5" x14ac:dyDescent="0.3">
      <c r="A1663" t="s">
        <v>3325</v>
      </c>
      <c r="B1663" t="s">
        <v>5784</v>
      </c>
      <c r="C1663" t="s">
        <v>5783</v>
      </c>
      <c r="D1663" t="s">
        <v>1408</v>
      </c>
      <c r="E1663" t="s">
        <v>1</v>
      </c>
    </row>
    <row r="1664" spans="1:5" x14ac:dyDescent="0.3">
      <c r="A1664" t="s">
        <v>222</v>
      </c>
      <c r="B1664" t="s">
        <v>416</v>
      </c>
      <c r="C1664" t="s">
        <v>417</v>
      </c>
      <c r="D1664" t="s">
        <v>1408</v>
      </c>
      <c r="E1664" t="s">
        <v>1</v>
      </c>
    </row>
    <row r="1665" spans="1:5" x14ac:dyDescent="0.3">
      <c r="A1665" t="s">
        <v>411</v>
      </c>
      <c r="B1665" t="s">
        <v>5787</v>
      </c>
      <c r="C1665" t="s">
        <v>862</v>
      </c>
      <c r="D1665" t="s">
        <v>1408</v>
      </c>
      <c r="E1665" t="s">
        <v>1</v>
      </c>
    </row>
    <row r="1666" spans="1:5" x14ac:dyDescent="0.3">
      <c r="A1666" t="s">
        <v>55</v>
      </c>
      <c r="B1666" t="s">
        <v>5791</v>
      </c>
      <c r="C1666" t="s">
        <v>467</v>
      </c>
      <c r="D1666" t="s">
        <v>1408</v>
      </c>
      <c r="E1666" t="s">
        <v>1</v>
      </c>
    </row>
    <row r="1667" spans="1:5" x14ac:dyDescent="0.3">
      <c r="A1667" t="s">
        <v>179</v>
      </c>
      <c r="B1667" t="s">
        <v>5793</v>
      </c>
      <c r="C1667" t="s">
        <v>5792</v>
      </c>
      <c r="D1667" t="s">
        <v>1183</v>
      </c>
      <c r="E1667" t="s">
        <v>1</v>
      </c>
    </row>
    <row r="1668" spans="1:5" x14ac:dyDescent="0.3">
      <c r="A1668" t="s">
        <v>997</v>
      </c>
      <c r="B1668" t="s">
        <v>1031</v>
      </c>
      <c r="C1668" t="s">
        <v>862</v>
      </c>
      <c r="D1668" t="s">
        <v>1408</v>
      </c>
      <c r="E1668" t="s">
        <v>1</v>
      </c>
    </row>
    <row r="1669" spans="1:5" x14ac:dyDescent="0.3">
      <c r="A1669" t="s">
        <v>3985</v>
      </c>
      <c r="B1669" t="s">
        <v>221</v>
      </c>
      <c r="C1669" t="s">
        <v>5795</v>
      </c>
      <c r="D1669" t="s">
        <v>1408</v>
      </c>
      <c r="E1669" t="s">
        <v>1</v>
      </c>
    </row>
    <row r="1670" spans="1:5" x14ac:dyDescent="0.3">
      <c r="A1670" t="s">
        <v>1492</v>
      </c>
      <c r="B1670" t="s">
        <v>822</v>
      </c>
      <c r="C1670" t="s">
        <v>518</v>
      </c>
      <c r="D1670" t="s">
        <v>5796</v>
      </c>
      <c r="E1670" t="s">
        <v>2175</v>
      </c>
    </row>
    <row r="1671" spans="1:5" x14ac:dyDescent="0.3">
      <c r="A1671" t="s">
        <v>131</v>
      </c>
      <c r="B1671" t="s">
        <v>397</v>
      </c>
      <c r="C1671" t="s">
        <v>5797</v>
      </c>
      <c r="D1671" t="s">
        <v>5796</v>
      </c>
      <c r="E1671" t="s">
        <v>2175</v>
      </c>
    </row>
    <row r="1672" spans="1:5" x14ac:dyDescent="0.3">
      <c r="A1672" t="s">
        <v>2779</v>
      </c>
      <c r="B1672" t="s">
        <v>2960</v>
      </c>
      <c r="C1672" t="s">
        <v>518</v>
      </c>
      <c r="D1672" t="s">
        <v>5796</v>
      </c>
      <c r="E1672" t="s">
        <v>2175</v>
      </c>
    </row>
    <row r="1673" spans="1:5" x14ac:dyDescent="0.3">
      <c r="A1673" t="s">
        <v>2838</v>
      </c>
      <c r="B1673" t="s">
        <v>2825</v>
      </c>
      <c r="C1673" t="s">
        <v>628</v>
      </c>
      <c r="D1673" t="s">
        <v>5796</v>
      </c>
      <c r="E1673" t="s">
        <v>2175</v>
      </c>
    </row>
    <row r="1674" spans="1:5" x14ac:dyDescent="0.3">
      <c r="A1674" t="s">
        <v>5801</v>
      </c>
      <c r="B1674" t="s">
        <v>5802</v>
      </c>
      <c r="C1674" t="s">
        <v>461</v>
      </c>
      <c r="D1674" t="s">
        <v>5800</v>
      </c>
      <c r="E1674" t="s">
        <v>75</v>
      </c>
    </row>
    <row r="1675" spans="1:5" x14ac:dyDescent="0.3">
      <c r="A1675" t="s">
        <v>290</v>
      </c>
      <c r="B1675" t="s">
        <v>5804</v>
      </c>
      <c r="C1675" t="s">
        <v>461</v>
      </c>
      <c r="D1675" t="s">
        <v>5803</v>
      </c>
      <c r="E1675" t="s">
        <v>758</v>
      </c>
    </row>
    <row r="1676" spans="1:5" x14ac:dyDescent="0.3">
      <c r="A1676" t="s">
        <v>50</v>
      </c>
      <c r="B1676" t="s">
        <v>4427</v>
      </c>
      <c r="C1676" t="s">
        <v>457</v>
      </c>
      <c r="D1676" t="s">
        <v>5803</v>
      </c>
      <c r="E1676" t="s">
        <v>758</v>
      </c>
    </row>
    <row r="1677" spans="1:5" x14ac:dyDescent="0.3">
      <c r="A1677" t="s">
        <v>130</v>
      </c>
      <c r="B1677" t="s">
        <v>5806</v>
      </c>
      <c r="C1677" t="s">
        <v>862</v>
      </c>
      <c r="D1677" t="s">
        <v>5803</v>
      </c>
      <c r="E1677" t="s">
        <v>758</v>
      </c>
    </row>
    <row r="1678" spans="1:5" x14ac:dyDescent="0.3">
      <c r="A1678" t="s">
        <v>4975</v>
      </c>
      <c r="B1678" t="s">
        <v>5605</v>
      </c>
      <c r="C1678" t="s">
        <v>3757</v>
      </c>
      <c r="D1678" t="s">
        <v>5803</v>
      </c>
      <c r="E1678" t="s">
        <v>758</v>
      </c>
    </row>
    <row r="1679" spans="1:5" x14ac:dyDescent="0.3">
      <c r="A1679" t="s">
        <v>224</v>
      </c>
      <c r="B1679" t="s">
        <v>5809</v>
      </c>
      <c r="C1679" t="s">
        <v>5808</v>
      </c>
      <c r="D1679" t="s">
        <v>5807</v>
      </c>
      <c r="E1679" t="s">
        <v>75</v>
      </c>
    </row>
    <row r="1680" spans="1:5" x14ac:dyDescent="0.3">
      <c r="A1680" t="s">
        <v>22</v>
      </c>
      <c r="B1680" t="s">
        <v>309</v>
      </c>
      <c r="C1680" t="s">
        <v>5810</v>
      </c>
      <c r="D1680" t="s">
        <v>5223</v>
      </c>
      <c r="E1680" t="s">
        <v>774</v>
      </c>
    </row>
    <row r="1681" spans="1:5" x14ac:dyDescent="0.3">
      <c r="A1681" t="s">
        <v>2407</v>
      </c>
      <c r="B1681" t="s">
        <v>3094</v>
      </c>
      <c r="C1681" t="s">
        <v>5811</v>
      </c>
      <c r="D1681" t="s">
        <v>908</v>
      </c>
      <c r="E1681" t="s">
        <v>1</v>
      </c>
    </row>
    <row r="1682" spans="1:5" x14ac:dyDescent="0.3">
      <c r="A1682" t="s">
        <v>3251</v>
      </c>
      <c r="B1682" t="s">
        <v>5817</v>
      </c>
      <c r="C1682" t="s">
        <v>5816</v>
      </c>
      <c r="D1682" t="s">
        <v>5815</v>
      </c>
      <c r="E1682" t="s">
        <v>75</v>
      </c>
    </row>
    <row r="1683" spans="1:5" x14ac:dyDescent="0.3">
      <c r="A1683" t="s">
        <v>41</v>
      </c>
      <c r="B1683" t="s">
        <v>5818</v>
      </c>
      <c r="C1683" t="s">
        <v>467</v>
      </c>
      <c r="D1683" t="s">
        <v>5815</v>
      </c>
      <c r="E1683" t="s">
        <v>75</v>
      </c>
    </row>
    <row r="1684" spans="1:5" x14ac:dyDescent="0.3">
      <c r="A1684" t="s">
        <v>808</v>
      </c>
      <c r="B1684" t="s">
        <v>1049</v>
      </c>
      <c r="C1684" t="s">
        <v>5820</v>
      </c>
      <c r="D1684" t="s">
        <v>754</v>
      </c>
      <c r="E1684" t="s">
        <v>741</v>
      </c>
    </row>
    <row r="1685" spans="1:5" x14ac:dyDescent="0.3">
      <c r="A1685" t="s">
        <v>3703</v>
      </c>
      <c r="B1685" t="s">
        <v>5822</v>
      </c>
      <c r="C1685" t="s">
        <v>5821</v>
      </c>
      <c r="D1685" t="s">
        <v>754</v>
      </c>
      <c r="E1685" t="s">
        <v>741</v>
      </c>
    </row>
    <row r="1686" spans="1:5" x14ac:dyDescent="0.3">
      <c r="A1686" t="s">
        <v>177</v>
      </c>
      <c r="B1686" t="s">
        <v>854</v>
      </c>
      <c r="C1686" t="s">
        <v>862</v>
      </c>
      <c r="D1686" t="s">
        <v>754</v>
      </c>
      <c r="E1686" t="s">
        <v>741</v>
      </c>
    </row>
    <row r="1687" spans="1:5" x14ac:dyDescent="0.3">
      <c r="A1687" t="s">
        <v>119</v>
      </c>
      <c r="B1687" t="s">
        <v>5826</v>
      </c>
      <c r="C1687" t="s">
        <v>862</v>
      </c>
      <c r="D1687" t="s">
        <v>754</v>
      </c>
      <c r="E1687" t="s">
        <v>741</v>
      </c>
    </row>
    <row r="1688" spans="1:5" x14ac:dyDescent="0.3">
      <c r="A1688" t="s">
        <v>251</v>
      </c>
      <c r="B1688" t="s">
        <v>5827</v>
      </c>
      <c r="C1688" t="s">
        <v>518</v>
      </c>
      <c r="D1688" t="s">
        <v>754</v>
      </c>
      <c r="E1688" t="s">
        <v>741</v>
      </c>
    </row>
    <row r="1689" spans="1:5" x14ac:dyDescent="0.3">
      <c r="A1689" t="s">
        <v>782</v>
      </c>
      <c r="B1689" t="s">
        <v>5830</v>
      </c>
      <c r="C1689" t="s">
        <v>5829</v>
      </c>
      <c r="D1689" t="s">
        <v>754</v>
      </c>
      <c r="E1689" t="s">
        <v>741</v>
      </c>
    </row>
    <row r="1690" spans="1:5" x14ac:dyDescent="0.3">
      <c r="A1690" t="s">
        <v>3684</v>
      </c>
      <c r="B1690" t="s">
        <v>5832</v>
      </c>
      <c r="C1690" t="s">
        <v>518</v>
      </c>
      <c r="D1690" t="s">
        <v>754</v>
      </c>
      <c r="E1690" t="s">
        <v>741</v>
      </c>
    </row>
    <row r="1691" spans="1:5" x14ac:dyDescent="0.3">
      <c r="A1691" t="s">
        <v>1176</v>
      </c>
      <c r="B1691" t="s">
        <v>5152</v>
      </c>
      <c r="C1691" t="s">
        <v>5833</v>
      </c>
      <c r="D1691" t="s">
        <v>754</v>
      </c>
      <c r="E1691" t="s">
        <v>741</v>
      </c>
    </row>
    <row r="1692" spans="1:5" x14ac:dyDescent="0.3">
      <c r="A1692" t="s">
        <v>77</v>
      </c>
      <c r="B1692" t="s">
        <v>5834</v>
      </c>
      <c r="C1692" t="s">
        <v>518</v>
      </c>
      <c r="D1692" t="s">
        <v>754</v>
      </c>
      <c r="E1692" t="s">
        <v>741</v>
      </c>
    </row>
    <row r="1693" spans="1:5" x14ac:dyDescent="0.3">
      <c r="A1693" t="s">
        <v>5835</v>
      </c>
      <c r="B1693" t="s">
        <v>5836</v>
      </c>
      <c r="C1693" t="s">
        <v>862</v>
      </c>
      <c r="D1693" t="s">
        <v>754</v>
      </c>
      <c r="E1693" t="s">
        <v>741</v>
      </c>
    </row>
    <row r="1694" spans="1:5" x14ac:dyDescent="0.3">
      <c r="A1694" t="s">
        <v>131</v>
      </c>
      <c r="B1694" t="s">
        <v>5838</v>
      </c>
      <c r="C1694" t="s">
        <v>5837</v>
      </c>
      <c r="D1694" t="s">
        <v>754</v>
      </c>
      <c r="E1694" t="s">
        <v>741</v>
      </c>
    </row>
    <row r="1695" spans="1:5" x14ac:dyDescent="0.3">
      <c r="A1695" t="s">
        <v>230</v>
      </c>
      <c r="B1695" t="s">
        <v>5840</v>
      </c>
      <c r="C1695" t="s">
        <v>862</v>
      </c>
      <c r="D1695" t="s">
        <v>754</v>
      </c>
      <c r="E1695" t="s">
        <v>741</v>
      </c>
    </row>
    <row r="1696" spans="1:5" x14ac:dyDescent="0.3">
      <c r="A1696" t="s">
        <v>411</v>
      </c>
      <c r="B1696" t="s">
        <v>5841</v>
      </c>
      <c r="C1696" t="s">
        <v>2571</v>
      </c>
      <c r="D1696" t="s">
        <v>754</v>
      </c>
      <c r="E1696" t="s">
        <v>741</v>
      </c>
    </row>
    <row r="1697" spans="1:5" x14ac:dyDescent="0.3">
      <c r="A1697" t="s">
        <v>41</v>
      </c>
      <c r="B1697" t="s">
        <v>277</v>
      </c>
      <c r="C1697" t="s">
        <v>5843</v>
      </c>
      <c r="D1697" t="s">
        <v>2472</v>
      </c>
      <c r="E1697" t="s">
        <v>781</v>
      </c>
    </row>
    <row r="1698" spans="1:5" x14ac:dyDescent="0.3">
      <c r="A1698" t="s">
        <v>1294</v>
      </c>
      <c r="B1698" t="s">
        <v>5846</v>
      </c>
      <c r="C1698" t="s">
        <v>467</v>
      </c>
      <c r="D1698" t="s">
        <v>5845</v>
      </c>
      <c r="E1698" t="s">
        <v>741</v>
      </c>
    </row>
    <row r="1699" spans="1:5" x14ac:dyDescent="0.3">
      <c r="A1699" t="s">
        <v>1018</v>
      </c>
      <c r="B1699" t="s">
        <v>287</v>
      </c>
      <c r="C1699" t="s">
        <v>5847</v>
      </c>
      <c r="D1699" t="s">
        <v>887</v>
      </c>
      <c r="E1699" t="s">
        <v>781</v>
      </c>
    </row>
    <row r="1700" spans="1:5" x14ac:dyDescent="0.3">
      <c r="A1700" t="s">
        <v>1304</v>
      </c>
      <c r="B1700" t="s">
        <v>5849</v>
      </c>
      <c r="C1700" t="s">
        <v>5848</v>
      </c>
      <c r="D1700" t="s">
        <v>887</v>
      </c>
      <c r="E1700" t="s">
        <v>781</v>
      </c>
    </row>
    <row r="1701" spans="1:5" x14ac:dyDescent="0.3">
      <c r="A1701" t="s">
        <v>50</v>
      </c>
      <c r="B1701" t="s">
        <v>5001</v>
      </c>
      <c r="C1701" t="s">
        <v>5852</v>
      </c>
      <c r="D1701" t="s">
        <v>5851</v>
      </c>
      <c r="E1701" t="s">
        <v>897</v>
      </c>
    </row>
    <row r="1702" spans="1:5" x14ac:dyDescent="0.3">
      <c r="A1702" t="s">
        <v>1778</v>
      </c>
      <c r="B1702" t="s">
        <v>5854</v>
      </c>
      <c r="C1702" t="s">
        <v>461</v>
      </c>
      <c r="D1702" t="s">
        <v>5851</v>
      </c>
      <c r="E1702" t="s">
        <v>897</v>
      </c>
    </row>
    <row r="1703" spans="1:5" x14ac:dyDescent="0.3">
      <c r="A1703" t="s">
        <v>864</v>
      </c>
      <c r="B1703" t="s">
        <v>1021</v>
      </c>
      <c r="C1703" t="s">
        <v>461</v>
      </c>
      <c r="D1703" t="s">
        <v>5855</v>
      </c>
      <c r="E1703" t="s">
        <v>774</v>
      </c>
    </row>
    <row r="1704" spans="1:5" x14ac:dyDescent="0.3">
      <c r="A1704" t="s">
        <v>220</v>
      </c>
      <c r="B1704" t="s">
        <v>5856</v>
      </c>
      <c r="C1704" t="s">
        <v>451</v>
      </c>
      <c r="D1704" t="s">
        <v>5855</v>
      </c>
      <c r="E1704" t="s">
        <v>774</v>
      </c>
    </row>
    <row r="1705" spans="1:5" x14ac:dyDescent="0.3">
      <c r="A1705" t="s">
        <v>5600</v>
      </c>
      <c r="B1705" t="s">
        <v>5859</v>
      </c>
      <c r="C1705" t="s">
        <v>5858</v>
      </c>
      <c r="D1705" t="s">
        <v>799</v>
      </c>
      <c r="E1705" t="s">
        <v>761</v>
      </c>
    </row>
    <row r="1706" spans="1:5" x14ac:dyDescent="0.3">
      <c r="A1706" t="s">
        <v>116</v>
      </c>
      <c r="B1706" t="s">
        <v>3106</v>
      </c>
      <c r="C1706" t="s">
        <v>518</v>
      </c>
      <c r="D1706" t="s">
        <v>799</v>
      </c>
      <c r="E1706" t="s">
        <v>761</v>
      </c>
    </row>
    <row r="1707" spans="1:5" x14ac:dyDescent="0.3">
      <c r="A1707" t="s">
        <v>1283</v>
      </c>
      <c r="B1707" t="s">
        <v>2619</v>
      </c>
      <c r="C1707" t="s">
        <v>5860</v>
      </c>
      <c r="D1707" t="s">
        <v>799</v>
      </c>
      <c r="E1707" t="s">
        <v>761</v>
      </c>
    </row>
    <row r="1708" spans="1:5" x14ac:dyDescent="0.3">
      <c r="A1708" t="s">
        <v>130</v>
      </c>
      <c r="B1708" t="s">
        <v>3546</v>
      </c>
      <c r="C1708" t="s">
        <v>5861</v>
      </c>
      <c r="D1708" t="s">
        <v>799</v>
      </c>
      <c r="E1708" t="s">
        <v>761</v>
      </c>
    </row>
    <row r="1709" spans="1:5" x14ac:dyDescent="0.3">
      <c r="A1709" t="s">
        <v>859</v>
      </c>
      <c r="B1709" t="s">
        <v>309</v>
      </c>
      <c r="C1709" t="s">
        <v>5862</v>
      </c>
      <c r="D1709" t="s">
        <v>799</v>
      </c>
      <c r="E1709" t="s">
        <v>761</v>
      </c>
    </row>
    <row r="1710" spans="1:5" x14ac:dyDescent="0.3">
      <c r="A1710" t="s">
        <v>195</v>
      </c>
      <c r="B1710" t="s">
        <v>5864</v>
      </c>
      <c r="C1710" t="s">
        <v>5863</v>
      </c>
      <c r="D1710" t="s">
        <v>799</v>
      </c>
      <c r="E1710" t="s">
        <v>761</v>
      </c>
    </row>
    <row r="1711" spans="1:5" x14ac:dyDescent="0.3">
      <c r="A1711" t="s">
        <v>195</v>
      </c>
      <c r="B1711" t="s">
        <v>4900</v>
      </c>
      <c r="C1711" t="s">
        <v>5581</v>
      </c>
      <c r="D1711" t="s">
        <v>799</v>
      </c>
      <c r="E1711" t="s">
        <v>761</v>
      </c>
    </row>
    <row r="1712" spans="1:5" x14ac:dyDescent="0.3">
      <c r="A1712" t="s">
        <v>50</v>
      </c>
      <c r="B1712" t="s">
        <v>5868</v>
      </c>
      <c r="C1712" t="s">
        <v>455</v>
      </c>
      <c r="D1712" t="s">
        <v>5865</v>
      </c>
      <c r="E1712" t="s">
        <v>741</v>
      </c>
    </row>
    <row r="1713" spans="1:5" x14ac:dyDescent="0.3">
      <c r="A1713" t="s">
        <v>3789</v>
      </c>
      <c r="B1713" t="s">
        <v>157</v>
      </c>
      <c r="C1713" t="s">
        <v>457</v>
      </c>
      <c r="D1713" t="s">
        <v>5865</v>
      </c>
      <c r="E1713" t="s">
        <v>741</v>
      </c>
    </row>
    <row r="1714" spans="1:5" x14ac:dyDescent="0.3">
      <c r="A1714" t="s">
        <v>160</v>
      </c>
      <c r="B1714" t="s">
        <v>5869</v>
      </c>
      <c r="C1714" t="s">
        <v>460</v>
      </c>
      <c r="D1714" t="s">
        <v>5865</v>
      </c>
      <c r="E1714" t="s">
        <v>741</v>
      </c>
    </row>
    <row r="1715" spans="1:5" x14ac:dyDescent="0.3">
      <c r="A1715" t="s">
        <v>177</v>
      </c>
      <c r="B1715" t="s">
        <v>5870</v>
      </c>
      <c r="C1715" t="s">
        <v>467</v>
      </c>
      <c r="D1715" t="s">
        <v>5865</v>
      </c>
      <c r="E1715" t="s">
        <v>741</v>
      </c>
    </row>
    <row r="1716" spans="1:5" x14ac:dyDescent="0.3">
      <c r="A1716" t="s">
        <v>4976</v>
      </c>
      <c r="B1716" t="s">
        <v>5871</v>
      </c>
      <c r="C1716" t="s">
        <v>459</v>
      </c>
      <c r="D1716" t="s">
        <v>5865</v>
      </c>
      <c r="E1716" t="s">
        <v>741</v>
      </c>
    </row>
    <row r="1717" spans="1:5" x14ac:dyDescent="0.3">
      <c r="A1717" t="s">
        <v>35</v>
      </c>
      <c r="B1717" t="s">
        <v>3538</v>
      </c>
      <c r="C1717" t="s">
        <v>467</v>
      </c>
      <c r="D1717" t="s">
        <v>5872</v>
      </c>
      <c r="E1717" t="s">
        <v>18</v>
      </c>
    </row>
    <row r="1718" spans="1:5" x14ac:dyDescent="0.3">
      <c r="A1718" t="s">
        <v>5884</v>
      </c>
      <c r="B1718" t="s">
        <v>5885</v>
      </c>
      <c r="C1718" t="s">
        <v>455</v>
      </c>
      <c r="D1718" t="s">
        <v>5876</v>
      </c>
      <c r="E1718" t="s">
        <v>841</v>
      </c>
    </row>
    <row r="1719" spans="1:5" x14ac:dyDescent="0.3">
      <c r="A1719" t="s">
        <v>14</v>
      </c>
      <c r="B1719" t="s">
        <v>2548</v>
      </c>
      <c r="C1719" t="s">
        <v>5054</v>
      </c>
      <c r="D1719" t="s">
        <v>5886</v>
      </c>
      <c r="E1719" t="s">
        <v>741</v>
      </c>
    </row>
    <row r="1720" spans="1:5" x14ac:dyDescent="0.3">
      <c r="A1720" t="s">
        <v>5888</v>
      </c>
      <c r="B1720" t="s">
        <v>1304</v>
      </c>
      <c r="C1720" t="s">
        <v>467</v>
      </c>
      <c r="D1720" t="s">
        <v>5887</v>
      </c>
      <c r="E1720" t="s">
        <v>774</v>
      </c>
    </row>
    <row r="1721" spans="1:5" x14ac:dyDescent="0.3">
      <c r="A1721" t="s">
        <v>315</v>
      </c>
      <c r="B1721" t="s">
        <v>3829</v>
      </c>
      <c r="C1721" t="s">
        <v>467</v>
      </c>
      <c r="D1721" t="s">
        <v>5887</v>
      </c>
      <c r="E1721" t="s">
        <v>774</v>
      </c>
    </row>
    <row r="1722" spans="1:5" x14ac:dyDescent="0.3">
      <c r="A1722" t="s">
        <v>1548</v>
      </c>
      <c r="B1722" t="s">
        <v>4069</v>
      </c>
      <c r="C1722" t="s">
        <v>5889</v>
      </c>
      <c r="D1722" t="s">
        <v>2444</v>
      </c>
      <c r="E1722" t="s">
        <v>741</v>
      </c>
    </row>
    <row r="1723" spans="1:5" x14ac:dyDescent="0.3">
      <c r="A1723" t="s">
        <v>44</v>
      </c>
      <c r="B1723" t="s">
        <v>200</v>
      </c>
      <c r="C1723" t="s">
        <v>302</v>
      </c>
      <c r="D1723" t="s">
        <v>2444</v>
      </c>
      <c r="E1723" t="s">
        <v>741</v>
      </c>
    </row>
    <row r="1724" spans="1:5" x14ac:dyDescent="0.3">
      <c r="A1724" t="s">
        <v>181</v>
      </c>
      <c r="B1724" t="s">
        <v>5890</v>
      </c>
      <c r="C1724" t="s">
        <v>862</v>
      </c>
      <c r="D1724" t="s">
        <v>2444</v>
      </c>
      <c r="E1724" t="s">
        <v>741</v>
      </c>
    </row>
    <row r="1725" spans="1:5" x14ac:dyDescent="0.3">
      <c r="A1725" t="s">
        <v>206</v>
      </c>
      <c r="B1725" t="s">
        <v>415</v>
      </c>
      <c r="C1725" t="s">
        <v>628</v>
      </c>
      <c r="D1725" t="s">
        <v>5892</v>
      </c>
      <c r="E1725" t="s">
        <v>2175</v>
      </c>
    </row>
    <row r="1726" spans="1:5" x14ac:dyDescent="0.3">
      <c r="A1726" t="s">
        <v>5895</v>
      </c>
      <c r="B1726" t="s">
        <v>5897</v>
      </c>
      <c r="C1726" t="s">
        <v>5896</v>
      </c>
      <c r="D1726" t="s">
        <v>5894</v>
      </c>
      <c r="E1726" t="s">
        <v>774</v>
      </c>
    </row>
    <row r="1727" spans="1:5" x14ac:dyDescent="0.3">
      <c r="A1727" t="s">
        <v>1304</v>
      </c>
      <c r="B1727" t="s">
        <v>2984</v>
      </c>
      <c r="C1727" t="s">
        <v>467</v>
      </c>
      <c r="D1727" t="s">
        <v>5894</v>
      </c>
      <c r="E1727" t="s">
        <v>774</v>
      </c>
    </row>
    <row r="1728" spans="1:5" x14ac:dyDescent="0.3">
      <c r="A1728" t="s">
        <v>220</v>
      </c>
      <c r="B1728" t="s">
        <v>5101</v>
      </c>
      <c r="C1728" t="s">
        <v>456</v>
      </c>
      <c r="D1728" t="s">
        <v>5894</v>
      </c>
      <c r="E1728" t="s">
        <v>774</v>
      </c>
    </row>
    <row r="1729" spans="1:5" x14ac:dyDescent="0.3">
      <c r="A1729" t="s">
        <v>1515</v>
      </c>
      <c r="B1729" t="s">
        <v>5899</v>
      </c>
      <c r="C1729" t="s">
        <v>5898</v>
      </c>
      <c r="D1729" t="s">
        <v>975</v>
      </c>
      <c r="E1729" t="s">
        <v>741</v>
      </c>
    </row>
    <row r="1730" spans="1:5" x14ac:dyDescent="0.3">
      <c r="A1730" t="s">
        <v>3079</v>
      </c>
      <c r="B1730" t="s">
        <v>5902</v>
      </c>
      <c r="C1730" t="s">
        <v>5901</v>
      </c>
      <c r="D1730" t="s">
        <v>975</v>
      </c>
      <c r="E1730" t="s">
        <v>741</v>
      </c>
    </row>
    <row r="1731" spans="1:5" x14ac:dyDescent="0.3">
      <c r="A1731" t="s">
        <v>3687</v>
      </c>
      <c r="B1731" t="s">
        <v>5903</v>
      </c>
      <c r="C1731" t="s">
        <v>456</v>
      </c>
      <c r="D1731" t="s">
        <v>975</v>
      </c>
      <c r="E1731" t="s">
        <v>741</v>
      </c>
    </row>
    <row r="1732" spans="1:5" x14ac:dyDescent="0.3">
      <c r="A1732" t="s">
        <v>89</v>
      </c>
      <c r="B1732" t="s">
        <v>5907</v>
      </c>
      <c r="C1732" t="s">
        <v>5906</v>
      </c>
      <c r="D1732" t="s">
        <v>5905</v>
      </c>
      <c r="E1732" t="s">
        <v>774</v>
      </c>
    </row>
    <row r="1733" spans="1:5" x14ac:dyDescent="0.3">
      <c r="A1733" t="s">
        <v>116</v>
      </c>
      <c r="B1733" t="s">
        <v>4703</v>
      </c>
      <c r="C1733" t="s">
        <v>862</v>
      </c>
      <c r="D1733" t="s">
        <v>975</v>
      </c>
      <c r="E1733" t="s">
        <v>741</v>
      </c>
    </row>
    <row r="1734" spans="1:5" x14ac:dyDescent="0.3">
      <c r="A1734" t="s">
        <v>60</v>
      </c>
      <c r="B1734" t="s">
        <v>1736</v>
      </c>
      <c r="C1734" t="s">
        <v>5914</v>
      </c>
      <c r="D1734" t="s">
        <v>5912</v>
      </c>
      <c r="E1734" t="s">
        <v>75</v>
      </c>
    </row>
    <row r="1735" spans="1:5" x14ac:dyDescent="0.3">
      <c r="A1735" t="s">
        <v>5917</v>
      </c>
      <c r="B1735" t="s">
        <v>802</v>
      </c>
      <c r="C1735" t="s">
        <v>5918</v>
      </c>
      <c r="D1735" t="s">
        <v>5916</v>
      </c>
      <c r="E1735" t="s">
        <v>75</v>
      </c>
    </row>
    <row r="1736" spans="1:5" x14ac:dyDescent="0.3">
      <c r="A1736" t="s">
        <v>3169</v>
      </c>
      <c r="B1736" t="s">
        <v>5472</v>
      </c>
      <c r="C1736" t="s">
        <v>5921</v>
      </c>
      <c r="D1736" t="s">
        <v>5920</v>
      </c>
      <c r="E1736" t="s">
        <v>774</v>
      </c>
    </row>
    <row r="1737" spans="1:5" x14ac:dyDescent="0.3">
      <c r="A1737" t="s">
        <v>5923</v>
      </c>
      <c r="B1737" t="s">
        <v>5925</v>
      </c>
      <c r="C1737" t="s">
        <v>5924</v>
      </c>
      <c r="D1737" t="s">
        <v>771</v>
      </c>
      <c r="E1737" t="s">
        <v>743</v>
      </c>
    </row>
    <row r="1738" spans="1:5" x14ac:dyDescent="0.3">
      <c r="A1738" t="s">
        <v>331</v>
      </c>
      <c r="B1738" t="s">
        <v>1560</v>
      </c>
      <c r="C1738" t="s">
        <v>458</v>
      </c>
      <c r="D1738" t="s">
        <v>2892</v>
      </c>
      <c r="E1738" t="s">
        <v>741</v>
      </c>
    </row>
    <row r="1739" spans="1:5" x14ac:dyDescent="0.3">
      <c r="A1739" t="s">
        <v>4781</v>
      </c>
      <c r="B1739" t="s">
        <v>4462</v>
      </c>
      <c r="C1739" t="s">
        <v>456</v>
      </c>
      <c r="D1739" t="s">
        <v>5930</v>
      </c>
      <c r="E1739" t="s">
        <v>5931</v>
      </c>
    </row>
    <row r="1740" spans="1:5" x14ac:dyDescent="0.3">
      <c r="A1740" t="s">
        <v>740</v>
      </c>
      <c r="B1740" t="s">
        <v>5933</v>
      </c>
      <c r="C1740" t="s">
        <v>458</v>
      </c>
      <c r="D1740" t="s">
        <v>5932</v>
      </c>
      <c r="E1740" t="s">
        <v>761</v>
      </c>
    </row>
    <row r="1741" spans="1:5" x14ac:dyDescent="0.3">
      <c r="A1741" t="s">
        <v>66</v>
      </c>
      <c r="B1741" t="s">
        <v>5934</v>
      </c>
      <c r="C1741" t="s">
        <v>461</v>
      </c>
      <c r="D1741" t="s">
        <v>5932</v>
      </c>
      <c r="E1741" t="s">
        <v>761</v>
      </c>
    </row>
    <row r="1742" spans="1:5" x14ac:dyDescent="0.3">
      <c r="A1742" t="s">
        <v>89</v>
      </c>
      <c r="B1742" t="s">
        <v>148</v>
      </c>
      <c r="C1742" t="s">
        <v>456</v>
      </c>
      <c r="D1742" t="s">
        <v>5932</v>
      </c>
      <c r="E1742" t="s">
        <v>761</v>
      </c>
    </row>
    <row r="1743" spans="1:5" x14ac:dyDescent="0.3">
      <c r="A1743" t="s">
        <v>22</v>
      </c>
      <c r="B1743" t="s">
        <v>927</v>
      </c>
      <c r="C1743" t="s">
        <v>5937</v>
      </c>
      <c r="D1743" t="s">
        <v>5936</v>
      </c>
      <c r="E1743" t="s">
        <v>758</v>
      </c>
    </row>
    <row r="1744" spans="1:5" x14ac:dyDescent="0.3">
      <c r="A1744" t="s">
        <v>177</v>
      </c>
      <c r="B1744" t="s">
        <v>5938</v>
      </c>
      <c r="C1744" t="s">
        <v>698</v>
      </c>
      <c r="D1744" t="s">
        <v>5935</v>
      </c>
      <c r="E1744" t="s">
        <v>743</v>
      </c>
    </row>
    <row r="1745" spans="1:5" x14ac:dyDescent="0.3">
      <c r="A1745" t="s">
        <v>1606</v>
      </c>
      <c r="B1745" t="s">
        <v>5941</v>
      </c>
      <c r="C1745" t="s">
        <v>461</v>
      </c>
      <c r="D1745" t="s">
        <v>4812</v>
      </c>
      <c r="E1745" t="s">
        <v>75</v>
      </c>
    </row>
    <row r="1746" spans="1:5" x14ac:dyDescent="0.3">
      <c r="A1746" t="s">
        <v>157</v>
      </c>
      <c r="B1746" t="s">
        <v>5943</v>
      </c>
      <c r="C1746" t="s">
        <v>5942</v>
      </c>
      <c r="D1746" t="s">
        <v>4812</v>
      </c>
      <c r="E1746" t="s">
        <v>75</v>
      </c>
    </row>
    <row r="1747" spans="1:5" x14ac:dyDescent="0.3">
      <c r="A1747" t="s">
        <v>271</v>
      </c>
      <c r="B1747" t="s">
        <v>1668</v>
      </c>
      <c r="C1747" t="s">
        <v>460</v>
      </c>
      <c r="D1747" t="s">
        <v>4812</v>
      </c>
      <c r="E1747" t="s">
        <v>75</v>
      </c>
    </row>
    <row r="1748" spans="1:5" x14ac:dyDescent="0.3">
      <c r="A1748" t="s">
        <v>5945</v>
      </c>
      <c r="B1748" t="s">
        <v>277</v>
      </c>
      <c r="C1748" t="s">
        <v>5946</v>
      </c>
      <c r="D1748" t="s">
        <v>5944</v>
      </c>
      <c r="E1748" t="s">
        <v>2175</v>
      </c>
    </row>
    <row r="1749" spans="1:5" x14ac:dyDescent="0.3">
      <c r="A1749" t="s">
        <v>41</v>
      </c>
      <c r="B1749" t="s">
        <v>42</v>
      </c>
      <c r="C1749" t="s">
        <v>459</v>
      </c>
      <c r="D1749" t="s">
        <v>5944</v>
      </c>
      <c r="E1749" t="s">
        <v>2175</v>
      </c>
    </row>
    <row r="1750" spans="1:5" x14ac:dyDescent="0.3">
      <c r="A1750" t="s">
        <v>331</v>
      </c>
      <c r="B1750" t="s">
        <v>3298</v>
      </c>
      <c r="C1750" t="s">
        <v>467</v>
      </c>
      <c r="D1750" t="s">
        <v>5944</v>
      </c>
      <c r="E1750" t="s">
        <v>2175</v>
      </c>
    </row>
    <row r="1751" spans="1:5" x14ac:dyDescent="0.3">
      <c r="A1751" t="s">
        <v>116</v>
      </c>
      <c r="B1751" t="s">
        <v>2988</v>
      </c>
      <c r="C1751" t="s">
        <v>5948</v>
      </c>
      <c r="D1751" t="s">
        <v>2541</v>
      </c>
      <c r="E1751" t="s">
        <v>781</v>
      </c>
    </row>
    <row r="1752" spans="1:5" x14ac:dyDescent="0.3">
      <c r="A1752" t="s">
        <v>116</v>
      </c>
      <c r="B1752" t="s">
        <v>4684</v>
      </c>
      <c r="C1752" t="s">
        <v>5950</v>
      </c>
      <c r="D1752" t="s">
        <v>2541</v>
      </c>
      <c r="E1752" t="s">
        <v>781</v>
      </c>
    </row>
    <row r="1753" spans="1:5" x14ac:dyDescent="0.3">
      <c r="A1753" t="s">
        <v>116</v>
      </c>
      <c r="B1753" t="s">
        <v>4712</v>
      </c>
      <c r="C1753" t="s">
        <v>5952</v>
      </c>
      <c r="D1753" t="s">
        <v>2541</v>
      </c>
      <c r="E1753" t="s">
        <v>781</v>
      </c>
    </row>
    <row r="1754" spans="1:5" x14ac:dyDescent="0.3">
      <c r="A1754" t="s">
        <v>181</v>
      </c>
      <c r="B1754" t="s">
        <v>5574</v>
      </c>
      <c r="C1754" t="s">
        <v>467</v>
      </c>
      <c r="D1754" t="s">
        <v>2541</v>
      </c>
      <c r="E1754" t="s">
        <v>781</v>
      </c>
    </row>
    <row r="1755" spans="1:5" x14ac:dyDescent="0.3">
      <c r="A1755" t="s">
        <v>157</v>
      </c>
      <c r="B1755" t="s">
        <v>5956</v>
      </c>
      <c r="C1755" t="s">
        <v>5955</v>
      </c>
      <c r="D1755" t="s">
        <v>2541</v>
      </c>
      <c r="E1755" t="s">
        <v>781</v>
      </c>
    </row>
    <row r="1756" spans="1:5" x14ac:dyDescent="0.3">
      <c r="A1756" t="s">
        <v>224</v>
      </c>
      <c r="B1756" t="s">
        <v>3364</v>
      </c>
      <c r="C1756" t="s">
        <v>698</v>
      </c>
      <c r="D1756" t="s">
        <v>2541</v>
      </c>
      <c r="E1756" t="s">
        <v>781</v>
      </c>
    </row>
    <row r="1757" spans="1:5" x14ac:dyDescent="0.3">
      <c r="A1757" t="s">
        <v>5958</v>
      </c>
      <c r="B1757" t="s">
        <v>5285</v>
      </c>
      <c r="C1757" t="s">
        <v>456</v>
      </c>
      <c r="D1757" t="s">
        <v>5957</v>
      </c>
      <c r="E1757" t="s">
        <v>18</v>
      </c>
    </row>
    <row r="1758" spans="1:5" x14ac:dyDescent="0.3">
      <c r="A1758" t="s">
        <v>5959</v>
      </c>
      <c r="B1758" t="s">
        <v>3575</v>
      </c>
      <c r="C1758" t="s">
        <v>5960</v>
      </c>
      <c r="D1758" t="s">
        <v>4394</v>
      </c>
      <c r="E1758" t="s">
        <v>75</v>
      </c>
    </row>
    <row r="1759" spans="1:5" x14ac:dyDescent="0.3">
      <c r="A1759" t="s">
        <v>1842</v>
      </c>
      <c r="B1759" t="s">
        <v>5962</v>
      </c>
      <c r="C1759" t="s">
        <v>5961</v>
      </c>
      <c r="D1759" t="s">
        <v>4394</v>
      </c>
      <c r="E1759" t="s">
        <v>75</v>
      </c>
    </row>
    <row r="1760" spans="1:5" x14ac:dyDescent="0.3">
      <c r="A1760" t="s">
        <v>740</v>
      </c>
      <c r="B1760" t="s">
        <v>4419</v>
      </c>
      <c r="C1760" t="s">
        <v>5963</v>
      </c>
      <c r="D1760" t="s">
        <v>4394</v>
      </c>
      <c r="E1760" t="s">
        <v>75</v>
      </c>
    </row>
    <row r="1761" spans="1:5" x14ac:dyDescent="0.3">
      <c r="A1761" t="s">
        <v>220</v>
      </c>
      <c r="B1761" t="s">
        <v>3458</v>
      </c>
      <c r="C1761" t="s">
        <v>5964</v>
      </c>
      <c r="D1761" t="s">
        <v>4394</v>
      </c>
      <c r="E1761" t="s">
        <v>75</v>
      </c>
    </row>
    <row r="1762" spans="1:5" x14ac:dyDescent="0.3">
      <c r="A1762" t="s">
        <v>2591</v>
      </c>
      <c r="B1762" t="s">
        <v>1298</v>
      </c>
      <c r="C1762" t="s">
        <v>862</v>
      </c>
      <c r="D1762" t="s">
        <v>5965</v>
      </c>
      <c r="E1762" t="s">
        <v>743</v>
      </c>
    </row>
    <row r="1763" spans="1:5" x14ac:dyDescent="0.3">
      <c r="A1763" t="s">
        <v>224</v>
      </c>
      <c r="B1763" t="s">
        <v>5505</v>
      </c>
      <c r="C1763" t="s">
        <v>5967</v>
      </c>
      <c r="D1763" t="s">
        <v>5965</v>
      </c>
      <c r="E1763" t="s">
        <v>743</v>
      </c>
    </row>
    <row r="1764" spans="1:5" x14ac:dyDescent="0.3">
      <c r="A1764" t="s">
        <v>181</v>
      </c>
      <c r="B1764" t="s">
        <v>5968</v>
      </c>
      <c r="C1764" t="s">
        <v>862</v>
      </c>
      <c r="D1764" t="s">
        <v>5965</v>
      </c>
      <c r="E1764" t="s">
        <v>743</v>
      </c>
    </row>
    <row r="1765" spans="1:5" x14ac:dyDescent="0.3">
      <c r="A1765" t="s">
        <v>2602</v>
      </c>
      <c r="B1765" t="s">
        <v>5970</v>
      </c>
      <c r="C1765" t="s">
        <v>5969</v>
      </c>
      <c r="D1765" t="s">
        <v>5965</v>
      </c>
      <c r="E1765" t="s">
        <v>743</v>
      </c>
    </row>
    <row r="1766" spans="1:5" x14ac:dyDescent="0.3">
      <c r="A1766" t="s">
        <v>206</v>
      </c>
      <c r="B1766" t="s">
        <v>4635</v>
      </c>
      <c r="C1766" t="s">
        <v>862</v>
      </c>
      <c r="D1766" t="s">
        <v>5965</v>
      </c>
      <c r="E1766" t="s">
        <v>743</v>
      </c>
    </row>
    <row r="1767" spans="1:5" x14ac:dyDescent="0.3">
      <c r="A1767" t="s">
        <v>79</v>
      </c>
      <c r="B1767" t="s">
        <v>5971</v>
      </c>
      <c r="C1767" t="s">
        <v>461</v>
      </c>
      <c r="D1767" t="s">
        <v>5965</v>
      </c>
      <c r="E1767" t="s">
        <v>743</v>
      </c>
    </row>
    <row r="1768" spans="1:5" x14ac:dyDescent="0.3">
      <c r="A1768" t="s">
        <v>1392</v>
      </c>
      <c r="B1768" t="s">
        <v>182</v>
      </c>
      <c r="C1768" t="s">
        <v>5974</v>
      </c>
      <c r="D1768" t="s">
        <v>5973</v>
      </c>
      <c r="E1768" t="s">
        <v>761</v>
      </c>
    </row>
    <row r="1769" spans="1:5" x14ac:dyDescent="0.3">
      <c r="A1769" t="s">
        <v>224</v>
      </c>
      <c r="B1769" t="s">
        <v>5975</v>
      </c>
      <c r="C1769" t="s">
        <v>2716</v>
      </c>
      <c r="D1769" t="s">
        <v>5973</v>
      </c>
      <c r="E1769" t="s">
        <v>761</v>
      </c>
    </row>
    <row r="1770" spans="1:5" x14ac:dyDescent="0.3">
      <c r="A1770" t="s">
        <v>1479</v>
      </c>
      <c r="B1770" t="s">
        <v>5976</v>
      </c>
      <c r="C1770" t="s">
        <v>467</v>
      </c>
      <c r="D1770" t="s">
        <v>5973</v>
      </c>
      <c r="E1770" t="s">
        <v>761</v>
      </c>
    </row>
    <row r="1771" spans="1:5" x14ac:dyDescent="0.3">
      <c r="A1771" t="s">
        <v>973</v>
      </c>
      <c r="B1771" t="s">
        <v>2978</v>
      </c>
      <c r="C1771" t="s">
        <v>5977</v>
      </c>
      <c r="D1771" t="s">
        <v>5973</v>
      </c>
      <c r="E1771" t="s">
        <v>761</v>
      </c>
    </row>
    <row r="1772" spans="1:5" x14ac:dyDescent="0.3">
      <c r="A1772" t="s">
        <v>411</v>
      </c>
      <c r="B1772" t="s">
        <v>5978</v>
      </c>
      <c r="C1772" t="s">
        <v>456</v>
      </c>
      <c r="D1772" t="s">
        <v>5973</v>
      </c>
      <c r="E1772" t="s">
        <v>761</v>
      </c>
    </row>
    <row r="1773" spans="1:5" x14ac:dyDescent="0.3">
      <c r="A1773" t="s">
        <v>1182</v>
      </c>
      <c r="B1773" t="s">
        <v>5979</v>
      </c>
      <c r="C1773" t="s">
        <v>461</v>
      </c>
      <c r="D1773" t="s">
        <v>5973</v>
      </c>
      <c r="E1773" t="s">
        <v>761</v>
      </c>
    </row>
    <row r="1774" spans="1:5" x14ac:dyDescent="0.3">
      <c r="A1774" t="s">
        <v>2568</v>
      </c>
      <c r="B1774" t="s">
        <v>5981</v>
      </c>
      <c r="C1774" t="s">
        <v>5610</v>
      </c>
      <c r="D1774" t="s">
        <v>1989</v>
      </c>
      <c r="E1774" t="s">
        <v>781</v>
      </c>
    </row>
    <row r="1775" spans="1:5" x14ac:dyDescent="0.3">
      <c r="A1775" t="s">
        <v>3182</v>
      </c>
      <c r="B1775" t="s">
        <v>5984</v>
      </c>
      <c r="C1775" t="s">
        <v>5983</v>
      </c>
      <c r="D1775" t="s">
        <v>1989</v>
      </c>
      <c r="E1775" t="s">
        <v>781</v>
      </c>
    </row>
    <row r="1776" spans="1:5" x14ac:dyDescent="0.3">
      <c r="A1776" t="s">
        <v>184</v>
      </c>
      <c r="B1776" t="s">
        <v>5985</v>
      </c>
      <c r="C1776" t="s">
        <v>467</v>
      </c>
      <c r="D1776" t="s">
        <v>1989</v>
      </c>
      <c r="E1776" t="s">
        <v>781</v>
      </c>
    </row>
    <row r="1777" spans="1:5" x14ac:dyDescent="0.3">
      <c r="A1777" t="s">
        <v>224</v>
      </c>
      <c r="B1777" t="s">
        <v>2623</v>
      </c>
      <c r="C1777" t="s">
        <v>5986</v>
      </c>
      <c r="D1777" t="s">
        <v>1989</v>
      </c>
      <c r="E1777" t="s">
        <v>781</v>
      </c>
    </row>
    <row r="1778" spans="1:5" x14ac:dyDescent="0.3">
      <c r="A1778" t="s">
        <v>67</v>
      </c>
      <c r="B1778" t="s">
        <v>5982</v>
      </c>
      <c r="C1778" t="s">
        <v>5987</v>
      </c>
      <c r="D1778" t="s">
        <v>1989</v>
      </c>
      <c r="E1778" t="s">
        <v>781</v>
      </c>
    </row>
    <row r="1779" spans="1:5" x14ac:dyDescent="0.3">
      <c r="A1779" t="s">
        <v>224</v>
      </c>
      <c r="B1779" t="s">
        <v>5989</v>
      </c>
      <c r="C1779" t="s">
        <v>467</v>
      </c>
      <c r="D1779" t="s">
        <v>5988</v>
      </c>
      <c r="E1779" t="s">
        <v>761</v>
      </c>
    </row>
    <row r="1780" spans="1:5" x14ac:dyDescent="0.3">
      <c r="A1780" t="s">
        <v>438</v>
      </c>
      <c r="B1780" t="s">
        <v>152</v>
      </c>
      <c r="C1780" t="s">
        <v>461</v>
      </c>
      <c r="D1780" t="s">
        <v>5990</v>
      </c>
      <c r="E1780" t="s">
        <v>75</v>
      </c>
    </row>
    <row r="1781" spans="1:5" x14ac:dyDescent="0.3">
      <c r="A1781" t="s">
        <v>89</v>
      </c>
      <c r="B1781" t="s">
        <v>3694</v>
      </c>
      <c r="C1781" t="s">
        <v>467</v>
      </c>
      <c r="D1781" t="s">
        <v>5990</v>
      </c>
      <c r="E1781" t="s">
        <v>75</v>
      </c>
    </row>
    <row r="1782" spans="1:5" x14ac:dyDescent="0.3">
      <c r="A1782" t="s">
        <v>2143</v>
      </c>
      <c r="B1782" t="s">
        <v>1235</v>
      </c>
      <c r="C1782" t="s">
        <v>460</v>
      </c>
      <c r="D1782" t="s">
        <v>5990</v>
      </c>
      <c r="E1782" t="s">
        <v>75</v>
      </c>
    </row>
    <row r="1783" spans="1:5" x14ac:dyDescent="0.3">
      <c r="A1783" t="s">
        <v>66</v>
      </c>
      <c r="B1783" t="s">
        <v>5994</v>
      </c>
      <c r="C1783" t="s">
        <v>461</v>
      </c>
      <c r="D1783" t="s">
        <v>5993</v>
      </c>
      <c r="E1783" t="s">
        <v>758</v>
      </c>
    </row>
    <row r="1784" spans="1:5" x14ac:dyDescent="0.3">
      <c r="A1784" t="s">
        <v>68</v>
      </c>
      <c r="B1784" t="s">
        <v>5994</v>
      </c>
      <c r="C1784" t="s">
        <v>457</v>
      </c>
      <c r="D1784" t="s">
        <v>5993</v>
      </c>
      <c r="E1784" t="s">
        <v>758</v>
      </c>
    </row>
    <row r="1785" spans="1:5" x14ac:dyDescent="0.3">
      <c r="A1785" t="s">
        <v>851</v>
      </c>
      <c r="B1785" t="s">
        <v>3260</v>
      </c>
      <c r="C1785" t="s">
        <v>467</v>
      </c>
      <c r="D1785" t="s">
        <v>5995</v>
      </c>
      <c r="E1785" t="s">
        <v>2175</v>
      </c>
    </row>
    <row r="1786" spans="1:5" x14ac:dyDescent="0.3">
      <c r="A1786" t="s">
        <v>3456</v>
      </c>
      <c r="B1786" t="s">
        <v>4646</v>
      </c>
      <c r="C1786" t="s">
        <v>467</v>
      </c>
      <c r="D1786" t="s">
        <v>5996</v>
      </c>
      <c r="E1786" t="s">
        <v>75</v>
      </c>
    </row>
    <row r="1787" spans="1:5" x14ac:dyDescent="0.3">
      <c r="A1787" t="s">
        <v>185</v>
      </c>
      <c r="B1787" t="s">
        <v>2795</v>
      </c>
      <c r="C1787" t="s">
        <v>454</v>
      </c>
    </row>
    <row r="1788" spans="1:5" x14ac:dyDescent="0.3">
      <c r="A1788" t="s">
        <v>2172</v>
      </c>
      <c r="B1788" t="s">
        <v>1389</v>
      </c>
      <c r="C1788" t="s">
        <v>467</v>
      </c>
      <c r="D1788" t="s">
        <v>5998</v>
      </c>
      <c r="E1788" t="s">
        <v>741</v>
      </c>
    </row>
    <row r="1789" spans="1:5" x14ac:dyDescent="0.3">
      <c r="A1789" t="s">
        <v>3118</v>
      </c>
      <c r="B1789" t="s">
        <v>6002</v>
      </c>
      <c r="C1789" t="s">
        <v>6001</v>
      </c>
      <c r="D1789" t="s">
        <v>5998</v>
      </c>
      <c r="E1789" t="s">
        <v>741</v>
      </c>
    </row>
    <row r="1790" spans="1:5" x14ac:dyDescent="0.3">
      <c r="A1790" t="s">
        <v>823</v>
      </c>
      <c r="B1790" t="s">
        <v>2116</v>
      </c>
      <c r="C1790" t="s">
        <v>6006</v>
      </c>
      <c r="D1790" t="s">
        <v>763</v>
      </c>
      <c r="E1790" t="s">
        <v>1</v>
      </c>
    </row>
    <row r="1791" spans="1:5" x14ac:dyDescent="0.3">
      <c r="A1791" t="s">
        <v>153</v>
      </c>
      <c r="B1791" t="s">
        <v>4612</v>
      </c>
      <c r="C1791" t="s">
        <v>457</v>
      </c>
      <c r="D1791" t="s">
        <v>6007</v>
      </c>
      <c r="E1791" t="s">
        <v>75</v>
      </c>
    </row>
    <row r="1792" spans="1:5" x14ac:dyDescent="0.3">
      <c r="A1792" t="s">
        <v>339</v>
      </c>
      <c r="B1792" t="s">
        <v>3182</v>
      </c>
      <c r="C1792" t="s">
        <v>862</v>
      </c>
      <c r="D1792" t="s">
        <v>6007</v>
      </c>
      <c r="E1792" t="s">
        <v>75</v>
      </c>
    </row>
    <row r="1793" spans="1:5" x14ac:dyDescent="0.3">
      <c r="A1793" t="s">
        <v>411</v>
      </c>
      <c r="B1793" t="s">
        <v>6008</v>
      </c>
      <c r="C1793" t="s">
        <v>461</v>
      </c>
      <c r="D1793" t="s">
        <v>6007</v>
      </c>
      <c r="E1793" t="s">
        <v>75</v>
      </c>
    </row>
    <row r="1794" spans="1:5" x14ac:dyDescent="0.3">
      <c r="A1794" t="s">
        <v>999</v>
      </c>
      <c r="B1794" t="s">
        <v>6010</v>
      </c>
      <c r="C1794" t="s">
        <v>6009</v>
      </c>
      <c r="D1794" t="s">
        <v>6007</v>
      </c>
      <c r="E1794" t="s">
        <v>75</v>
      </c>
    </row>
    <row r="1795" spans="1:5" x14ac:dyDescent="0.3">
      <c r="A1795" t="s">
        <v>44</v>
      </c>
      <c r="B1795" t="s">
        <v>6012</v>
      </c>
      <c r="C1795" t="s">
        <v>459</v>
      </c>
      <c r="D1795" t="s">
        <v>5192</v>
      </c>
      <c r="E1795" t="s">
        <v>741</v>
      </c>
    </row>
    <row r="1796" spans="1:5" x14ac:dyDescent="0.3">
      <c r="A1796" t="s">
        <v>146</v>
      </c>
      <c r="B1796" t="s">
        <v>3503</v>
      </c>
      <c r="C1796" t="s">
        <v>461</v>
      </c>
      <c r="D1796" t="s">
        <v>5192</v>
      </c>
      <c r="E1796" t="s">
        <v>741</v>
      </c>
    </row>
    <row r="1797" spans="1:5" x14ac:dyDescent="0.3">
      <c r="A1797" t="s">
        <v>50</v>
      </c>
      <c r="B1797" t="s">
        <v>6015</v>
      </c>
      <c r="C1797" t="s">
        <v>467</v>
      </c>
      <c r="D1797" t="s">
        <v>5192</v>
      </c>
      <c r="E1797" t="s">
        <v>741</v>
      </c>
    </row>
    <row r="1798" spans="1:5" x14ac:dyDescent="0.3">
      <c r="A1798" t="s">
        <v>50</v>
      </c>
      <c r="B1798" t="s">
        <v>4702</v>
      </c>
      <c r="C1798" t="s">
        <v>6016</v>
      </c>
      <c r="D1798" t="s">
        <v>5192</v>
      </c>
      <c r="E1798" t="s">
        <v>741</v>
      </c>
    </row>
    <row r="1799" spans="1:5" x14ac:dyDescent="0.3">
      <c r="A1799" t="s">
        <v>6018</v>
      </c>
      <c r="B1799" t="s">
        <v>6019</v>
      </c>
      <c r="C1799" t="s">
        <v>467</v>
      </c>
      <c r="D1799" t="s">
        <v>951</v>
      </c>
      <c r="E1799" t="s">
        <v>1</v>
      </c>
    </row>
    <row r="1800" spans="1:5" x14ac:dyDescent="0.3">
      <c r="A1800" t="s">
        <v>220</v>
      </c>
      <c r="B1800" t="s">
        <v>6021</v>
      </c>
      <c r="C1800" t="s">
        <v>6020</v>
      </c>
      <c r="D1800" t="s">
        <v>951</v>
      </c>
      <c r="E1800" t="s">
        <v>1</v>
      </c>
    </row>
    <row r="1801" spans="1:5" x14ac:dyDescent="0.3">
      <c r="A1801" t="s">
        <v>132</v>
      </c>
      <c r="B1801" t="s">
        <v>2771</v>
      </c>
      <c r="C1801" t="s">
        <v>6022</v>
      </c>
      <c r="D1801" t="s">
        <v>951</v>
      </c>
      <c r="E1801" t="s">
        <v>1</v>
      </c>
    </row>
    <row r="1802" spans="1:5" x14ac:dyDescent="0.3">
      <c r="A1802" t="s">
        <v>132</v>
      </c>
      <c r="B1802" t="s">
        <v>6024</v>
      </c>
      <c r="C1802" t="s">
        <v>6023</v>
      </c>
      <c r="D1802" t="s">
        <v>951</v>
      </c>
      <c r="E1802" t="s">
        <v>1</v>
      </c>
    </row>
    <row r="1803" spans="1:5" x14ac:dyDescent="0.3">
      <c r="A1803" t="s">
        <v>6025</v>
      </c>
      <c r="B1803" t="s">
        <v>3875</v>
      </c>
      <c r="C1803" t="s">
        <v>6026</v>
      </c>
      <c r="D1803" t="s">
        <v>951</v>
      </c>
      <c r="E1803" t="s">
        <v>1</v>
      </c>
    </row>
    <row r="1804" spans="1:5" x14ac:dyDescent="0.3">
      <c r="A1804" t="s">
        <v>2719</v>
      </c>
      <c r="B1804" t="s">
        <v>6029</v>
      </c>
      <c r="C1804" t="s">
        <v>6022</v>
      </c>
      <c r="D1804" t="s">
        <v>951</v>
      </c>
      <c r="E1804" t="s">
        <v>1</v>
      </c>
    </row>
    <row r="1805" spans="1:5" x14ac:dyDescent="0.3">
      <c r="A1805" t="s">
        <v>44</v>
      </c>
      <c r="B1805" t="s">
        <v>6032</v>
      </c>
      <c r="C1805" t="s">
        <v>6031</v>
      </c>
      <c r="D1805" t="s">
        <v>951</v>
      </c>
      <c r="E1805" t="s">
        <v>1</v>
      </c>
    </row>
    <row r="1806" spans="1:5" x14ac:dyDescent="0.3">
      <c r="A1806" t="s">
        <v>224</v>
      </c>
      <c r="B1806" t="s">
        <v>950</v>
      </c>
      <c r="C1806" t="s">
        <v>6035</v>
      </c>
      <c r="D1806" t="s">
        <v>951</v>
      </c>
      <c r="E1806" t="s">
        <v>1</v>
      </c>
    </row>
    <row r="1807" spans="1:5" x14ac:dyDescent="0.3">
      <c r="A1807" t="s">
        <v>6036</v>
      </c>
      <c r="B1807" t="s">
        <v>6037</v>
      </c>
      <c r="C1807" t="s">
        <v>467</v>
      </c>
      <c r="D1807" t="s">
        <v>951</v>
      </c>
      <c r="E1807" t="s">
        <v>1</v>
      </c>
    </row>
    <row r="1808" spans="1:5" x14ac:dyDescent="0.3">
      <c r="A1808" t="s">
        <v>195</v>
      </c>
      <c r="B1808" t="s">
        <v>6039</v>
      </c>
      <c r="C1808" t="s">
        <v>6038</v>
      </c>
      <c r="D1808" t="s">
        <v>951</v>
      </c>
      <c r="E1808" t="s">
        <v>1</v>
      </c>
    </row>
    <row r="1809" spans="1:5" x14ac:dyDescent="0.3">
      <c r="A1809" t="s">
        <v>2689</v>
      </c>
      <c r="B1809" t="s">
        <v>3426</v>
      </c>
      <c r="C1809" t="s">
        <v>6041</v>
      </c>
      <c r="D1809" t="s">
        <v>951</v>
      </c>
      <c r="E1809" t="s">
        <v>1</v>
      </c>
    </row>
    <row r="1810" spans="1:5" x14ac:dyDescent="0.3">
      <c r="A1810" t="s">
        <v>224</v>
      </c>
      <c r="B1810" t="s">
        <v>6042</v>
      </c>
      <c r="C1810" t="s">
        <v>461</v>
      </c>
      <c r="D1810" t="s">
        <v>951</v>
      </c>
      <c r="E1810" t="s">
        <v>1</v>
      </c>
    </row>
    <row r="1811" spans="1:5" x14ac:dyDescent="0.3">
      <c r="A1811" t="s">
        <v>50</v>
      </c>
      <c r="B1811" t="s">
        <v>4569</v>
      </c>
      <c r="C1811" t="s">
        <v>460</v>
      </c>
      <c r="D1811" t="s">
        <v>951</v>
      </c>
      <c r="E1811" t="s">
        <v>1</v>
      </c>
    </row>
    <row r="1812" spans="1:5" x14ac:dyDescent="0.3">
      <c r="A1812" t="s">
        <v>206</v>
      </c>
      <c r="B1812" t="s">
        <v>5063</v>
      </c>
      <c r="C1812" t="s">
        <v>6044</v>
      </c>
      <c r="D1812" t="s">
        <v>951</v>
      </c>
      <c r="E1812" t="s">
        <v>1</v>
      </c>
    </row>
    <row r="1813" spans="1:5" x14ac:dyDescent="0.3">
      <c r="A1813" t="s">
        <v>160</v>
      </c>
      <c r="B1813" t="s">
        <v>4391</v>
      </c>
      <c r="C1813" t="s">
        <v>6045</v>
      </c>
      <c r="D1813" t="s">
        <v>951</v>
      </c>
      <c r="E1813" t="s">
        <v>1</v>
      </c>
    </row>
    <row r="1814" spans="1:5" x14ac:dyDescent="0.3">
      <c r="A1814" t="s">
        <v>5010</v>
      </c>
      <c r="B1814" t="s">
        <v>6047</v>
      </c>
      <c r="C1814" t="s">
        <v>457</v>
      </c>
      <c r="D1814" t="s">
        <v>951</v>
      </c>
      <c r="E1814" t="s">
        <v>1</v>
      </c>
    </row>
    <row r="1815" spans="1:5" x14ac:dyDescent="0.3">
      <c r="A1815" t="s">
        <v>1396</v>
      </c>
      <c r="B1815" t="s">
        <v>3110</v>
      </c>
      <c r="C1815" t="s">
        <v>518</v>
      </c>
      <c r="D1815" t="s">
        <v>951</v>
      </c>
      <c r="E1815" t="s">
        <v>1</v>
      </c>
    </row>
    <row r="1816" spans="1:5" x14ac:dyDescent="0.3">
      <c r="A1816" t="s">
        <v>3278</v>
      </c>
      <c r="B1816" t="s">
        <v>6051</v>
      </c>
      <c r="C1816" t="s">
        <v>5610</v>
      </c>
      <c r="D1816" t="s">
        <v>951</v>
      </c>
      <c r="E1816" t="s">
        <v>1</v>
      </c>
    </row>
    <row r="1817" spans="1:5" x14ac:dyDescent="0.3">
      <c r="A1817" t="s">
        <v>2312</v>
      </c>
      <c r="B1817" t="s">
        <v>6052</v>
      </c>
      <c r="C1817" t="s">
        <v>3109</v>
      </c>
      <c r="D1817" t="s">
        <v>951</v>
      </c>
      <c r="E1817" t="s">
        <v>1</v>
      </c>
    </row>
    <row r="1818" spans="1:5" x14ac:dyDescent="0.3">
      <c r="A1818" t="s">
        <v>352</v>
      </c>
      <c r="B1818" t="s">
        <v>6054</v>
      </c>
      <c r="C1818" t="s">
        <v>6053</v>
      </c>
      <c r="D1818" t="s">
        <v>951</v>
      </c>
      <c r="E1818" t="s">
        <v>1</v>
      </c>
    </row>
    <row r="1819" spans="1:5" x14ac:dyDescent="0.3">
      <c r="A1819" t="s">
        <v>116</v>
      </c>
      <c r="B1819" t="s">
        <v>6055</v>
      </c>
      <c r="C1819" t="s">
        <v>6053</v>
      </c>
      <c r="D1819" t="s">
        <v>951</v>
      </c>
      <c r="E1819" t="s">
        <v>1</v>
      </c>
    </row>
    <row r="1820" spans="1:5" x14ac:dyDescent="0.3">
      <c r="A1820" t="s">
        <v>4855</v>
      </c>
      <c r="B1820" t="s">
        <v>5195</v>
      </c>
      <c r="C1820" t="s">
        <v>1755</v>
      </c>
      <c r="D1820" t="s">
        <v>951</v>
      </c>
      <c r="E1820" t="s">
        <v>1</v>
      </c>
    </row>
    <row r="1821" spans="1:5" x14ac:dyDescent="0.3">
      <c r="A1821" t="s">
        <v>224</v>
      </c>
      <c r="B1821" t="s">
        <v>2949</v>
      </c>
      <c r="C1821" t="s">
        <v>518</v>
      </c>
      <c r="D1821" t="s">
        <v>951</v>
      </c>
      <c r="E1821" t="s">
        <v>1</v>
      </c>
    </row>
    <row r="1822" spans="1:5" x14ac:dyDescent="0.3">
      <c r="A1822" t="s">
        <v>6060</v>
      </c>
      <c r="B1822" t="s">
        <v>890</v>
      </c>
      <c r="C1822" t="s">
        <v>628</v>
      </c>
      <c r="D1822" t="s">
        <v>951</v>
      </c>
      <c r="E1822" t="s">
        <v>1</v>
      </c>
    </row>
    <row r="1823" spans="1:5" x14ac:dyDescent="0.3">
      <c r="A1823" t="s">
        <v>4111</v>
      </c>
      <c r="B1823" t="s">
        <v>1430</v>
      </c>
      <c r="C1823" t="s">
        <v>461</v>
      </c>
      <c r="D1823" t="s">
        <v>3935</v>
      </c>
      <c r="E1823" t="s">
        <v>761</v>
      </c>
    </row>
    <row r="1824" spans="1:5" x14ac:dyDescent="0.3">
      <c r="A1824" t="s">
        <v>4758</v>
      </c>
      <c r="B1824" t="s">
        <v>6068</v>
      </c>
      <c r="C1824" t="s">
        <v>6067</v>
      </c>
      <c r="D1824" t="s">
        <v>2478</v>
      </c>
      <c r="E1824" t="s">
        <v>841</v>
      </c>
    </row>
    <row r="1825" spans="1:5" x14ac:dyDescent="0.3">
      <c r="A1825" t="s">
        <v>2815</v>
      </c>
      <c r="B1825" t="s">
        <v>6070</v>
      </c>
      <c r="C1825" t="s">
        <v>6069</v>
      </c>
      <c r="D1825" t="s">
        <v>2478</v>
      </c>
      <c r="E1825" t="s">
        <v>841</v>
      </c>
    </row>
    <row r="1826" spans="1:5" x14ac:dyDescent="0.3">
      <c r="A1826" t="s">
        <v>160</v>
      </c>
      <c r="B1826" t="s">
        <v>199</v>
      </c>
      <c r="C1826" t="s">
        <v>461</v>
      </c>
      <c r="D1826" t="s">
        <v>6077</v>
      </c>
      <c r="E1826" t="s">
        <v>75</v>
      </c>
    </row>
    <row r="1827" spans="1:5" x14ac:dyDescent="0.3">
      <c r="A1827" t="s">
        <v>6080</v>
      </c>
      <c r="B1827" t="s">
        <v>6082</v>
      </c>
      <c r="C1827" t="s">
        <v>6081</v>
      </c>
      <c r="D1827" t="s">
        <v>6079</v>
      </c>
      <c r="E1827" t="s">
        <v>774</v>
      </c>
    </row>
    <row r="1828" spans="1:5" x14ac:dyDescent="0.3">
      <c r="A1828" t="s">
        <v>130</v>
      </c>
      <c r="B1828" t="s">
        <v>3635</v>
      </c>
      <c r="C1828" t="s">
        <v>459</v>
      </c>
      <c r="D1828" t="s">
        <v>6079</v>
      </c>
      <c r="E1828" t="s">
        <v>774</v>
      </c>
    </row>
    <row r="1829" spans="1:5" x14ac:dyDescent="0.3">
      <c r="A1829" t="s">
        <v>2927</v>
      </c>
      <c r="B1829" t="s">
        <v>3264</v>
      </c>
      <c r="C1829" t="s">
        <v>458</v>
      </c>
      <c r="D1829" t="s">
        <v>6079</v>
      </c>
      <c r="E1829" t="s">
        <v>774</v>
      </c>
    </row>
    <row r="1830" spans="1:5" x14ac:dyDescent="0.3">
      <c r="A1830" t="s">
        <v>399</v>
      </c>
      <c r="B1830" t="s">
        <v>331</v>
      </c>
      <c r="C1830" t="s">
        <v>6084</v>
      </c>
      <c r="D1830" t="s">
        <v>6083</v>
      </c>
      <c r="E1830" t="s">
        <v>781</v>
      </c>
    </row>
    <row r="1831" spans="1:5" x14ac:dyDescent="0.3">
      <c r="A1831" t="s">
        <v>1410</v>
      </c>
      <c r="B1831" t="s">
        <v>1668</v>
      </c>
      <c r="C1831" t="s">
        <v>6085</v>
      </c>
      <c r="D1831" t="s">
        <v>5213</v>
      </c>
      <c r="E1831" t="s">
        <v>2175</v>
      </c>
    </row>
    <row r="1832" spans="1:5" x14ac:dyDescent="0.3">
      <c r="A1832" t="s">
        <v>206</v>
      </c>
      <c r="B1832" t="s">
        <v>2386</v>
      </c>
      <c r="C1832" t="s">
        <v>460</v>
      </c>
      <c r="D1832" t="s">
        <v>5213</v>
      </c>
      <c r="E1832" t="s">
        <v>2175</v>
      </c>
    </row>
    <row r="1833" spans="1:5" x14ac:dyDescent="0.3">
      <c r="A1833" t="s">
        <v>826</v>
      </c>
      <c r="B1833" t="s">
        <v>1443</v>
      </c>
      <c r="C1833" t="s">
        <v>862</v>
      </c>
      <c r="D1833" t="s">
        <v>5213</v>
      </c>
      <c r="E1833" t="s">
        <v>2175</v>
      </c>
    </row>
    <row r="1834" spans="1:5" x14ac:dyDescent="0.3">
      <c r="A1834" t="s">
        <v>160</v>
      </c>
      <c r="B1834" t="s">
        <v>3356</v>
      </c>
      <c r="C1834" t="s">
        <v>467</v>
      </c>
      <c r="D1834" t="s">
        <v>5213</v>
      </c>
      <c r="E1834" t="s">
        <v>2175</v>
      </c>
    </row>
    <row r="1835" spans="1:5" x14ac:dyDescent="0.3">
      <c r="A1835" t="s">
        <v>184</v>
      </c>
      <c r="B1835" t="s">
        <v>6088</v>
      </c>
      <c r="C1835" t="s">
        <v>6087</v>
      </c>
      <c r="D1835" t="s">
        <v>2718</v>
      </c>
      <c r="E1835" t="s">
        <v>781</v>
      </c>
    </row>
    <row r="1836" spans="1:5" x14ac:dyDescent="0.3">
      <c r="A1836" t="s">
        <v>6089</v>
      </c>
      <c r="B1836" t="s">
        <v>1262</v>
      </c>
      <c r="C1836" t="s">
        <v>862</v>
      </c>
      <c r="D1836" t="s">
        <v>2718</v>
      </c>
      <c r="E1836" t="s">
        <v>781</v>
      </c>
    </row>
    <row r="1837" spans="1:5" x14ac:dyDescent="0.3">
      <c r="A1837" t="s">
        <v>113</v>
      </c>
      <c r="B1837" t="s">
        <v>4369</v>
      </c>
      <c r="C1837" t="s">
        <v>862</v>
      </c>
      <c r="D1837" t="s">
        <v>2718</v>
      </c>
      <c r="E1837" t="s">
        <v>781</v>
      </c>
    </row>
    <row r="1838" spans="1:5" x14ac:dyDescent="0.3">
      <c r="A1838" t="s">
        <v>6090</v>
      </c>
      <c r="B1838" t="s">
        <v>6092</v>
      </c>
      <c r="C1838" t="s">
        <v>6091</v>
      </c>
      <c r="D1838" t="s">
        <v>2718</v>
      </c>
      <c r="E1838" t="s">
        <v>781</v>
      </c>
    </row>
    <row r="1839" spans="1:5" x14ac:dyDescent="0.3">
      <c r="A1839" t="s">
        <v>177</v>
      </c>
      <c r="B1839" t="s">
        <v>4626</v>
      </c>
      <c r="C1839" t="s">
        <v>862</v>
      </c>
      <c r="D1839" t="s">
        <v>2718</v>
      </c>
      <c r="E1839" t="s">
        <v>781</v>
      </c>
    </row>
    <row r="1840" spans="1:5" x14ac:dyDescent="0.3">
      <c r="A1840" t="s">
        <v>1579</v>
      </c>
      <c r="B1840" t="s">
        <v>6095</v>
      </c>
      <c r="C1840" t="s">
        <v>3555</v>
      </c>
      <c r="D1840" t="s">
        <v>3435</v>
      </c>
      <c r="E1840" t="s">
        <v>741</v>
      </c>
    </row>
    <row r="1841" spans="1:5" x14ac:dyDescent="0.3">
      <c r="A1841" t="s">
        <v>125</v>
      </c>
      <c r="B1841" t="s">
        <v>6098</v>
      </c>
      <c r="C1841" t="s">
        <v>461</v>
      </c>
      <c r="D1841" t="s">
        <v>6097</v>
      </c>
      <c r="E1841" t="s">
        <v>774</v>
      </c>
    </row>
    <row r="1842" spans="1:5" x14ac:dyDescent="0.3">
      <c r="A1842" t="s">
        <v>6102</v>
      </c>
      <c r="B1842" t="s">
        <v>6103</v>
      </c>
      <c r="C1842" t="s">
        <v>6016</v>
      </c>
      <c r="D1842" t="s">
        <v>1919</v>
      </c>
      <c r="E1842" t="s">
        <v>781</v>
      </c>
    </row>
    <row r="1843" spans="1:5" x14ac:dyDescent="0.3">
      <c r="A1843" t="s">
        <v>6104</v>
      </c>
      <c r="B1843" t="s">
        <v>6105</v>
      </c>
      <c r="C1843" t="s">
        <v>456</v>
      </c>
      <c r="D1843" t="s">
        <v>1919</v>
      </c>
      <c r="E1843" t="s">
        <v>781</v>
      </c>
    </row>
    <row r="1844" spans="1:5" x14ac:dyDescent="0.3">
      <c r="A1844" t="s">
        <v>251</v>
      </c>
      <c r="B1844" t="s">
        <v>6106</v>
      </c>
      <c r="C1844" t="s">
        <v>461</v>
      </c>
      <c r="D1844" t="s">
        <v>1919</v>
      </c>
      <c r="E1844" t="s">
        <v>781</v>
      </c>
    </row>
    <row r="1845" spans="1:5" x14ac:dyDescent="0.3">
      <c r="A1845" t="s">
        <v>6107</v>
      </c>
      <c r="B1845" t="s">
        <v>6108</v>
      </c>
      <c r="C1845" t="s">
        <v>457</v>
      </c>
      <c r="D1845" t="s">
        <v>1919</v>
      </c>
      <c r="E1845" t="s">
        <v>781</v>
      </c>
    </row>
    <row r="1846" spans="1:5" x14ac:dyDescent="0.3">
      <c r="A1846" t="s">
        <v>860</v>
      </c>
      <c r="B1846" t="s">
        <v>309</v>
      </c>
      <c r="C1846" t="s">
        <v>3109</v>
      </c>
      <c r="D1846" t="s">
        <v>1919</v>
      </c>
      <c r="E1846" t="s">
        <v>781</v>
      </c>
    </row>
    <row r="1847" spans="1:5" x14ac:dyDescent="0.3">
      <c r="A1847" t="s">
        <v>22</v>
      </c>
      <c r="B1847" t="s">
        <v>3397</v>
      </c>
      <c r="C1847" t="s">
        <v>6110</v>
      </c>
      <c r="D1847" t="s">
        <v>1919</v>
      </c>
      <c r="E1847" t="s">
        <v>781</v>
      </c>
    </row>
    <row r="1848" spans="1:5" x14ac:dyDescent="0.3">
      <c r="A1848" t="s">
        <v>97</v>
      </c>
      <c r="B1848" t="s">
        <v>6112</v>
      </c>
      <c r="C1848" t="s">
        <v>6111</v>
      </c>
      <c r="D1848" t="s">
        <v>1919</v>
      </c>
      <c r="E1848" t="s">
        <v>781</v>
      </c>
    </row>
    <row r="1849" spans="1:5" x14ac:dyDescent="0.3">
      <c r="A1849" t="s">
        <v>112</v>
      </c>
      <c r="B1849" t="s">
        <v>1403</v>
      </c>
      <c r="C1849" t="s">
        <v>6113</v>
      </c>
      <c r="D1849" t="s">
        <v>1919</v>
      </c>
      <c r="E1849" t="s">
        <v>781</v>
      </c>
    </row>
    <row r="1850" spans="1:5" x14ac:dyDescent="0.3">
      <c r="A1850" t="s">
        <v>56</v>
      </c>
      <c r="B1850" t="s">
        <v>6116</v>
      </c>
      <c r="C1850" t="s">
        <v>457</v>
      </c>
      <c r="D1850" t="s">
        <v>6114</v>
      </c>
      <c r="E1850" t="s">
        <v>18</v>
      </c>
    </row>
    <row r="1851" spans="1:5" x14ac:dyDescent="0.3">
      <c r="A1851" t="s">
        <v>82</v>
      </c>
      <c r="B1851" t="s">
        <v>2277</v>
      </c>
      <c r="C1851" t="s">
        <v>6118</v>
      </c>
      <c r="D1851" t="s">
        <v>6114</v>
      </c>
      <c r="E1851" t="s">
        <v>18</v>
      </c>
    </row>
    <row r="1852" spans="1:5" x14ac:dyDescent="0.3">
      <c r="A1852" t="s">
        <v>44</v>
      </c>
      <c r="B1852" t="s">
        <v>5195</v>
      </c>
      <c r="C1852" t="s">
        <v>461</v>
      </c>
      <c r="D1852" t="s">
        <v>6119</v>
      </c>
      <c r="E1852" t="s">
        <v>774</v>
      </c>
    </row>
    <row r="1853" spans="1:5" x14ac:dyDescent="0.3">
      <c r="A1853" t="s">
        <v>857</v>
      </c>
      <c r="B1853" t="s">
        <v>5831</v>
      </c>
      <c r="C1853" t="s">
        <v>862</v>
      </c>
      <c r="D1853" t="s">
        <v>6119</v>
      </c>
      <c r="E1853" t="s">
        <v>774</v>
      </c>
    </row>
    <row r="1854" spans="1:5" x14ac:dyDescent="0.3">
      <c r="A1854" t="s">
        <v>826</v>
      </c>
      <c r="B1854" t="s">
        <v>4542</v>
      </c>
      <c r="C1854" t="s">
        <v>461</v>
      </c>
      <c r="D1854" t="s">
        <v>6119</v>
      </c>
      <c r="E1854" t="s">
        <v>774</v>
      </c>
    </row>
    <row r="1855" spans="1:5" x14ac:dyDescent="0.3">
      <c r="A1855" t="s">
        <v>6121</v>
      </c>
      <c r="B1855" t="s">
        <v>2993</v>
      </c>
      <c r="C1855" t="s">
        <v>6122</v>
      </c>
      <c r="D1855" t="s">
        <v>6119</v>
      </c>
      <c r="E1855" t="s">
        <v>774</v>
      </c>
    </row>
    <row r="1856" spans="1:5" x14ac:dyDescent="0.3">
      <c r="A1856" t="s">
        <v>3504</v>
      </c>
      <c r="B1856" t="s">
        <v>6123</v>
      </c>
      <c r="C1856" t="s">
        <v>2571</v>
      </c>
      <c r="D1856" t="s">
        <v>2427</v>
      </c>
      <c r="E1856" t="s">
        <v>741</v>
      </c>
    </row>
    <row r="1857" spans="1:5" x14ac:dyDescent="0.3">
      <c r="A1857" t="s">
        <v>66</v>
      </c>
      <c r="B1857" t="s">
        <v>3667</v>
      </c>
      <c r="C1857" t="s">
        <v>862</v>
      </c>
      <c r="D1857" t="s">
        <v>2427</v>
      </c>
      <c r="E1857" t="s">
        <v>741</v>
      </c>
    </row>
    <row r="1858" spans="1:5" x14ac:dyDescent="0.3">
      <c r="A1858" t="s">
        <v>339</v>
      </c>
      <c r="B1858" t="s">
        <v>6125</v>
      </c>
      <c r="C1858" t="s">
        <v>6124</v>
      </c>
      <c r="D1858" t="s">
        <v>2427</v>
      </c>
      <c r="E1858" t="s">
        <v>741</v>
      </c>
    </row>
    <row r="1859" spans="1:5" x14ac:dyDescent="0.3">
      <c r="A1859" t="s">
        <v>20</v>
      </c>
      <c r="B1859" t="s">
        <v>6128</v>
      </c>
      <c r="C1859" t="s">
        <v>862</v>
      </c>
      <c r="D1859" t="s">
        <v>968</v>
      </c>
      <c r="E1859" t="s">
        <v>781</v>
      </c>
    </row>
    <row r="1860" spans="1:5" x14ac:dyDescent="0.3">
      <c r="A1860" t="s">
        <v>66</v>
      </c>
      <c r="B1860" t="s">
        <v>6129</v>
      </c>
      <c r="C1860" t="s">
        <v>862</v>
      </c>
      <c r="D1860" t="s">
        <v>968</v>
      </c>
      <c r="E1860" t="s">
        <v>781</v>
      </c>
    </row>
    <row r="1861" spans="1:5" x14ac:dyDescent="0.3">
      <c r="A1861" t="s">
        <v>6131</v>
      </c>
      <c r="B1861" t="s">
        <v>6132</v>
      </c>
      <c r="C1861" t="s">
        <v>467</v>
      </c>
      <c r="D1861" t="s">
        <v>6130</v>
      </c>
      <c r="E1861" t="s">
        <v>758</v>
      </c>
    </row>
    <row r="1862" spans="1:5" x14ac:dyDescent="0.3">
      <c r="A1862" t="s">
        <v>1195</v>
      </c>
      <c r="B1862" t="s">
        <v>6134</v>
      </c>
      <c r="C1862" t="s">
        <v>3373</v>
      </c>
      <c r="D1862" t="s">
        <v>968</v>
      </c>
      <c r="E1862" t="s">
        <v>781</v>
      </c>
    </row>
    <row r="1863" spans="1:5" x14ac:dyDescent="0.3">
      <c r="A1863" t="s">
        <v>129</v>
      </c>
      <c r="B1863" t="s">
        <v>1906</v>
      </c>
      <c r="C1863" t="s">
        <v>5950</v>
      </c>
      <c r="D1863" t="s">
        <v>2444</v>
      </c>
      <c r="E1863" t="s">
        <v>741</v>
      </c>
    </row>
    <row r="1864" spans="1:5" x14ac:dyDescent="0.3">
      <c r="A1864" t="s">
        <v>6136</v>
      </c>
      <c r="B1864" t="s">
        <v>4856</v>
      </c>
      <c r="C1864" t="s">
        <v>467</v>
      </c>
      <c r="D1864" t="s">
        <v>968</v>
      </c>
      <c r="E1864" t="s">
        <v>781</v>
      </c>
    </row>
    <row r="1865" spans="1:5" x14ac:dyDescent="0.3">
      <c r="A1865" t="s">
        <v>153</v>
      </c>
      <c r="B1865" t="s">
        <v>3437</v>
      </c>
      <c r="C1865" t="s">
        <v>518</v>
      </c>
      <c r="D1865" t="s">
        <v>968</v>
      </c>
      <c r="E1865" t="s">
        <v>781</v>
      </c>
    </row>
    <row r="1866" spans="1:5" x14ac:dyDescent="0.3">
      <c r="A1866" t="s">
        <v>2794</v>
      </c>
      <c r="B1866" t="s">
        <v>6143</v>
      </c>
      <c r="C1866" t="s">
        <v>6142</v>
      </c>
      <c r="D1866" t="s">
        <v>6140</v>
      </c>
      <c r="E1866" t="s">
        <v>774</v>
      </c>
    </row>
    <row r="1867" spans="1:5" x14ac:dyDescent="0.3">
      <c r="A1867" t="s">
        <v>3472</v>
      </c>
      <c r="B1867" t="s">
        <v>4033</v>
      </c>
      <c r="C1867" t="s">
        <v>3080</v>
      </c>
      <c r="D1867" t="s">
        <v>6144</v>
      </c>
      <c r="E1867" t="s">
        <v>75</v>
      </c>
    </row>
    <row r="1868" spans="1:5" x14ac:dyDescent="0.3">
      <c r="A1868" t="s">
        <v>20</v>
      </c>
      <c r="B1868" t="s">
        <v>6147</v>
      </c>
      <c r="C1868" t="s">
        <v>467</v>
      </c>
      <c r="D1868" t="s">
        <v>6146</v>
      </c>
      <c r="E1868" t="s">
        <v>18</v>
      </c>
    </row>
    <row r="1869" spans="1:5" x14ac:dyDescent="0.3">
      <c r="A1869" t="s">
        <v>131</v>
      </c>
      <c r="B1869" t="s">
        <v>6149</v>
      </c>
      <c r="C1869" t="s">
        <v>6148</v>
      </c>
      <c r="D1869" t="s">
        <v>6146</v>
      </c>
      <c r="E1869" t="s">
        <v>18</v>
      </c>
    </row>
    <row r="1870" spans="1:5" x14ac:dyDescent="0.3">
      <c r="A1870" t="s">
        <v>160</v>
      </c>
      <c r="B1870" t="s">
        <v>6152</v>
      </c>
      <c r="C1870" t="s">
        <v>6151</v>
      </c>
      <c r="D1870" t="s">
        <v>6146</v>
      </c>
      <c r="E1870" t="s">
        <v>18</v>
      </c>
    </row>
    <row r="1871" spans="1:5" x14ac:dyDescent="0.3">
      <c r="A1871" t="s">
        <v>2633</v>
      </c>
      <c r="B1871" t="s">
        <v>6154</v>
      </c>
      <c r="C1871" t="s">
        <v>461</v>
      </c>
      <c r="D1871" t="s">
        <v>6153</v>
      </c>
      <c r="E1871" t="s">
        <v>18</v>
      </c>
    </row>
    <row r="1872" spans="1:5" x14ac:dyDescent="0.3">
      <c r="A1872" t="s">
        <v>1920</v>
      </c>
      <c r="B1872" t="s">
        <v>1634</v>
      </c>
      <c r="C1872" t="s">
        <v>6157</v>
      </c>
      <c r="D1872" t="s">
        <v>4636</v>
      </c>
      <c r="E1872" t="s">
        <v>774</v>
      </c>
    </row>
    <row r="1873" spans="1:5" x14ac:dyDescent="0.3">
      <c r="A1873" t="s">
        <v>6159</v>
      </c>
      <c r="B1873" t="s">
        <v>4505</v>
      </c>
      <c r="C1873" t="s">
        <v>467</v>
      </c>
      <c r="D1873" t="s">
        <v>4636</v>
      </c>
      <c r="E1873" t="s">
        <v>774</v>
      </c>
    </row>
    <row r="1874" spans="1:5" x14ac:dyDescent="0.3">
      <c r="A1874" t="s">
        <v>298</v>
      </c>
      <c r="B1874" t="s">
        <v>6161</v>
      </c>
      <c r="C1874" t="s">
        <v>457</v>
      </c>
      <c r="D1874" t="s">
        <v>6160</v>
      </c>
      <c r="E1874" t="s">
        <v>781</v>
      </c>
    </row>
    <row r="1875" spans="1:5" x14ac:dyDescent="0.3">
      <c r="A1875" t="s">
        <v>6162</v>
      </c>
      <c r="B1875" t="s">
        <v>6163</v>
      </c>
      <c r="C1875" t="s">
        <v>459</v>
      </c>
      <c r="D1875" t="s">
        <v>3830</v>
      </c>
      <c r="E1875" t="s">
        <v>75</v>
      </c>
    </row>
    <row r="1876" spans="1:5" x14ac:dyDescent="0.3">
      <c r="A1876" t="s">
        <v>1018</v>
      </c>
      <c r="B1876" t="s">
        <v>3475</v>
      </c>
      <c r="C1876" t="s">
        <v>459</v>
      </c>
      <c r="D1876" t="s">
        <v>6169</v>
      </c>
      <c r="E1876" t="s">
        <v>897</v>
      </c>
    </row>
    <row r="1877" spans="1:5" x14ac:dyDescent="0.3">
      <c r="A1877" t="s">
        <v>264</v>
      </c>
      <c r="B1877" t="s">
        <v>1118</v>
      </c>
      <c r="C1877" t="s">
        <v>6172</v>
      </c>
      <c r="D1877" t="s">
        <v>4476</v>
      </c>
      <c r="E1877" t="s">
        <v>75</v>
      </c>
    </row>
    <row r="1878" spans="1:5" x14ac:dyDescent="0.3">
      <c r="A1878" t="s">
        <v>89</v>
      </c>
      <c r="B1878" t="s">
        <v>6175</v>
      </c>
      <c r="C1878" t="s">
        <v>461</v>
      </c>
      <c r="D1878" t="s">
        <v>3013</v>
      </c>
      <c r="E1878" t="s">
        <v>758</v>
      </c>
    </row>
    <row r="1879" spans="1:5" x14ac:dyDescent="0.3">
      <c r="A1879" t="s">
        <v>1056</v>
      </c>
      <c r="B1879" t="s">
        <v>1419</v>
      </c>
      <c r="C1879" t="s">
        <v>461</v>
      </c>
      <c r="D1879" t="s">
        <v>6177</v>
      </c>
      <c r="E1879" t="s">
        <v>758</v>
      </c>
    </row>
    <row r="1880" spans="1:5" x14ac:dyDescent="0.3">
      <c r="A1880" t="s">
        <v>77</v>
      </c>
      <c r="B1880" t="s">
        <v>90</v>
      </c>
      <c r="C1880" t="s">
        <v>91</v>
      </c>
      <c r="D1880" t="s">
        <v>739</v>
      </c>
      <c r="E1880" t="s">
        <v>741</v>
      </c>
    </row>
    <row r="1881" spans="1:5" x14ac:dyDescent="0.3">
      <c r="A1881" t="s">
        <v>6178</v>
      </c>
      <c r="B1881" t="s">
        <v>1282</v>
      </c>
      <c r="C1881" t="s">
        <v>6179</v>
      </c>
      <c r="D1881" t="s">
        <v>4958</v>
      </c>
      <c r="E1881" t="s">
        <v>774</v>
      </c>
    </row>
    <row r="1882" spans="1:5" x14ac:dyDescent="0.3">
      <c r="A1882" t="s">
        <v>6180</v>
      </c>
      <c r="B1882" t="s">
        <v>6182</v>
      </c>
      <c r="C1882" t="s">
        <v>6181</v>
      </c>
    </row>
    <row r="1883" spans="1:5" x14ac:dyDescent="0.3">
      <c r="A1883" t="s">
        <v>4840</v>
      </c>
      <c r="B1883" t="s">
        <v>6189</v>
      </c>
      <c r="C1883" t="s">
        <v>6188</v>
      </c>
      <c r="D1883" t="s">
        <v>3225</v>
      </c>
      <c r="E1883" t="s">
        <v>841</v>
      </c>
    </row>
    <row r="1884" spans="1:5" x14ac:dyDescent="0.3">
      <c r="A1884" t="s">
        <v>2179</v>
      </c>
      <c r="B1884" t="s">
        <v>6192</v>
      </c>
      <c r="C1884" t="s">
        <v>6191</v>
      </c>
      <c r="D1884" t="s">
        <v>6190</v>
      </c>
      <c r="E1884" t="s">
        <v>75</v>
      </c>
    </row>
    <row r="1885" spans="1:5" x14ac:dyDescent="0.3">
      <c r="A1885" t="s">
        <v>6195</v>
      </c>
      <c r="B1885" t="s">
        <v>6196</v>
      </c>
      <c r="C1885" t="s">
        <v>628</v>
      </c>
      <c r="D1885" t="s">
        <v>6194</v>
      </c>
      <c r="E1885" t="s">
        <v>781</v>
      </c>
    </row>
    <row r="1886" spans="1:5" x14ac:dyDescent="0.3">
      <c r="A1886" t="s">
        <v>131</v>
      </c>
      <c r="B1886" t="s">
        <v>6199</v>
      </c>
      <c r="C1886" t="s">
        <v>6198</v>
      </c>
      <c r="D1886" t="s">
        <v>4277</v>
      </c>
      <c r="E1886" t="s">
        <v>841</v>
      </c>
    </row>
    <row r="1887" spans="1:5" x14ac:dyDescent="0.3">
      <c r="A1887" t="s">
        <v>298</v>
      </c>
      <c r="B1887" t="s">
        <v>4747</v>
      </c>
      <c r="C1887" t="s">
        <v>455</v>
      </c>
      <c r="D1887" t="s">
        <v>2624</v>
      </c>
      <c r="E1887" t="s">
        <v>781</v>
      </c>
    </row>
    <row r="1888" spans="1:5" x14ac:dyDescent="0.3">
      <c r="A1888" t="s">
        <v>6202</v>
      </c>
      <c r="B1888" t="s">
        <v>1029</v>
      </c>
      <c r="C1888" t="s">
        <v>698</v>
      </c>
      <c r="D1888" t="s">
        <v>4958</v>
      </c>
      <c r="E1888" t="s">
        <v>774</v>
      </c>
    </row>
    <row r="1889" spans="1:5" x14ac:dyDescent="0.3">
      <c r="A1889" t="s">
        <v>6203</v>
      </c>
      <c r="B1889" t="s">
        <v>6205</v>
      </c>
      <c r="C1889" t="s">
        <v>6204</v>
      </c>
      <c r="D1889" t="s">
        <v>769</v>
      </c>
      <c r="E1889" t="s">
        <v>1</v>
      </c>
    </row>
    <row r="1890" spans="1:5" x14ac:dyDescent="0.3">
      <c r="A1890" t="s">
        <v>190</v>
      </c>
      <c r="B1890" t="s">
        <v>4441</v>
      </c>
      <c r="C1890" t="s">
        <v>6208</v>
      </c>
      <c r="D1890" t="s">
        <v>753</v>
      </c>
      <c r="E1890" t="s">
        <v>743</v>
      </c>
    </row>
    <row r="1891" spans="1:5" x14ac:dyDescent="0.3">
      <c r="A1891" t="s">
        <v>27</v>
      </c>
      <c r="B1891" t="s">
        <v>6209</v>
      </c>
      <c r="C1891" t="s">
        <v>457</v>
      </c>
    </row>
    <row r="1892" spans="1:5" x14ac:dyDescent="0.3">
      <c r="A1892" t="s">
        <v>6210</v>
      </c>
      <c r="B1892" t="s">
        <v>6212</v>
      </c>
      <c r="C1892" t="s">
        <v>6211</v>
      </c>
      <c r="D1892" t="s">
        <v>769</v>
      </c>
      <c r="E1892" t="s">
        <v>1</v>
      </c>
    </row>
    <row r="1893" spans="1:5" x14ac:dyDescent="0.3">
      <c r="A1893" t="s">
        <v>3621</v>
      </c>
      <c r="B1893" t="s">
        <v>6214</v>
      </c>
      <c r="C1893" t="s">
        <v>6213</v>
      </c>
      <c r="D1893" t="s">
        <v>769</v>
      </c>
      <c r="E1893" t="s">
        <v>1</v>
      </c>
    </row>
    <row r="1894" spans="1:5" x14ac:dyDescent="0.3">
      <c r="A1894" t="s">
        <v>50</v>
      </c>
      <c r="B1894" t="s">
        <v>6216</v>
      </c>
      <c r="C1894" t="s">
        <v>458</v>
      </c>
      <c r="D1894" t="s">
        <v>6215</v>
      </c>
      <c r="E1894" t="s">
        <v>741</v>
      </c>
    </row>
    <row r="1895" spans="1:5" x14ac:dyDescent="0.3">
      <c r="A1895" t="s">
        <v>22</v>
      </c>
      <c r="B1895" t="s">
        <v>3706</v>
      </c>
      <c r="C1895" t="s">
        <v>718</v>
      </c>
      <c r="D1895" t="s">
        <v>6217</v>
      </c>
      <c r="E1895" t="s">
        <v>75</v>
      </c>
    </row>
    <row r="1896" spans="1:5" x14ac:dyDescent="0.3">
      <c r="A1896" t="s">
        <v>66</v>
      </c>
      <c r="B1896" t="s">
        <v>6219</v>
      </c>
      <c r="C1896" t="s">
        <v>6218</v>
      </c>
      <c r="D1896" t="s">
        <v>739</v>
      </c>
      <c r="E1896" t="s">
        <v>741</v>
      </c>
    </row>
    <row r="1897" spans="1:5" x14ac:dyDescent="0.3">
      <c r="A1897" t="s">
        <v>5255</v>
      </c>
      <c r="B1897" t="s">
        <v>6150</v>
      </c>
      <c r="C1897" t="s">
        <v>6222</v>
      </c>
      <c r="D1897" t="s">
        <v>2812</v>
      </c>
      <c r="E1897" t="s">
        <v>761</v>
      </c>
    </row>
    <row r="1898" spans="1:5" x14ac:dyDescent="0.3">
      <c r="A1898" t="s">
        <v>6224</v>
      </c>
      <c r="B1898" t="s">
        <v>6225</v>
      </c>
      <c r="C1898" t="s">
        <v>457</v>
      </c>
      <c r="D1898" t="s">
        <v>6223</v>
      </c>
      <c r="E1898" t="s">
        <v>781</v>
      </c>
    </row>
    <row r="1899" spans="1:5" x14ac:dyDescent="0.3">
      <c r="A1899" t="s">
        <v>167</v>
      </c>
      <c r="B1899" t="s">
        <v>1035</v>
      </c>
      <c r="C1899" t="s">
        <v>862</v>
      </c>
      <c r="D1899" t="s">
        <v>6226</v>
      </c>
      <c r="E1899" t="s">
        <v>761</v>
      </c>
    </row>
    <row r="1900" spans="1:5" x14ac:dyDescent="0.3">
      <c r="A1900" t="s">
        <v>2374</v>
      </c>
      <c r="B1900" t="s">
        <v>3360</v>
      </c>
      <c r="C1900" t="s">
        <v>6227</v>
      </c>
      <c r="D1900" t="s">
        <v>6226</v>
      </c>
      <c r="E1900" t="s">
        <v>761</v>
      </c>
    </row>
    <row r="1901" spans="1:5" x14ac:dyDescent="0.3">
      <c r="A1901" t="s">
        <v>157</v>
      </c>
      <c r="B1901" t="s">
        <v>6229</v>
      </c>
      <c r="C1901" t="s">
        <v>4318</v>
      </c>
      <c r="D1901" t="s">
        <v>6228</v>
      </c>
      <c r="E1901" t="s">
        <v>761</v>
      </c>
    </row>
    <row r="1902" spans="1:5" x14ac:dyDescent="0.3">
      <c r="A1902" t="s">
        <v>3718</v>
      </c>
      <c r="B1902" t="s">
        <v>1298</v>
      </c>
      <c r="C1902" t="s">
        <v>862</v>
      </c>
      <c r="D1902" t="s">
        <v>1168</v>
      </c>
      <c r="E1902" t="s">
        <v>774</v>
      </c>
    </row>
    <row r="1903" spans="1:5" x14ac:dyDescent="0.3">
      <c r="A1903" t="s">
        <v>931</v>
      </c>
      <c r="B1903" t="s">
        <v>5696</v>
      </c>
      <c r="C1903" t="s">
        <v>6230</v>
      </c>
      <c r="D1903" t="s">
        <v>960</v>
      </c>
      <c r="E1903" t="s">
        <v>774</v>
      </c>
    </row>
    <row r="1904" spans="1:5" x14ac:dyDescent="0.3">
      <c r="A1904" t="s">
        <v>4450</v>
      </c>
      <c r="B1904" t="s">
        <v>1118</v>
      </c>
      <c r="C1904" t="s">
        <v>6231</v>
      </c>
      <c r="D1904" t="s">
        <v>2348</v>
      </c>
      <c r="E1904" t="s">
        <v>75</v>
      </c>
    </row>
    <row r="1905" spans="1:5" x14ac:dyDescent="0.3">
      <c r="A1905" t="s">
        <v>2408</v>
      </c>
      <c r="B1905" t="s">
        <v>4997</v>
      </c>
      <c r="C1905" t="s">
        <v>518</v>
      </c>
    </row>
    <row r="1906" spans="1:5" x14ac:dyDescent="0.3">
      <c r="A1906" t="s">
        <v>50</v>
      </c>
      <c r="B1906" t="s">
        <v>1255</v>
      </c>
      <c r="C1906" t="s">
        <v>6233</v>
      </c>
      <c r="D1906" t="s">
        <v>6232</v>
      </c>
      <c r="E1906" t="s">
        <v>897</v>
      </c>
    </row>
    <row r="1907" spans="1:5" x14ac:dyDescent="0.3">
      <c r="A1907" t="s">
        <v>298</v>
      </c>
      <c r="B1907" t="s">
        <v>6236</v>
      </c>
      <c r="C1907" t="s">
        <v>6235</v>
      </c>
      <c r="D1907" t="s">
        <v>6234</v>
      </c>
      <c r="E1907" t="s">
        <v>781</v>
      </c>
    </row>
    <row r="1908" spans="1:5" x14ac:dyDescent="0.3">
      <c r="A1908" t="s">
        <v>1141</v>
      </c>
      <c r="B1908" t="s">
        <v>6239</v>
      </c>
      <c r="C1908" t="s">
        <v>6238</v>
      </c>
      <c r="D1908" t="s">
        <v>6237</v>
      </c>
      <c r="E1908" t="s">
        <v>741</v>
      </c>
    </row>
    <row r="1909" spans="1:5" x14ac:dyDescent="0.3">
      <c r="A1909" t="s">
        <v>22</v>
      </c>
      <c r="B1909" t="s">
        <v>6241</v>
      </c>
      <c r="C1909" t="s">
        <v>698</v>
      </c>
      <c r="D1909" t="s">
        <v>6240</v>
      </c>
      <c r="E1909" t="s">
        <v>761</v>
      </c>
    </row>
    <row r="1910" spans="1:5" x14ac:dyDescent="0.3">
      <c r="A1910" t="s">
        <v>224</v>
      </c>
      <c r="B1910" t="s">
        <v>6243</v>
      </c>
      <c r="C1910" t="s">
        <v>6242</v>
      </c>
    </row>
    <row r="1911" spans="1:5" x14ac:dyDescent="0.3">
      <c r="A1911" t="s">
        <v>6245</v>
      </c>
      <c r="B1911" t="s">
        <v>6247</v>
      </c>
      <c r="C1911" t="s">
        <v>6246</v>
      </c>
      <c r="D1911" t="s">
        <v>6244</v>
      </c>
      <c r="E1911" t="s">
        <v>761</v>
      </c>
    </row>
    <row r="1912" spans="1:5" x14ac:dyDescent="0.3">
      <c r="A1912" t="s">
        <v>6251</v>
      </c>
      <c r="B1912" t="s">
        <v>6252</v>
      </c>
      <c r="C1912" t="s">
        <v>698</v>
      </c>
    </row>
    <row r="1913" spans="1:5" x14ac:dyDescent="0.3">
      <c r="A1913" t="s">
        <v>41</v>
      </c>
      <c r="B1913" t="s">
        <v>3488</v>
      </c>
      <c r="C1913" t="s">
        <v>6253</v>
      </c>
      <c r="D1913" t="s">
        <v>919</v>
      </c>
      <c r="E1913" t="s">
        <v>1</v>
      </c>
    </row>
    <row r="1914" spans="1:5" x14ac:dyDescent="0.3">
      <c r="A1914" t="s">
        <v>160</v>
      </c>
      <c r="B1914" t="s">
        <v>3866</v>
      </c>
      <c r="C1914" t="s">
        <v>862</v>
      </c>
      <c r="D1914" t="s">
        <v>919</v>
      </c>
      <c r="E1914" t="s">
        <v>1</v>
      </c>
    </row>
    <row r="1915" spans="1:5" x14ac:dyDescent="0.3">
      <c r="A1915" t="s">
        <v>195</v>
      </c>
      <c r="B1915" t="s">
        <v>4369</v>
      </c>
      <c r="C1915" t="s">
        <v>862</v>
      </c>
      <c r="D1915" t="s">
        <v>919</v>
      </c>
      <c r="E1915" t="s">
        <v>1</v>
      </c>
    </row>
    <row r="1916" spans="1:5" x14ac:dyDescent="0.3">
      <c r="A1916" t="s">
        <v>100</v>
      </c>
      <c r="B1916" t="s">
        <v>6255</v>
      </c>
      <c r="C1916" t="s">
        <v>6254</v>
      </c>
      <c r="D1916" t="s">
        <v>919</v>
      </c>
      <c r="E1916" t="s">
        <v>1</v>
      </c>
    </row>
    <row r="1917" spans="1:5" x14ac:dyDescent="0.3">
      <c r="A1917" t="s">
        <v>3070</v>
      </c>
      <c r="B1917" t="s">
        <v>6138</v>
      </c>
      <c r="C1917" t="s">
        <v>862</v>
      </c>
      <c r="D1917" t="s">
        <v>919</v>
      </c>
      <c r="E1917" t="s">
        <v>1</v>
      </c>
    </row>
    <row r="1918" spans="1:5" x14ac:dyDescent="0.3">
      <c r="A1918" t="s">
        <v>4015</v>
      </c>
      <c r="B1918" t="s">
        <v>6257</v>
      </c>
      <c r="C1918" t="s">
        <v>4645</v>
      </c>
      <c r="D1918" t="s">
        <v>6256</v>
      </c>
      <c r="E1918" t="s">
        <v>781</v>
      </c>
    </row>
    <row r="1919" spans="1:5" x14ac:dyDescent="0.3">
      <c r="A1919" t="s">
        <v>1436</v>
      </c>
      <c r="B1919" t="s">
        <v>2894</v>
      </c>
      <c r="C1919" t="s">
        <v>461</v>
      </c>
      <c r="D1919" t="s">
        <v>6258</v>
      </c>
      <c r="E1919" t="s">
        <v>761</v>
      </c>
    </row>
    <row r="1920" spans="1:5" x14ac:dyDescent="0.3">
      <c r="A1920" t="s">
        <v>157</v>
      </c>
      <c r="B1920" t="s">
        <v>856</v>
      </c>
      <c r="C1920" t="s">
        <v>862</v>
      </c>
      <c r="D1920" t="s">
        <v>1183</v>
      </c>
      <c r="E1920" t="s">
        <v>1</v>
      </c>
    </row>
    <row r="1921" spans="1:5" x14ac:dyDescent="0.3">
      <c r="A1921" t="s">
        <v>1133</v>
      </c>
      <c r="B1921" t="s">
        <v>6259</v>
      </c>
      <c r="C1921" t="s">
        <v>456</v>
      </c>
      <c r="D1921" t="s">
        <v>753</v>
      </c>
      <c r="E1921" t="s">
        <v>743</v>
      </c>
    </row>
    <row r="1922" spans="1:5" x14ac:dyDescent="0.3">
      <c r="A1922" t="s">
        <v>50</v>
      </c>
      <c r="B1922" t="s">
        <v>6262</v>
      </c>
      <c r="C1922" t="s">
        <v>6261</v>
      </c>
      <c r="D1922" t="s">
        <v>753</v>
      </c>
      <c r="E1922" t="s">
        <v>743</v>
      </c>
    </row>
    <row r="1923" spans="1:5" x14ac:dyDescent="0.3">
      <c r="A1923" t="s">
        <v>50</v>
      </c>
      <c r="B1923" t="s">
        <v>4447</v>
      </c>
      <c r="C1923" t="s">
        <v>6263</v>
      </c>
      <c r="D1923" t="s">
        <v>753</v>
      </c>
      <c r="E1923" t="s">
        <v>743</v>
      </c>
    </row>
    <row r="1924" spans="1:5" x14ac:dyDescent="0.3">
      <c r="A1924" t="s">
        <v>752</v>
      </c>
      <c r="B1924" t="s">
        <v>1310</v>
      </c>
      <c r="C1924" t="s">
        <v>457</v>
      </c>
      <c r="D1924" t="s">
        <v>753</v>
      </c>
      <c r="E1924" t="s">
        <v>743</v>
      </c>
    </row>
    <row r="1925" spans="1:5" x14ac:dyDescent="0.3">
      <c r="A1925" t="s">
        <v>6264</v>
      </c>
      <c r="B1925" t="s">
        <v>6266</v>
      </c>
      <c r="C1925" t="s">
        <v>6265</v>
      </c>
      <c r="D1925" t="s">
        <v>751</v>
      </c>
      <c r="E1925" t="s">
        <v>1</v>
      </c>
    </row>
    <row r="1926" spans="1:5" x14ac:dyDescent="0.3">
      <c r="A1926" t="s">
        <v>860</v>
      </c>
      <c r="B1926" t="s">
        <v>5646</v>
      </c>
      <c r="C1926" t="s">
        <v>457</v>
      </c>
    </row>
    <row r="1927" spans="1:5" x14ac:dyDescent="0.3">
      <c r="A1927" t="s">
        <v>1352</v>
      </c>
      <c r="B1927" t="s">
        <v>6267</v>
      </c>
      <c r="C1927" t="s">
        <v>2571</v>
      </c>
      <c r="D1927" t="s">
        <v>1509</v>
      </c>
      <c r="E1927" t="s">
        <v>781</v>
      </c>
    </row>
    <row r="1928" spans="1:5" x14ac:dyDescent="0.3">
      <c r="A1928" t="s">
        <v>867</v>
      </c>
      <c r="B1928" t="s">
        <v>6268</v>
      </c>
      <c r="C1928" t="s">
        <v>862</v>
      </c>
      <c r="D1928" t="s">
        <v>1509</v>
      </c>
      <c r="E1928" t="s">
        <v>781</v>
      </c>
    </row>
    <row r="1929" spans="1:5" x14ac:dyDescent="0.3">
      <c r="A1929" t="s">
        <v>347</v>
      </c>
      <c r="B1929" t="s">
        <v>6270</v>
      </c>
      <c r="C1929" t="s">
        <v>458</v>
      </c>
    </row>
    <row r="1930" spans="1:5" x14ac:dyDescent="0.3">
      <c r="A1930" t="s">
        <v>3775</v>
      </c>
      <c r="B1930" t="s">
        <v>6273</v>
      </c>
      <c r="C1930" t="s">
        <v>6272</v>
      </c>
      <c r="D1930" t="s">
        <v>751</v>
      </c>
      <c r="E1930" t="s">
        <v>1</v>
      </c>
    </row>
    <row r="1931" spans="1:5" x14ac:dyDescent="0.3">
      <c r="A1931" t="s">
        <v>3493</v>
      </c>
      <c r="B1931" t="s">
        <v>205</v>
      </c>
      <c r="C1931" t="s">
        <v>6275</v>
      </c>
      <c r="D1931" t="s">
        <v>6274</v>
      </c>
      <c r="E1931" t="s">
        <v>75</v>
      </c>
    </row>
    <row r="1932" spans="1:5" x14ac:dyDescent="0.3">
      <c r="A1932" t="s">
        <v>339</v>
      </c>
      <c r="B1932" t="s">
        <v>1446</v>
      </c>
      <c r="C1932" t="s">
        <v>698</v>
      </c>
      <c r="D1932" t="s">
        <v>5043</v>
      </c>
      <c r="E1932" t="s">
        <v>741</v>
      </c>
    </row>
    <row r="1933" spans="1:5" x14ac:dyDescent="0.3">
      <c r="A1933" t="s">
        <v>6277</v>
      </c>
      <c r="B1933" t="s">
        <v>6278</v>
      </c>
      <c r="C1933" t="s">
        <v>862</v>
      </c>
      <c r="D1933" t="s">
        <v>6276</v>
      </c>
      <c r="E1933" t="s">
        <v>743</v>
      </c>
    </row>
    <row r="1934" spans="1:5" x14ac:dyDescent="0.3">
      <c r="A1934" t="s">
        <v>77</v>
      </c>
      <c r="B1934" t="s">
        <v>4998</v>
      </c>
      <c r="C1934" t="s">
        <v>6279</v>
      </c>
    </row>
    <row r="1935" spans="1:5" x14ac:dyDescent="0.3">
      <c r="A1935" t="s">
        <v>190</v>
      </c>
      <c r="B1935" t="s">
        <v>3250</v>
      </c>
      <c r="C1935" t="s">
        <v>6280</v>
      </c>
      <c r="D1935" t="s">
        <v>1673</v>
      </c>
      <c r="E1935" t="s">
        <v>758</v>
      </c>
    </row>
    <row r="1936" spans="1:5" x14ac:dyDescent="0.3">
      <c r="A1936" t="s">
        <v>6281</v>
      </c>
      <c r="B1936" t="s">
        <v>1277</v>
      </c>
      <c r="C1936" t="s">
        <v>2571</v>
      </c>
      <c r="D1936" t="s">
        <v>943</v>
      </c>
      <c r="E1936" t="s">
        <v>1</v>
      </c>
    </row>
    <row r="1937" spans="1:5" x14ac:dyDescent="0.3">
      <c r="A1937" t="s">
        <v>347</v>
      </c>
      <c r="B1937" t="s">
        <v>6283</v>
      </c>
      <c r="C1937" t="s">
        <v>6282</v>
      </c>
      <c r="D1937" t="s">
        <v>1646</v>
      </c>
      <c r="E1937" t="s">
        <v>743</v>
      </c>
    </row>
    <row r="1938" spans="1:5" x14ac:dyDescent="0.3">
      <c r="A1938" t="s">
        <v>1469</v>
      </c>
      <c r="B1938" t="s">
        <v>444</v>
      </c>
      <c r="C1938" t="s">
        <v>6284</v>
      </c>
      <c r="D1938" t="s">
        <v>1646</v>
      </c>
      <c r="E1938" t="s">
        <v>743</v>
      </c>
    </row>
    <row r="1939" spans="1:5" x14ac:dyDescent="0.3">
      <c r="A1939" t="s">
        <v>1363</v>
      </c>
      <c r="B1939" t="s">
        <v>221</v>
      </c>
      <c r="C1939" t="s">
        <v>6285</v>
      </c>
      <c r="D1939" t="s">
        <v>1646</v>
      </c>
      <c r="E1939" t="s">
        <v>743</v>
      </c>
    </row>
    <row r="1940" spans="1:5" x14ac:dyDescent="0.3">
      <c r="A1940" t="s">
        <v>50</v>
      </c>
      <c r="B1940" t="s">
        <v>6287</v>
      </c>
      <c r="C1940" t="s">
        <v>6286</v>
      </c>
      <c r="D1940" t="s">
        <v>1646</v>
      </c>
      <c r="E1940" t="s">
        <v>743</v>
      </c>
    </row>
    <row r="1941" spans="1:5" x14ac:dyDescent="0.3">
      <c r="A1941" t="s">
        <v>864</v>
      </c>
      <c r="B1941" t="s">
        <v>6290</v>
      </c>
      <c r="C1941" t="s">
        <v>6289</v>
      </c>
      <c r="D1941" t="s">
        <v>5114</v>
      </c>
      <c r="E1941" t="s">
        <v>18</v>
      </c>
    </row>
    <row r="1942" spans="1:5" x14ac:dyDescent="0.3">
      <c r="A1942" t="s">
        <v>160</v>
      </c>
      <c r="B1942" t="s">
        <v>6291</v>
      </c>
      <c r="C1942" t="s">
        <v>518</v>
      </c>
      <c r="D1942" t="s">
        <v>902</v>
      </c>
      <c r="E1942" t="s">
        <v>1</v>
      </c>
    </row>
    <row r="1943" spans="1:5" x14ac:dyDescent="0.3">
      <c r="A1943" t="s">
        <v>936</v>
      </c>
      <c r="B1943" t="s">
        <v>6294</v>
      </c>
      <c r="C1943" t="s">
        <v>6293</v>
      </c>
      <c r="D1943" t="s">
        <v>2814</v>
      </c>
      <c r="E1943" t="s">
        <v>781</v>
      </c>
    </row>
    <row r="1944" spans="1:5" x14ac:dyDescent="0.3">
      <c r="A1944" t="s">
        <v>2599</v>
      </c>
      <c r="B1944" t="s">
        <v>4286</v>
      </c>
      <c r="C1944" t="s">
        <v>6295</v>
      </c>
      <c r="D1944" t="s">
        <v>2814</v>
      </c>
      <c r="E1944" t="s">
        <v>781</v>
      </c>
    </row>
    <row r="1945" spans="1:5" x14ac:dyDescent="0.3">
      <c r="A1945" t="s">
        <v>2431</v>
      </c>
      <c r="B1945" t="s">
        <v>4149</v>
      </c>
      <c r="C1945" t="s">
        <v>6296</v>
      </c>
      <c r="D1945" t="s">
        <v>2814</v>
      </c>
      <c r="E1945" t="s">
        <v>781</v>
      </c>
    </row>
    <row r="1946" spans="1:5" x14ac:dyDescent="0.3">
      <c r="A1946" t="s">
        <v>82</v>
      </c>
      <c r="B1946" t="s">
        <v>3063</v>
      </c>
      <c r="C1946" t="s">
        <v>6297</v>
      </c>
      <c r="D1946" t="s">
        <v>2814</v>
      </c>
      <c r="E1946" t="s">
        <v>781</v>
      </c>
    </row>
    <row r="1947" spans="1:5" x14ac:dyDescent="0.3">
      <c r="A1947" t="s">
        <v>6300</v>
      </c>
      <c r="B1947" t="s">
        <v>3091</v>
      </c>
      <c r="C1947" t="s">
        <v>2622</v>
      </c>
      <c r="D1947" t="s">
        <v>6299</v>
      </c>
      <c r="E1947" t="s">
        <v>741</v>
      </c>
    </row>
    <row r="1948" spans="1:5" x14ac:dyDescent="0.3">
      <c r="A1948" t="s">
        <v>2857</v>
      </c>
      <c r="B1948" t="s">
        <v>6301</v>
      </c>
      <c r="C1948" t="s">
        <v>460</v>
      </c>
      <c r="D1948" t="s">
        <v>6298</v>
      </c>
      <c r="E1948" t="s">
        <v>75</v>
      </c>
    </row>
    <row r="1949" spans="1:5" x14ac:dyDescent="0.3">
      <c r="A1949" t="s">
        <v>4643</v>
      </c>
      <c r="B1949" t="s">
        <v>6304</v>
      </c>
      <c r="C1949" t="s">
        <v>6303</v>
      </c>
      <c r="D1949" t="s">
        <v>6302</v>
      </c>
      <c r="E1949" t="s">
        <v>741</v>
      </c>
    </row>
    <row r="1950" spans="1:5" x14ac:dyDescent="0.3">
      <c r="A1950" t="s">
        <v>889</v>
      </c>
      <c r="B1950" t="s">
        <v>6305</v>
      </c>
      <c r="C1950" t="s">
        <v>5694</v>
      </c>
      <c r="D1950" t="s">
        <v>5218</v>
      </c>
      <c r="E1950" t="s">
        <v>18</v>
      </c>
    </row>
    <row r="1951" spans="1:5" x14ac:dyDescent="0.3">
      <c r="A1951" t="s">
        <v>6306</v>
      </c>
      <c r="B1951" t="s">
        <v>6308</v>
      </c>
      <c r="C1951" t="s">
        <v>6307</v>
      </c>
    </row>
    <row r="1952" spans="1:5" x14ac:dyDescent="0.3">
      <c r="A1952" t="s">
        <v>6310</v>
      </c>
      <c r="B1952" t="s">
        <v>6311</v>
      </c>
      <c r="C1952" t="s">
        <v>698</v>
      </c>
      <c r="D1952" t="s">
        <v>6309</v>
      </c>
      <c r="E1952" t="s">
        <v>774</v>
      </c>
    </row>
    <row r="1953" spans="1:5" x14ac:dyDescent="0.3">
      <c r="A1953" t="s">
        <v>411</v>
      </c>
      <c r="B1953" t="s">
        <v>6313</v>
      </c>
      <c r="C1953" t="s">
        <v>862</v>
      </c>
      <c r="D1953" t="s">
        <v>883</v>
      </c>
      <c r="E1953" t="s">
        <v>1</v>
      </c>
    </row>
    <row r="1954" spans="1:5" x14ac:dyDescent="0.3">
      <c r="A1954" t="s">
        <v>3737</v>
      </c>
      <c r="B1954" t="s">
        <v>6315</v>
      </c>
      <c r="C1954" t="s">
        <v>6314</v>
      </c>
      <c r="D1954" t="s">
        <v>883</v>
      </c>
      <c r="E1954" t="s">
        <v>1</v>
      </c>
    </row>
    <row r="1955" spans="1:5" x14ac:dyDescent="0.3">
      <c r="A1955" t="s">
        <v>100</v>
      </c>
      <c r="B1955" t="s">
        <v>6317</v>
      </c>
      <c r="C1955" t="s">
        <v>6316</v>
      </c>
      <c r="D1955" t="s">
        <v>883</v>
      </c>
      <c r="E1955" t="s">
        <v>1</v>
      </c>
    </row>
    <row r="1956" spans="1:5" x14ac:dyDescent="0.3">
      <c r="A1956" t="s">
        <v>2304</v>
      </c>
      <c r="B1956" t="s">
        <v>6321</v>
      </c>
      <c r="C1956" t="s">
        <v>6320</v>
      </c>
      <c r="D1956" t="s">
        <v>6319</v>
      </c>
      <c r="E1956" t="s">
        <v>897</v>
      </c>
    </row>
    <row r="1957" spans="1:5" x14ac:dyDescent="0.3">
      <c r="A1957" t="s">
        <v>6322</v>
      </c>
      <c r="B1957" t="s">
        <v>6324</v>
      </c>
      <c r="C1957" t="s">
        <v>6323</v>
      </c>
      <c r="D1957" t="s">
        <v>6319</v>
      </c>
      <c r="E1957" t="s">
        <v>897</v>
      </c>
    </row>
    <row r="1958" spans="1:5" x14ac:dyDescent="0.3">
      <c r="A1958" t="s">
        <v>82</v>
      </c>
      <c r="B1958" t="s">
        <v>2423</v>
      </c>
      <c r="C1958" t="s">
        <v>6325</v>
      </c>
      <c r="D1958" t="s">
        <v>1104</v>
      </c>
      <c r="E1958" t="s">
        <v>781</v>
      </c>
    </row>
    <row r="1959" spans="1:5" x14ac:dyDescent="0.3">
      <c r="A1959" t="s">
        <v>5468</v>
      </c>
      <c r="B1959" t="s">
        <v>6328</v>
      </c>
      <c r="C1959" t="s">
        <v>6327</v>
      </c>
      <c r="D1959" t="s">
        <v>1940</v>
      </c>
      <c r="E1959" t="s">
        <v>743</v>
      </c>
    </row>
    <row r="1960" spans="1:5" x14ac:dyDescent="0.3">
      <c r="A1960" t="s">
        <v>224</v>
      </c>
      <c r="B1960" t="s">
        <v>827</v>
      </c>
      <c r="C1960" t="s">
        <v>6329</v>
      </c>
      <c r="D1960" t="s">
        <v>1940</v>
      </c>
      <c r="E1960" t="s">
        <v>743</v>
      </c>
    </row>
    <row r="1961" spans="1:5" x14ac:dyDescent="0.3">
      <c r="A1961" t="s">
        <v>4107</v>
      </c>
      <c r="B1961" t="s">
        <v>6331</v>
      </c>
      <c r="C1961" t="s">
        <v>6330</v>
      </c>
      <c r="D1961" t="s">
        <v>1940</v>
      </c>
      <c r="E1961" t="s">
        <v>743</v>
      </c>
    </row>
    <row r="1962" spans="1:5" x14ac:dyDescent="0.3">
      <c r="A1962" t="s">
        <v>2670</v>
      </c>
      <c r="B1962" t="s">
        <v>6332</v>
      </c>
      <c r="C1962" t="s">
        <v>3109</v>
      </c>
      <c r="D1962" t="s">
        <v>1940</v>
      </c>
      <c r="E1962" t="s">
        <v>743</v>
      </c>
    </row>
    <row r="1963" spans="1:5" x14ac:dyDescent="0.3">
      <c r="A1963" t="s">
        <v>2187</v>
      </c>
      <c r="B1963" t="s">
        <v>2908</v>
      </c>
      <c r="C1963" t="s">
        <v>6333</v>
      </c>
      <c r="D1963" t="s">
        <v>1940</v>
      </c>
      <c r="E1963" t="s">
        <v>743</v>
      </c>
    </row>
    <row r="1964" spans="1:5" x14ac:dyDescent="0.3">
      <c r="A1964" t="s">
        <v>153</v>
      </c>
      <c r="B1964" t="s">
        <v>6335</v>
      </c>
      <c r="C1964" t="s">
        <v>455</v>
      </c>
    </row>
    <row r="1965" spans="1:5" x14ac:dyDescent="0.3">
      <c r="A1965" t="s">
        <v>2833</v>
      </c>
      <c r="B1965" t="s">
        <v>2987</v>
      </c>
      <c r="C1965" t="s">
        <v>6337</v>
      </c>
      <c r="D1965" t="s">
        <v>6336</v>
      </c>
      <c r="E1965" t="s">
        <v>781</v>
      </c>
    </row>
    <row r="1966" spans="1:5" x14ac:dyDescent="0.3">
      <c r="A1966" t="s">
        <v>1200</v>
      </c>
      <c r="B1966" t="s">
        <v>2637</v>
      </c>
      <c r="C1966" t="s">
        <v>6338</v>
      </c>
      <c r="D1966" t="s">
        <v>2577</v>
      </c>
      <c r="E1966" t="s">
        <v>741</v>
      </c>
    </row>
    <row r="1967" spans="1:5" x14ac:dyDescent="0.3">
      <c r="A1967" t="s">
        <v>3827</v>
      </c>
      <c r="B1967" t="s">
        <v>6340</v>
      </c>
      <c r="C1967" t="s">
        <v>6339</v>
      </c>
      <c r="D1967" t="s">
        <v>2577</v>
      </c>
      <c r="E1967" t="s">
        <v>741</v>
      </c>
    </row>
    <row r="1968" spans="1:5" x14ac:dyDescent="0.3">
      <c r="A1968" t="s">
        <v>65</v>
      </c>
      <c r="B1968" t="s">
        <v>83</v>
      </c>
      <c r="C1968" t="s">
        <v>698</v>
      </c>
    </row>
    <row r="1969" spans="1:5" x14ac:dyDescent="0.3">
      <c r="A1969" t="s">
        <v>98</v>
      </c>
      <c r="B1969" t="s">
        <v>6343</v>
      </c>
      <c r="C1969" t="s">
        <v>6342</v>
      </c>
    </row>
    <row r="1970" spans="1:5" x14ac:dyDescent="0.3">
      <c r="A1970" t="s">
        <v>404</v>
      </c>
      <c r="B1970" t="s">
        <v>4118</v>
      </c>
      <c r="C1970" t="s">
        <v>454</v>
      </c>
      <c r="D1970" t="s">
        <v>6344</v>
      </c>
      <c r="E1970" t="s">
        <v>781</v>
      </c>
    </row>
    <row r="1971" spans="1:5" x14ac:dyDescent="0.3">
      <c r="A1971" t="s">
        <v>936</v>
      </c>
      <c r="B1971" t="s">
        <v>6346</v>
      </c>
      <c r="C1971" t="s">
        <v>452</v>
      </c>
      <c r="D1971" t="s">
        <v>6345</v>
      </c>
      <c r="E1971" t="s">
        <v>741</v>
      </c>
    </row>
    <row r="1972" spans="1:5" x14ac:dyDescent="0.3">
      <c r="A1972" t="s">
        <v>1632</v>
      </c>
      <c r="B1972" t="s">
        <v>2970</v>
      </c>
      <c r="C1972" t="s">
        <v>6348</v>
      </c>
      <c r="D1972" t="s">
        <v>5527</v>
      </c>
      <c r="E1972" t="s">
        <v>2175</v>
      </c>
    </row>
    <row r="1973" spans="1:5" x14ac:dyDescent="0.3">
      <c r="A1973" t="s">
        <v>224</v>
      </c>
      <c r="B1973" t="s">
        <v>6352</v>
      </c>
      <c r="C1973" t="s">
        <v>6351</v>
      </c>
      <c r="D1973" t="s">
        <v>6350</v>
      </c>
      <c r="E1973" t="s">
        <v>774</v>
      </c>
    </row>
    <row r="1974" spans="1:5" x14ac:dyDescent="0.3">
      <c r="A1974" t="s">
        <v>315</v>
      </c>
      <c r="B1974" t="s">
        <v>6355</v>
      </c>
      <c r="C1974" t="s">
        <v>6354</v>
      </c>
      <c r="D1974" t="s">
        <v>818</v>
      </c>
      <c r="E1974" t="s">
        <v>774</v>
      </c>
    </row>
    <row r="1975" spans="1:5" x14ac:dyDescent="0.3">
      <c r="A1975" t="s">
        <v>6360</v>
      </c>
      <c r="B1975" t="s">
        <v>6362</v>
      </c>
      <c r="C1975" t="s">
        <v>6361</v>
      </c>
      <c r="D1975" t="s">
        <v>6359</v>
      </c>
      <c r="E1975" t="s">
        <v>761</v>
      </c>
    </row>
    <row r="1976" spans="1:5" x14ac:dyDescent="0.3">
      <c r="A1976" t="s">
        <v>5348</v>
      </c>
      <c r="B1976" t="s">
        <v>6364</v>
      </c>
      <c r="C1976" t="s">
        <v>455</v>
      </c>
      <c r="D1976" t="s">
        <v>5583</v>
      </c>
      <c r="E1976" t="s">
        <v>781</v>
      </c>
    </row>
    <row r="1977" spans="1:5" x14ac:dyDescent="0.3">
      <c r="A1977" t="s">
        <v>6269</v>
      </c>
      <c r="B1977" t="s">
        <v>6365</v>
      </c>
      <c r="C1977" t="s">
        <v>518</v>
      </c>
      <c r="D1977" t="s">
        <v>5583</v>
      </c>
      <c r="E1977" t="s">
        <v>781</v>
      </c>
    </row>
    <row r="1978" spans="1:5" x14ac:dyDescent="0.3">
      <c r="A1978" t="s">
        <v>404</v>
      </c>
      <c r="B1978" t="s">
        <v>3546</v>
      </c>
      <c r="C1978" t="s">
        <v>6366</v>
      </c>
      <c r="D1978" t="s">
        <v>5583</v>
      </c>
      <c r="E1978" t="s">
        <v>781</v>
      </c>
    </row>
    <row r="1979" spans="1:5" x14ac:dyDescent="0.3">
      <c r="A1979" t="s">
        <v>740</v>
      </c>
      <c r="B1979" t="s">
        <v>6367</v>
      </c>
      <c r="C1979" t="s">
        <v>5295</v>
      </c>
      <c r="D1979" t="s">
        <v>5583</v>
      </c>
      <c r="E1979" t="s">
        <v>781</v>
      </c>
    </row>
    <row r="1980" spans="1:5" x14ac:dyDescent="0.3">
      <c r="A1980" t="s">
        <v>167</v>
      </c>
      <c r="B1980" t="s">
        <v>210</v>
      </c>
      <c r="C1980" t="s">
        <v>6368</v>
      </c>
      <c r="D1980" t="s">
        <v>5583</v>
      </c>
      <c r="E1980" t="s">
        <v>781</v>
      </c>
    </row>
    <row r="1981" spans="1:5" x14ac:dyDescent="0.3">
      <c r="A1981" t="s">
        <v>1921</v>
      </c>
      <c r="B1981" t="s">
        <v>1142</v>
      </c>
      <c r="C1981" t="s">
        <v>6369</v>
      </c>
      <c r="D1981" t="s">
        <v>5608</v>
      </c>
      <c r="E1981" t="s">
        <v>781</v>
      </c>
    </row>
    <row r="1982" spans="1:5" x14ac:dyDescent="0.3">
      <c r="A1982" t="s">
        <v>6372</v>
      </c>
      <c r="B1982" t="s">
        <v>896</v>
      </c>
      <c r="C1982" t="s">
        <v>456</v>
      </c>
      <c r="D1982" t="s">
        <v>5608</v>
      </c>
      <c r="E1982" t="s">
        <v>781</v>
      </c>
    </row>
    <row r="1983" spans="1:5" x14ac:dyDescent="0.3">
      <c r="A1983" t="s">
        <v>6373</v>
      </c>
      <c r="B1983" t="s">
        <v>6375</v>
      </c>
      <c r="C1983" t="s">
        <v>6374</v>
      </c>
      <c r="D1983" t="s">
        <v>3228</v>
      </c>
      <c r="E1983" t="s">
        <v>1</v>
      </c>
    </row>
    <row r="1984" spans="1:5" x14ac:dyDescent="0.3">
      <c r="A1984" t="s">
        <v>179</v>
      </c>
      <c r="B1984" t="s">
        <v>6377</v>
      </c>
      <c r="C1984" t="s">
        <v>6376</v>
      </c>
      <c r="D1984" t="s">
        <v>1246</v>
      </c>
      <c r="E1984" t="s">
        <v>1</v>
      </c>
    </row>
    <row r="1985" spans="1:5" x14ac:dyDescent="0.3">
      <c r="A1985" t="s">
        <v>209</v>
      </c>
      <c r="B1985" t="s">
        <v>1508</v>
      </c>
      <c r="C1985" t="s">
        <v>461</v>
      </c>
      <c r="D1985" t="s">
        <v>6379</v>
      </c>
      <c r="E1985" t="s">
        <v>758</v>
      </c>
    </row>
    <row r="1986" spans="1:5" x14ac:dyDescent="0.3">
      <c r="A1986" t="s">
        <v>3218</v>
      </c>
      <c r="B1986" t="s">
        <v>6381</v>
      </c>
      <c r="C1986" t="s">
        <v>720</v>
      </c>
    </row>
    <row r="1987" spans="1:5" x14ac:dyDescent="0.3">
      <c r="A1987" t="s">
        <v>4880</v>
      </c>
      <c r="B1987" t="s">
        <v>6384</v>
      </c>
      <c r="C1987" t="s">
        <v>6383</v>
      </c>
      <c r="D1987" t="s">
        <v>5718</v>
      </c>
      <c r="E1987" t="s">
        <v>761</v>
      </c>
    </row>
    <row r="1988" spans="1:5" x14ac:dyDescent="0.3">
      <c r="A1988" t="s">
        <v>6386</v>
      </c>
      <c r="B1988" t="s">
        <v>6388</v>
      </c>
      <c r="C1988" t="s">
        <v>6387</v>
      </c>
      <c r="D1988" t="s">
        <v>6385</v>
      </c>
      <c r="E1988" t="s">
        <v>743</v>
      </c>
    </row>
    <row r="1989" spans="1:5" x14ac:dyDescent="0.3">
      <c r="A1989" t="s">
        <v>224</v>
      </c>
      <c r="B1989" t="s">
        <v>6390</v>
      </c>
      <c r="C1989" t="s">
        <v>745</v>
      </c>
    </row>
    <row r="1990" spans="1:5" x14ac:dyDescent="0.3">
      <c r="A1990" t="s">
        <v>1255</v>
      </c>
      <c r="B1990" t="s">
        <v>6393</v>
      </c>
      <c r="C1990" t="s">
        <v>6392</v>
      </c>
      <c r="D1990" t="s">
        <v>3203</v>
      </c>
      <c r="E1990" t="s">
        <v>743</v>
      </c>
    </row>
    <row r="1991" spans="1:5" x14ac:dyDescent="0.3">
      <c r="A1991" t="s">
        <v>130</v>
      </c>
      <c r="B1991" t="s">
        <v>2648</v>
      </c>
      <c r="C1991" t="s">
        <v>6394</v>
      </c>
      <c r="D1991" t="s">
        <v>2880</v>
      </c>
      <c r="E1991" t="s">
        <v>758</v>
      </c>
    </row>
    <row r="1992" spans="1:5" x14ac:dyDescent="0.3">
      <c r="A1992" t="s">
        <v>1238</v>
      </c>
      <c r="B1992" t="s">
        <v>6396</v>
      </c>
      <c r="C1992" t="s">
        <v>6395</v>
      </c>
      <c r="D1992" t="s">
        <v>1408</v>
      </c>
      <c r="E1992" t="s">
        <v>1</v>
      </c>
    </row>
    <row r="1993" spans="1:5" x14ac:dyDescent="0.3">
      <c r="A1993" t="s">
        <v>752</v>
      </c>
      <c r="B1993" t="s">
        <v>6398</v>
      </c>
      <c r="C1993" t="s">
        <v>6397</v>
      </c>
      <c r="D1993" t="s">
        <v>1408</v>
      </c>
      <c r="E1993" t="s">
        <v>1</v>
      </c>
    </row>
    <row r="1994" spans="1:5" x14ac:dyDescent="0.3">
      <c r="A1994" t="s">
        <v>113</v>
      </c>
      <c r="B1994" t="s">
        <v>3751</v>
      </c>
      <c r="C1994" t="s">
        <v>6399</v>
      </c>
      <c r="D1994" t="s">
        <v>1408</v>
      </c>
      <c r="E1994" t="s">
        <v>1</v>
      </c>
    </row>
    <row r="1995" spans="1:5" x14ac:dyDescent="0.3">
      <c r="A1995" t="s">
        <v>2485</v>
      </c>
      <c r="B1995" t="s">
        <v>6401</v>
      </c>
      <c r="C1995" t="s">
        <v>6400</v>
      </c>
      <c r="D1995" t="s">
        <v>1408</v>
      </c>
      <c r="E1995" t="s">
        <v>1</v>
      </c>
    </row>
    <row r="1996" spans="1:5" x14ac:dyDescent="0.3">
      <c r="A1996" t="s">
        <v>4784</v>
      </c>
      <c r="B1996" t="s">
        <v>6404</v>
      </c>
      <c r="C1996" t="s">
        <v>6403</v>
      </c>
      <c r="D1996" t="s">
        <v>1408</v>
      </c>
      <c r="E1996" t="s">
        <v>1</v>
      </c>
    </row>
    <row r="1997" spans="1:5" x14ac:dyDescent="0.3">
      <c r="A1997" t="s">
        <v>194</v>
      </c>
      <c r="B1997" t="s">
        <v>6407</v>
      </c>
      <c r="C1997" t="s">
        <v>455</v>
      </c>
      <c r="D1997" t="s">
        <v>6406</v>
      </c>
      <c r="E1997" t="s">
        <v>841</v>
      </c>
    </row>
    <row r="1998" spans="1:5" x14ac:dyDescent="0.3">
      <c r="A1998" t="s">
        <v>1222</v>
      </c>
      <c r="B1998" t="s">
        <v>140</v>
      </c>
      <c r="C1998" t="s">
        <v>6408</v>
      </c>
      <c r="D1998" t="s">
        <v>908</v>
      </c>
      <c r="E1998" t="s">
        <v>1</v>
      </c>
    </row>
    <row r="1999" spans="1:5" x14ac:dyDescent="0.3">
      <c r="A1999" t="s">
        <v>429</v>
      </c>
      <c r="B1999" t="s">
        <v>1251</v>
      </c>
      <c r="C1999" t="s">
        <v>6409</v>
      </c>
      <c r="D1999" t="s">
        <v>908</v>
      </c>
      <c r="E1999" t="s">
        <v>1</v>
      </c>
    </row>
    <row r="2000" spans="1:5" x14ac:dyDescent="0.3">
      <c r="A2000" t="s">
        <v>290</v>
      </c>
      <c r="B2000" t="s">
        <v>6410</v>
      </c>
      <c r="C2000" t="s">
        <v>698</v>
      </c>
      <c r="D2000" t="s">
        <v>887</v>
      </c>
      <c r="E2000" t="s">
        <v>781</v>
      </c>
    </row>
    <row r="2001" spans="1:5" x14ac:dyDescent="0.3">
      <c r="A2001" t="s">
        <v>2259</v>
      </c>
      <c r="B2001" t="s">
        <v>3661</v>
      </c>
      <c r="C2001" t="s">
        <v>6411</v>
      </c>
      <c r="D2001" t="s">
        <v>887</v>
      </c>
      <c r="E2001" t="s">
        <v>781</v>
      </c>
    </row>
    <row r="2002" spans="1:5" x14ac:dyDescent="0.3">
      <c r="A2002" t="s">
        <v>63</v>
      </c>
      <c r="B2002" t="s">
        <v>6413</v>
      </c>
      <c r="C2002" t="s">
        <v>6412</v>
      </c>
      <c r="D2002" t="s">
        <v>887</v>
      </c>
      <c r="E2002" t="s">
        <v>781</v>
      </c>
    </row>
    <row r="2003" spans="1:5" x14ac:dyDescent="0.3">
      <c r="A2003" t="s">
        <v>2821</v>
      </c>
      <c r="B2003" t="s">
        <v>6415</v>
      </c>
      <c r="C2003" t="s">
        <v>6414</v>
      </c>
      <c r="D2003" t="s">
        <v>887</v>
      </c>
      <c r="E2003" t="s">
        <v>781</v>
      </c>
    </row>
    <row r="2004" spans="1:5" x14ac:dyDescent="0.3">
      <c r="A2004" t="s">
        <v>3092</v>
      </c>
      <c r="B2004" t="s">
        <v>6417</v>
      </c>
      <c r="C2004" t="s">
        <v>6416</v>
      </c>
      <c r="D2004" t="s">
        <v>799</v>
      </c>
      <c r="E2004" t="s">
        <v>761</v>
      </c>
    </row>
    <row r="2005" spans="1:5" x14ac:dyDescent="0.3">
      <c r="A2005" t="s">
        <v>352</v>
      </c>
      <c r="B2005" t="s">
        <v>880</v>
      </c>
      <c r="C2005" t="s">
        <v>698</v>
      </c>
      <c r="D2005" t="s">
        <v>5891</v>
      </c>
      <c r="E2005" t="s">
        <v>897</v>
      </c>
    </row>
    <row r="2006" spans="1:5" x14ac:dyDescent="0.3">
      <c r="A2006" t="s">
        <v>2618</v>
      </c>
      <c r="B2006" t="s">
        <v>3249</v>
      </c>
      <c r="C2006" t="s">
        <v>6418</v>
      </c>
      <c r="D2006" t="s">
        <v>975</v>
      </c>
      <c r="E2006" t="s">
        <v>741</v>
      </c>
    </row>
    <row r="2007" spans="1:5" x14ac:dyDescent="0.3">
      <c r="A2007" t="s">
        <v>130</v>
      </c>
      <c r="B2007" t="s">
        <v>3637</v>
      </c>
      <c r="C2007" t="s">
        <v>6420</v>
      </c>
      <c r="D2007" t="s">
        <v>6419</v>
      </c>
      <c r="E2007" t="s">
        <v>781</v>
      </c>
    </row>
    <row r="2008" spans="1:5" x14ac:dyDescent="0.3">
      <c r="A2008" t="s">
        <v>116</v>
      </c>
      <c r="B2008" t="s">
        <v>3878</v>
      </c>
      <c r="C2008" t="s">
        <v>6422</v>
      </c>
      <c r="D2008" t="s">
        <v>6421</v>
      </c>
      <c r="E2008" t="s">
        <v>761</v>
      </c>
    </row>
    <row r="2009" spans="1:5" x14ac:dyDescent="0.3">
      <c r="A2009" t="s">
        <v>182</v>
      </c>
      <c r="B2009" t="s">
        <v>6424</v>
      </c>
      <c r="C2009" t="s">
        <v>6423</v>
      </c>
      <c r="D2009" t="s">
        <v>957</v>
      </c>
      <c r="E2009" t="s">
        <v>774</v>
      </c>
    </row>
    <row r="2010" spans="1:5" x14ac:dyDescent="0.3">
      <c r="A2010" t="s">
        <v>2432</v>
      </c>
      <c r="B2010" t="s">
        <v>97</v>
      </c>
      <c r="C2010" t="s">
        <v>6426</v>
      </c>
      <c r="D2010" t="s">
        <v>2541</v>
      </c>
      <c r="E2010" t="s">
        <v>781</v>
      </c>
    </row>
    <row r="2011" spans="1:5" x14ac:dyDescent="0.3">
      <c r="A2011" t="s">
        <v>190</v>
      </c>
      <c r="B2011" t="s">
        <v>3862</v>
      </c>
      <c r="C2011" t="s">
        <v>6427</v>
      </c>
      <c r="D2011" t="s">
        <v>2541</v>
      </c>
      <c r="E2011" t="s">
        <v>781</v>
      </c>
    </row>
    <row r="2012" spans="1:5" x14ac:dyDescent="0.3">
      <c r="A2012" t="s">
        <v>131</v>
      </c>
      <c r="B2012" t="s">
        <v>5501</v>
      </c>
      <c r="C2012" t="s">
        <v>5906</v>
      </c>
      <c r="D2012" t="s">
        <v>6429</v>
      </c>
      <c r="E2012" t="s">
        <v>741</v>
      </c>
    </row>
    <row r="2013" spans="1:5" x14ac:dyDescent="0.3">
      <c r="A2013" t="s">
        <v>976</v>
      </c>
      <c r="B2013" t="s">
        <v>824</v>
      </c>
      <c r="C2013" t="s">
        <v>6430</v>
      </c>
    </row>
    <row r="2014" spans="1:5" x14ac:dyDescent="0.3">
      <c r="A2014" t="s">
        <v>6431</v>
      </c>
      <c r="B2014" t="s">
        <v>6433</v>
      </c>
      <c r="C2014" t="s">
        <v>6432</v>
      </c>
    </row>
    <row r="2015" spans="1:5" x14ac:dyDescent="0.3">
      <c r="A2015" t="s">
        <v>740</v>
      </c>
      <c r="B2015" t="s">
        <v>6435</v>
      </c>
      <c r="C2015" t="s">
        <v>6434</v>
      </c>
      <c r="D2015" t="s">
        <v>5980</v>
      </c>
      <c r="E2015" t="s">
        <v>761</v>
      </c>
    </row>
    <row r="2016" spans="1:5" x14ac:dyDescent="0.3">
      <c r="A2016" t="s">
        <v>133</v>
      </c>
      <c r="B2016" t="s">
        <v>6438</v>
      </c>
      <c r="C2016" t="s">
        <v>6437</v>
      </c>
    </row>
    <row r="2017" spans="1:5" x14ac:dyDescent="0.3">
      <c r="A2017" t="s">
        <v>6440</v>
      </c>
      <c r="B2017" t="s">
        <v>6442</v>
      </c>
      <c r="C2017" t="s">
        <v>6441</v>
      </c>
      <c r="D2017" t="s">
        <v>951</v>
      </c>
      <c r="E2017" t="s">
        <v>1</v>
      </c>
    </row>
    <row r="2018" spans="1:5" x14ac:dyDescent="0.3">
      <c r="A2018" t="s">
        <v>35</v>
      </c>
      <c r="B2018" t="s">
        <v>1861</v>
      </c>
      <c r="C2018" t="s">
        <v>4318</v>
      </c>
      <c r="D2018" t="s">
        <v>6443</v>
      </c>
      <c r="E2018" t="s">
        <v>841</v>
      </c>
    </row>
    <row r="2019" spans="1:5" x14ac:dyDescent="0.3">
      <c r="A2019" t="s">
        <v>22</v>
      </c>
      <c r="B2019" t="s">
        <v>927</v>
      </c>
      <c r="C2019" t="s">
        <v>5937</v>
      </c>
      <c r="D2019" t="s">
        <v>5936</v>
      </c>
      <c r="E2019" t="s">
        <v>758</v>
      </c>
    </row>
    <row r="2020" spans="1:5" x14ac:dyDescent="0.3">
      <c r="A2020" t="s">
        <v>271</v>
      </c>
      <c r="B2020" t="s">
        <v>2691</v>
      </c>
      <c r="C2020" t="s">
        <v>461</v>
      </c>
      <c r="D2020" t="s">
        <v>5936</v>
      </c>
      <c r="E2020" t="s">
        <v>758</v>
      </c>
    </row>
    <row r="2021" spans="1:5" x14ac:dyDescent="0.3">
      <c r="A2021" t="s">
        <v>3355</v>
      </c>
      <c r="B2021" t="s">
        <v>6448</v>
      </c>
      <c r="C2021" t="s">
        <v>6447</v>
      </c>
      <c r="D2021" t="s">
        <v>6446</v>
      </c>
      <c r="E2021" t="s">
        <v>75</v>
      </c>
    </row>
    <row r="2022" spans="1:5" x14ac:dyDescent="0.3">
      <c r="A2022" t="s">
        <v>190</v>
      </c>
      <c r="B2022" t="s">
        <v>6451</v>
      </c>
      <c r="C2022" t="s">
        <v>458</v>
      </c>
    </row>
    <row r="2023" spans="1:5" x14ac:dyDescent="0.3">
      <c r="A2023" t="s">
        <v>6452</v>
      </c>
      <c r="B2023" t="s">
        <v>6454</v>
      </c>
      <c r="C2023" t="s">
        <v>6453</v>
      </c>
      <c r="D2023" t="s">
        <v>2427</v>
      </c>
      <c r="E2023" t="s">
        <v>741</v>
      </c>
    </row>
    <row r="2024" spans="1:5" x14ac:dyDescent="0.3">
      <c r="A2024" t="s">
        <v>138</v>
      </c>
      <c r="B2024" t="s">
        <v>6456</v>
      </c>
      <c r="C2024" t="s">
        <v>6455</v>
      </c>
      <c r="D2024" t="s">
        <v>968</v>
      </c>
      <c r="E2024" t="s">
        <v>781</v>
      </c>
    </row>
    <row r="2025" spans="1:5" x14ac:dyDescent="0.3">
      <c r="A2025" t="s">
        <v>160</v>
      </c>
      <c r="B2025" t="s">
        <v>6458</v>
      </c>
      <c r="C2025" t="s">
        <v>6457</v>
      </c>
      <c r="D2025" t="s">
        <v>968</v>
      </c>
      <c r="E2025" t="s">
        <v>781</v>
      </c>
    </row>
    <row r="2026" spans="1:5" x14ac:dyDescent="0.3">
      <c r="A2026" t="s">
        <v>195</v>
      </c>
      <c r="B2026" t="s">
        <v>6460</v>
      </c>
      <c r="C2026" t="s">
        <v>455</v>
      </c>
      <c r="D2026" t="s">
        <v>6459</v>
      </c>
      <c r="E2026" t="s">
        <v>774</v>
      </c>
    </row>
    <row r="2027" spans="1:5" x14ac:dyDescent="0.3">
      <c r="A2027" t="s">
        <v>1433</v>
      </c>
      <c r="B2027" t="s">
        <v>6464</v>
      </c>
      <c r="C2027" t="s">
        <v>698</v>
      </c>
      <c r="D2027" t="s">
        <v>6463</v>
      </c>
      <c r="E2027" t="s">
        <v>761</v>
      </c>
    </row>
    <row r="2028" spans="1:5" x14ac:dyDescent="0.3">
      <c r="A2028" t="s">
        <v>251</v>
      </c>
      <c r="B2028" t="s">
        <v>6467</v>
      </c>
      <c r="C2028" t="s">
        <v>6466</v>
      </c>
      <c r="D2028" t="s">
        <v>6465</v>
      </c>
      <c r="E2028" t="s">
        <v>774</v>
      </c>
    </row>
    <row r="2029" spans="1:5" x14ac:dyDescent="0.3">
      <c r="A2029" t="s">
        <v>29</v>
      </c>
      <c r="B2029" t="s">
        <v>6469</v>
      </c>
      <c r="C2029" t="s">
        <v>862</v>
      </c>
      <c r="D2029" t="s">
        <v>6468</v>
      </c>
      <c r="E2029" t="s">
        <v>841</v>
      </c>
    </row>
    <row r="2030" spans="1:5" x14ac:dyDescent="0.3">
      <c r="A2030" t="s">
        <v>27</v>
      </c>
      <c r="B2030" t="s">
        <v>4387</v>
      </c>
      <c r="C2030" t="s">
        <v>6471</v>
      </c>
      <c r="D2030" t="s">
        <v>6470</v>
      </c>
      <c r="E2030" t="s">
        <v>75</v>
      </c>
    </row>
    <row r="2031" spans="1:5" x14ac:dyDescent="0.3">
      <c r="A2031" t="s">
        <v>3610</v>
      </c>
      <c r="B2031" t="s">
        <v>6473</v>
      </c>
      <c r="C2031" t="s">
        <v>467</v>
      </c>
      <c r="D2031" t="s">
        <v>6472</v>
      </c>
      <c r="E2031" t="s">
        <v>75</v>
      </c>
    </row>
    <row r="2032" spans="1:5" x14ac:dyDescent="0.3">
      <c r="A2032" t="s">
        <v>860</v>
      </c>
      <c r="B2032" t="s">
        <v>1441</v>
      </c>
      <c r="C2032" t="s">
        <v>6475</v>
      </c>
      <c r="D2032" t="s">
        <v>2880</v>
      </c>
      <c r="E2032" t="s">
        <v>758</v>
      </c>
    </row>
    <row r="2033" spans="1:5" x14ac:dyDescent="0.3">
      <c r="A2033" t="s">
        <v>224</v>
      </c>
      <c r="B2033" t="s">
        <v>1601</v>
      </c>
      <c r="C2033" t="s">
        <v>451</v>
      </c>
      <c r="D2033" t="s">
        <v>5764</v>
      </c>
      <c r="E2033" t="s">
        <v>741</v>
      </c>
    </row>
    <row r="2034" spans="1:5" x14ac:dyDescent="0.3">
      <c r="A2034" t="s">
        <v>89</v>
      </c>
      <c r="B2034" t="s">
        <v>6479</v>
      </c>
      <c r="C2034" t="s">
        <v>6478</v>
      </c>
      <c r="D2034" t="s">
        <v>763</v>
      </c>
      <c r="E2034" t="s">
        <v>1</v>
      </c>
    </row>
    <row r="2035" spans="1:5" x14ac:dyDescent="0.3">
      <c r="A2035" t="s">
        <v>1404</v>
      </c>
      <c r="B2035" t="s">
        <v>6482</v>
      </c>
      <c r="C2035" t="s">
        <v>456</v>
      </c>
      <c r="D2035" t="s">
        <v>6481</v>
      </c>
      <c r="E2035" t="s">
        <v>781</v>
      </c>
    </row>
    <row r="2036" spans="1:5" x14ac:dyDescent="0.3">
      <c r="A2036" t="s">
        <v>1513</v>
      </c>
      <c r="B2036" t="s">
        <v>3577</v>
      </c>
      <c r="C2036" t="s">
        <v>6483</v>
      </c>
      <c r="D2036" t="s">
        <v>3995</v>
      </c>
      <c r="E2036" t="s">
        <v>761</v>
      </c>
    </row>
    <row r="2037" spans="1:5" x14ac:dyDescent="0.3">
      <c r="A2037" t="s">
        <v>31</v>
      </c>
      <c r="B2037" t="s">
        <v>6485</v>
      </c>
      <c r="C2037" t="s">
        <v>467</v>
      </c>
      <c r="D2037" t="s">
        <v>6484</v>
      </c>
      <c r="E2037" t="s">
        <v>75</v>
      </c>
    </row>
    <row r="2038" spans="1:5" x14ac:dyDescent="0.3">
      <c r="A2038" t="s">
        <v>6486</v>
      </c>
      <c r="B2038" t="s">
        <v>2776</v>
      </c>
      <c r="C2038" t="s">
        <v>698</v>
      </c>
      <c r="D2038" t="s">
        <v>5996</v>
      </c>
      <c r="E2038" t="s">
        <v>75</v>
      </c>
    </row>
    <row r="2039" spans="1:5" x14ac:dyDescent="0.3">
      <c r="A2039" t="s">
        <v>6487</v>
      </c>
      <c r="B2039" t="s">
        <v>6489</v>
      </c>
      <c r="C2039" t="s">
        <v>6488</v>
      </c>
      <c r="D2039" t="s">
        <v>4922</v>
      </c>
      <c r="E2039" t="s">
        <v>774</v>
      </c>
    </row>
    <row r="2040" spans="1:5" x14ac:dyDescent="0.3">
      <c r="A2040" t="s">
        <v>255</v>
      </c>
      <c r="B2040" t="s">
        <v>6491</v>
      </c>
      <c r="C2040" t="s">
        <v>461</v>
      </c>
      <c r="D2040" t="s">
        <v>6490</v>
      </c>
      <c r="E2040" t="s">
        <v>75</v>
      </c>
    </row>
    <row r="2041" spans="1:5" x14ac:dyDescent="0.3">
      <c r="A2041" t="s">
        <v>329</v>
      </c>
      <c r="B2041" t="s">
        <v>3877</v>
      </c>
      <c r="C2041" t="s">
        <v>460</v>
      </c>
      <c r="D2041" t="s">
        <v>6492</v>
      </c>
      <c r="E2041" t="s">
        <v>75</v>
      </c>
    </row>
    <row r="2042" spans="1:5" x14ac:dyDescent="0.3">
      <c r="A2042" t="s">
        <v>6493</v>
      </c>
      <c r="B2042" t="s">
        <v>6494</v>
      </c>
      <c r="C2042" t="s">
        <v>458</v>
      </c>
      <c r="D2042" t="s">
        <v>6145</v>
      </c>
      <c r="E2042" t="s">
        <v>75</v>
      </c>
    </row>
    <row r="2043" spans="1:5" x14ac:dyDescent="0.3">
      <c r="A2043" t="s">
        <v>6496</v>
      </c>
      <c r="B2043" t="s">
        <v>6498</v>
      </c>
      <c r="C2043" t="s">
        <v>6497</v>
      </c>
      <c r="D2043" t="s">
        <v>6495</v>
      </c>
      <c r="E2043" t="s">
        <v>774</v>
      </c>
    </row>
    <row r="2044" spans="1:5" x14ac:dyDescent="0.3">
      <c r="A2044" t="s">
        <v>999</v>
      </c>
      <c r="B2044" t="s">
        <v>5949</v>
      </c>
      <c r="C2044" t="s">
        <v>461</v>
      </c>
      <c r="D2044" t="s">
        <v>6499</v>
      </c>
      <c r="E2044" t="s">
        <v>75</v>
      </c>
    </row>
    <row r="2045" spans="1:5" x14ac:dyDescent="0.3">
      <c r="A2045" t="s">
        <v>160</v>
      </c>
      <c r="B2045" t="s">
        <v>6500</v>
      </c>
      <c r="C2045" t="s">
        <v>745</v>
      </c>
    </row>
    <row r="2046" spans="1:5" x14ac:dyDescent="0.3">
      <c r="A2046" t="s">
        <v>22</v>
      </c>
      <c r="B2046" t="s">
        <v>6505</v>
      </c>
      <c r="C2046" t="s">
        <v>862</v>
      </c>
      <c r="D2046" t="s">
        <v>4859</v>
      </c>
      <c r="E2046" t="s">
        <v>75</v>
      </c>
    </row>
    <row r="2047" spans="1:5" x14ac:dyDescent="0.3">
      <c r="A2047" t="s">
        <v>345</v>
      </c>
      <c r="B2047" t="s">
        <v>6506</v>
      </c>
      <c r="C2047" t="s">
        <v>862</v>
      </c>
      <c r="D2047" t="s">
        <v>2577</v>
      </c>
      <c r="E2047" t="s">
        <v>741</v>
      </c>
    </row>
    <row r="2048" spans="1:5" x14ac:dyDescent="0.3">
      <c r="A2048" t="s">
        <v>217</v>
      </c>
      <c r="B2048" t="s">
        <v>6509</v>
      </c>
      <c r="C2048" t="s">
        <v>6508</v>
      </c>
      <c r="D2048" t="s">
        <v>738</v>
      </c>
      <c r="E2048" t="s">
        <v>1</v>
      </c>
    </row>
    <row r="2049" spans="1:5" x14ac:dyDescent="0.3">
      <c r="A2049" t="s">
        <v>6511</v>
      </c>
      <c r="B2049" t="s">
        <v>6512</v>
      </c>
      <c r="C2049" t="s">
        <v>628</v>
      </c>
      <c r="D2049" t="s">
        <v>6510</v>
      </c>
      <c r="E2049" t="s">
        <v>774</v>
      </c>
    </row>
    <row r="2050" spans="1:5" x14ac:dyDescent="0.3">
      <c r="A2050" t="s">
        <v>150</v>
      </c>
      <c r="B2050" t="s">
        <v>1615</v>
      </c>
      <c r="C2050" t="s">
        <v>6514</v>
      </c>
      <c r="D2050" t="s">
        <v>6513</v>
      </c>
      <c r="E2050" t="s">
        <v>774</v>
      </c>
    </row>
    <row r="2051" spans="1:5" x14ac:dyDescent="0.3">
      <c r="A2051" t="s">
        <v>4129</v>
      </c>
      <c r="B2051" t="s">
        <v>6517</v>
      </c>
      <c r="C2051" t="s">
        <v>6516</v>
      </c>
      <c r="D2051" t="s">
        <v>6515</v>
      </c>
      <c r="E2051" t="s">
        <v>774</v>
      </c>
    </row>
    <row r="2052" spans="1:5" x14ac:dyDescent="0.3">
      <c r="A2052" t="s">
        <v>368</v>
      </c>
      <c r="B2052" t="s">
        <v>201</v>
      </c>
      <c r="C2052" t="s">
        <v>6519</v>
      </c>
      <c r="D2052" t="s">
        <v>6518</v>
      </c>
      <c r="E2052" t="s">
        <v>18</v>
      </c>
    </row>
    <row r="2053" spans="1:5" x14ac:dyDescent="0.3">
      <c r="A2053" t="s">
        <v>4033</v>
      </c>
      <c r="B2053" t="s">
        <v>3570</v>
      </c>
      <c r="C2053" t="s">
        <v>6520</v>
      </c>
      <c r="D2053" t="s">
        <v>5855</v>
      </c>
      <c r="E2053" t="s">
        <v>774</v>
      </c>
    </row>
    <row r="2054" spans="1:5" x14ac:dyDescent="0.3">
      <c r="A2054" t="s">
        <v>997</v>
      </c>
      <c r="B2054" t="s">
        <v>6525</v>
      </c>
      <c r="C2054" t="s">
        <v>6524</v>
      </c>
      <c r="D2054" t="s">
        <v>6523</v>
      </c>
      <c r="E2054" t="s">
        <v>18</v>
      </c>
    </row>
    <row r="2055" spans="1:5" x14ac:dyDescent="0.3">
      <c r="A2055" t="s">
        <v>1357</v>
      </c>
      <c r="B2055" t="s">
        <v>6527</v>
      </c>
      <c r="C2055" t="s">
        <v>862</v>
      </c>
      <c r="D2055" t="s">
        <v>6526</v>
      </c>
      <c r="E2055" t="s">
        <v>774</v>
      </c>
    </row>
    <row r="2056" spans="1:5" x14ac:dyDescent="0.3">
      <c r="A2056" t="s">
        <v>411</v>
      </c>
      <c r="B2056" t="s">
        <v>6529</v>
      </c>
      <c r="C2056" t="s">
        <v>6528</v>
      </c>
      <c r="D2056" t="s">
        <v>4075</v>
      </c>
      <c r="E2056" t="s">
        <v>781</v>
      </c>
    </row>
    <row r="2057" spans="1:5" x14ac:dyDescent="0.3">
      <c r="A2057" t="s">
        <v>89</v>
      </c>
      <c r="B2057" t="s">
        <v>6532</v>
      </c>
      <c r="C2057" t="s">
        <v>6531</v>
      </c>
      <c r="D2057" t="s">
        <v>6530</v>
      </c>
      <c r="E2057" t="s">
        <v>774</v>
      </c>
    </row>
    <row r="2058" spans="1:5" x14ac:dyDescent="0.3">
      <c r="A2058" t="s">
        <v>45</v>
      </c>
      <c r="B2058" t="s">
        <v>171</v>
      </c>
      <c r="C2058" t="s">
        <v>862</v>
      </c>
      <c r="D2058" t="s">
        <v>6533</v>
      </c>
      <c r="E2058" t="s">
        <v>841</v>
      </c>
    </row>
    <row r="2059" spans="1:5" x14ac:dyDescent="0.3">
      <c r="A2059" t="s">
        <v>2143</v>
      </c>
      <c r="B2059" t="s">
        <v>6536</v>
      </c>
      <c r="C2059" t="s">
        <v>6535</v>
      </c>
      <c r="D2059" t="s">
        <v>6534</v>
      </c>
      <c r="E2059" t="s">
        <v>774</v>
      </c>
    </row>
    <row r="2060" spans="1:5" x14ac:dyDescent="0.3">
      <c r="A2060" t="s">
        <v>6537</v>
      </c>
      <c r="B2060" t="s">
        <v>6539</v>
      </c>
      <c r="C2060" t="s">
        <v>6538</v>
      </c>
      <c r="D2060" t="s">
        <v>424</v>
      </c>
      <c r="E2060" t="s">
        <v>774</v>
      </c>
    </row>
    <row r="2061" spans="1:5" x14ac:dyDescent="0.3">
      <c r="A2061" t="s">
        <v>6541</v>
      </c>
      <c r="B2061" t="s">
        <v>426</v>
      </c>
      <c r="C2061" t="s">
        <v>6542</v>
      </c>
      <c r="D2061" t="s">
        <v>1735</v>
      </c>
      <c r="E2061" t="s">
        <v>741</v>
      </c>
    </row>
    <row r="2062" spans="1:5" x14ac:dyDescent="0.3">
      <c r="A2062" t="s">
        <v>411</v>
      </c>
      <c r="B2062" t="s">
        <v>6544</v>
      </c>
      <c r="C2062" t="s">
        <v>6543</v>
      </c>
      <c r="D2062" t="s">
        <v>5718</v>
      </c>
      <c r="E2062" t="s">
        <v>761</v>
      </c>
    </row>
    <row r="2063" spans="1:5" x14ac:dyDescent="0.3">
      <c r="A2063" t="s">
        <v>190</v>
      </c>
      <c r="B2063" t="s">
        <v>6546</v>
      </c>
      <c r="C2063" t="s">
        <v>6545</v>
      </c>
      <c r="D2063" t="s">
        <v>4233</v>
      </c>
      <c r="E2063" t="s">
        <v>781</v>
      </c>
    </row>
    <row r="2064" spans="1:5" x14ac:dyDescent="0.3">
      <c r="A2064" t="s">
        <v>82</v>
      </c>
      <c r="B2064" t="s">
        <v>6549</v>
      </c>
      <c r="C2064" t="s">
        <v>6548</v>
      </c>
      <c r="D2064" t="s">
        <v>6547</v>
      </c>
      <c r="E2064" t="s">
        <v>75</v>
      </c>
    </row>
    <row r="2065" spans="1:5" x14ac:dyDescent="0.3">
      <c r="A2065" t="s">
        <v>298</v>
      </c>
      <c r="B2065" t="s">
        <v>3914</v>
      </c>
      <c r="C2065" t="s">
        <v>467</v>
      </c>
      <c r="D2065" t="s">
        <v>6547</v>
      </c>
      <c r="E2065" t="s">
        <v>75</v>
      </c>
    </row>
    <row r="2066" spans="1:5" x14ac:dyDescent="0.3">
      <c r="A2066" t="s">
        <v>894</v>
      </c>
      <c r="B2066" t="s">
        <v>3348</v>
      </c>
      <c r="C2066" t="s">
        <v>2466</v>
      </c>
      <c r="D2066" t="s">
        <v>769</v>
      </c>
      <c r="E2066" t="s">
        <v>1</v>
      </c>
    </row>
    <row r="2067" spans="1:5" x14ac:dyDescent="0.3">
      <c r="A2067" t="s">
        <v>4256</v>
      </c>
      <c r="B2067" t="s">
        <v>4257</v>
      </c>
      <c r="C2067" t="s">
        <v>698</v>
      </c>
    </row>
    <row r="2068" spans="1:5" x14ac:dyDescent="0.3">
      <c r="A2068" t="s">
        <v>2187</v>
      </c>
      <c r="B2068" t="s">
        <v>6553</v>
      </c>
      <c r="C2068" t="s">
        <v>862</v>
      </c>
      <c r="D2068" t="s">
        <v>1716</v>
      </c>
      <c r="E2068" t="s">
        <v>741</v>
      </c>
    </row>
    <row r="2069" spans="1:5" x14ac:dyDescent="0.3">
      <c r="A2069" t="s">
        <v>6557</v>
      </c>
      <c r="B2069" t="s">
        <v>6558</v>
      </c>
      <c r="C2069" t="s">
        <v>455</v>
      </c>
      <c r="D2069" t="s">
        <v>6556</v>
      </c>
      <c r="E2069" t="s">
        <v>774</v>
      </c>
    </row>
    <row r="2070" spans="1:5" x14ac:dyDescent="0.3">
      <c r="A2070" t="s">
        <v>1258</v>
      </c>
      <c r="B2070" t="s">
        <v>6564</v>
      </c>
      <c r="C2070" t="s">
        <v>6563</v>
      </c>
      <c r="D2070" t="s">
        <v>751</v>
      </c>
      <c r="E2070" t="s">
        <v>1</v>
      </c>
    </row>
    <row r="2071" spans="1:5" x14ac:dyDescent="0.3">
      <c r="A2071" t="s">
        <v>47</v>
      </c>
      <c r="B2071" t="s">
        <v>3872</v>
      </c>
      <c r="C2071" t="s">
        <v>720</v>
      </c>
      <c r="D2071" t="s">
        <v>6565</v>
      </c>
      <c r="E2071" t="s">
        <v>75</v>
      </c>
    </row>
    <row r="2072" spans="1:5" x14ac:dyDescent="0.3">
      <c r="A2072" t="s">
        <v>5245</v>
      </c>
      <c r="B2072" t="s">
        <v>3488</v>
      </c>
      <c r="C2072" t="s">
        <v>467</v>
      </c>
      <c r="D2072" t="s">
        <v>6566</v>
      </c>
      <c r="E2072" t="s">
        <v>75</v>
      </c>
    </row>
    <row r="2073" spans="1:5" x14ac:dyDescent="0.3">
      <c r="A2073" t="s">
        <v>1239</v>
      </c>
      <c r="B2073" t="s">
        <v>6568</v>
      </c>
      <c r="C2073" t="s">
        <v>460</v>
      </c>
      <c r="D2073" t="s">
        <v>6560</v>
      </c>
      <c r="E2073" t="s">
        <v>75</v>
      </c>
    </row>
    <row r="2074" spans="1:5" x14ac:dyDescent="0.3">
      <c r="A2074" t="s">
        <v>3436</v>
      </c>
      <c r="B2074" t="s">
        <v>6428</v>
      </c>
      <c r="C2074" t="s">
        <v>461</v>
      </c>
      <c r="D2074" t="s">
        <v>6569</v>
      </c>
      <c r="E2074" t="s">
        <v>75</v>
      </c>
    </row>
    <row r="2075" spans="1:5" x14ac:dyDescent="0.3">
      <c r="A2075" t="s">
        <v>181</v>
      </c>
      <c r="B2075" t="s">
        <v>5326</v>
      </c>
      <c r="C2075" t="s">
        <v>718</v>
      </c>
      <c r="D2075" t="s">
        <v>3010</v>
      </c>
      <c r="E2075" t="s">
        <v>75</v>
      </c>
    </row>
    <row r="2076" spans="1:5" x14ac:dyDescent="0.3">
      <c r="A2076" t="s">
        <v>224</v>
      </c>
      <c r="B2076" t="s">
        <v>107</v>
      </c>
      <c r="C2076" t="s">
        <v>461</v>
      </c>
      <c r="D2076" t="s">
        <v>6572</v>
      </c>
      <c r="E2076" t="s">
        <v>774</v>
      </c>
    </row>
    <row r="2077" spans="1:5" x14ac:dyDescent="0.3">
      <c r="A2077" t="s">
        <v>2333</v>
      </c>
      <c r="B2077" t="s">
        <v>1601</v>
      </c>
      <c r="C2077" t="s">
        <v>6574</v>
      </c>
      <c r="D2077" t="s">
        <v>6573</v>
      </c>
      <c r="E2077" t="s">
        <v>897</v>
      </c>
    </row>
    <row r="2078" spans="1:5" x14ac:dyDescent="0.3">
      <c r="A2078" t="s">
        <v>315</v>
      </c>
      <c r="B2078" t="s">
        <v>6576</v>
      </c>
      <c r="C2078" t="s">
        <v>6575</v>
      </c>
      <c r="D2078" t="s">
        <v>3029</v>
      </c>
      <c r="E2078" t="s">
        <v>897</v>
      </c>
    </row>
    <row r="2079" spans="1:5" x14ac:dyDescent="0.3">
      <c r="A2079" t="s">
        <v>41</v>
      </c>
      <c r="B2079" t="s">
        <v>3763</v>
      </c>
      <c r="C2079" t="s">
        <v>459</v>
      </c>
      <c r="D2079" t="s">
        <v>981</v>
      </c>
      <c r="E2079" t="s">
        <v>761</v>
      </c>
    </row>
    <row r="2080" spans="1:5" x14ac:dyDescent="0.3">
      <c r="A2080" t="s">
        <v>4064</v>
      </c>
      <c r="B2080" t="s">
        <v>6578</v>
      </c>
      <c r="C2080" t="s">
        <v>459</v>
      </c>
      <c r="D2080" t="s">
        <v>6577</v>
      </c>
      <c r="E2080" t="s">
        <v>75</v>
      </c>
    </row>
    <row r="2081" spans="1:5" x14ac:dyDescent="0.3">
      <c r="A2081" t="s">
        <v>36</v>
      </c>
      <c r="B2081" t="s">
        <v>896</v>
      </c>
      <c r="C2081" t="s">
        <v>6579</v>
      </c>
      <c r="D2081" t="s">
        <v>6185</v>
      </c>
      <c r="E2081" t="s">
        <v>761</v>
      </c>
    </row>
    <row r="2082" spans="1:5" x14ac:dyDescent="0.3">
      <c r="A2082" t="s">
        <v>190</v>
      </c>
      <c r="B2082" t="s">
        <v>6581</v>
      </c>
      <c r="C2082" t="s">
        <v>6580</v>
      </c>
      <c r="D2082" t="s">
        <v>929</v>
      </c>
      <c r="E2082" t="s">
        <v>761</v>
      </c>
    </row>
    <row r="2083" spans="1:5" x14ac:dyDescent="0.3">
      <c r="A2083" t="s">
        <v>6582</v>
      </c>
      <c r="B2083" t="s">
        <v>301</v>
      </c>
      <c r="C2083" t="s">
        <v>6583</v>
      </c>
      <c r="D2083" t="s">
        <v>3095</v>
      </c>
      <c r="E2083" t="s">
        <v>774</v>
      </c>
    </row>
    <row r="2084" spans="1:5" x14ac:dyDescent="0.3">
      <c r="A2084" t="s">
        <v>6585</v>
      </c>
      <c r="B2084" t="s">
        <v>1644</v>
      </c>
      <c r="C2084" t="s">
        <v>862</v>
      </c>
      <c r="D2084" t="s">
        <v>6584</v>
      </c>
      <c r="E2084" t="s">
        <v>761</v>
      </c>
    </row>
    <row r="2085" spans="1:5" x14ac:dyDescent="0.3">
      <c r="A2085" t="s">
        <v>1380</v>
      </c>
      <c r="B2085" t="s">
        <v>6587</v>
      </c>
      <c r="C2085" t="s">
        <v>4318</v>
      </c>
      <c r="D2085" t="s">
        <v>6586</v>
      </c>
      <c r="E2085" t="s">
        <v>774</v>
      </c>
    </row>
    <row r="2086" spans="1:5" x14ac:dyDescent="0.3">
      <c r="A2086" t="s">
        <v>4793</v>
      </c>
      <c r="B2086" t="s">
        <v>6589</v>
      </c>
      <c r="C2086" t="s">
        <v>6588</v>
      </c>
      <c r="D2086" t="s">
        <v>2173</v>
      </c>
      <c r="E2086" t="s">
        <v>2175</v>
      </c>
    </row>
    <row r="2087" spans="1:5" x14ac:dyDescent="0.3">
      <c r="A2087" t="s">
        <v>195</v>
      </c>
      <c r="B2087" t="s">
        <v>6591</v>
      </c>
      <c r="C2087" t="s">
        <v>456</v>
      </c>
      <c r="D2087" t="s">
        <v>6590</v>
      </c>
      <c r="E2087" t="s">
        <v>774</v>
      </c>
    </row>
    <row r="2088" spans="1:5" x14ac:dyDescent="0.3">
      <c r="A2088" t="s">
        <v>41</v>
      </c>
      <c r="B2088" t="s">
        <v>6593</v>
      </c>
      <c r="C2088" t="s">
        <v>456</v>
      </c>
      <c r="D2088" t="s">
        <v>6592</v>
      </c>
      <c r="E2088" t="s">
        <v>2175</v>
      </c>
    </row>
    <row r="2089" spans="1:5" x14ac:dyDescent="0.3">
      <c r="A2089" t="s">
        <v>3643</v>
      </c>
      <c r="B2089" t="s">
        <v>1262</v>
      </c>
      <c r="C2089" t="s">
        <v>862</v>
      </c>
      <c r="D2089" t="s">
        <v>769</v>
      </c>
      <c r="E2089" t="s">
        <v>1</v>
      </c>
    </row>
    <row r="2090" spans="1:5" x14ac:dyDescent="0.3">
      <c r="A2090" t="s">
        <v>1631</v>
      </c>
      <c r="B2090" t="s">
        <v>6594</v>
      </c>
      <c r="C2090" t="s">
        <v>518</v>
      </c>
      <c r="D2090" t="s">
        <v>1303</v>
      </c>
      <c r="E2090" t="s">
        <v>761</v>
      </c>
    </row>
    <row r="2091" spans="1:5" x14ac:dyDescent="0.3">
      <c r="A2091" t="s">
        <v>347</v>
      </c>
      <c r="B2091" t="s">
        <v>348</v>
      </c>
      <c r="C2091" t="s">
        <v>349</v>
      </c>
      <c r="D2091" t="s">
        <v>769</v>
      </c>
      <c r="E2091" t="s">
        <v>1</v>
      </c>
    </row>
    <row r="2092" spans="1:5" x14ac:dyDescent="0.3">
      <c r="A2092" t="s">
        <v>1988</v>
      </c>
      <c r="B2092" t="s">
        <v>6596</v>
      </c>
      <c r="C2092" t="s">
        <v>862</v>
      </c>
      <c r="D2092" t="s">
        <v>769</v>
      </c>
      <c r="E2092" t="s">
        <v>1</v>
      </c>
    </row>
    <row r="2093" spans="1:5" x14ac:dyDescent="0.3">
      <c r="A2093" t="s">
        <v>353</v>
      </c>
      <c r="B2093" t="s">
        <v>354</v>
      </c>
      <c r="C2093" t="s">
        <v>355</v>
      </c>
      <c r="D2093" t="s">
        <v>769</v>
      </c>
      <c r="E2093" t="s">
        <v>1</v>
      </c>
    </row>
    <row r="2094" spans="1:5" x14ac:dyDescent="0.3">
      <c r="A2094" t="s">
        <v>1380</v>
      </c>
      <c r="B2094" t="s">
        <v>992</v>
      </c>
      <c r="C2094" t="s">
        <v>6597</v>
      </c>
      <c r="D2094" t="s">
        <v>981</v>
      </c>
      <c r="E2094" t="s">
        <v>761</v>
      </c>
    </row>
    <row r="2095" spans="1:5" x14ac:dyDescent="0.3">
      <c r="A2095" t="s">
        <v>50</v>
      </c>
      <c r="B2095" t="s">
        <v>6599</v>
      </c>
      <c r="C2095" t="s">
        <v>862</v>
      </c>
      <c r="D2095" t="s">
        <v>751</v>
      </c>
      <c r="E2095" t="s">
        <v>1</v>
      </c>
    </row>
    <row r="2096" spans="1:5" x14ac:dyDescent="0.3">
      <c r="A2096" t="s">
        <v>150</v>
      </c>
      <c r="B2096" t="s">
        <v>4049</v>
      </c>
      <c r="C2096" t="s">
        <v>6600</v>
      </c>
      <c r="D2096" t="s">
        <v>769</v>
      </c>
      <c r="E2096" t="s">
        <v>1</v>
      </c>
    </row>
    <row r="2097" spans="1:5" x14ac:dyDescent="0.3">
      <c r="A2097" t="s">
        <v>1267</v>
      </c>
      <c r="B2097" t="s">
        <v>6601</v>
      </c>
      <c r="C2097" t="s">
        <v>862</v>
      </c>
      <c r="D2097" t="s">
        <v>769</v>
      </c>
      <c r="E2097" t="s">
        <v>1</v>
      </c>
    </row>
    <row r="2098" spans="1:5" x14ac:dyDescent="0.3">
      <c r="A2098" t="s">
        <v>1018</v>
      </c>
      <c r="B2098" t="s">
        <v>1426</v>
      </c>
      <c r="C2098" t="s">
        <v>862</v>
      </c>
      <c r="D2098" t="s">
        <v>769</v>
      </c>
      <c r="E2098" t="s">
        <v>1</v>
      </c>
    </row>
    <row r="2099" spans="1:5" x14ac:dyDescent="0.3">
      <c r="A2099" t="s">
        <v>3737</v>
      </c>
      <c r="B2099" t="s">
        <v>6603</v>
      </c>
      <c r="C2099" t="s">
        <v>467</v>
      </c>
      <c r="D2099" t="s">
        <v>6602</v>
      </c>
      <c r="E2099" t="s">
        <v>75</v>
      </c>
    </row>
    <row r="2100" spans="1:5" x14ac:dyDescent="0.3">
      <c r="A2100" t="s">
        <v>4175</v>
      </c>
      <c r="B2100" t="s">
        <v>4948</v>
      </c>
      <c r="C2100" t="s">
        <v>862</v>
      </c>
      <c r="D2100" t="s">
        <v>769</v>
      </c>
      <c r="E2100" t="s">
        <v>1</v>
      </c>
    </row>
    <row r="2101" spans="1:5" x14ac:dyDescent="0.3">
      <c r="A2101" t="s">
        <v>6604</v>
      </c>
      <c r="B2101" t="s">
        <v>6605</v>
      </c>
      <c r="C2101" t="s">
        <v>862</v>
      </c>
      <c r="D2101" t="s">
        <v>769</v>
      </c>
      <c r="E2101" t="s">
        <v>1</v>
      </c>
    </row>
    <row r="2102" spans="1:5" x14ac:dyDescent="0.3">
      <c r="A2102" t="s">
        <v>146</v>
      </c>
      <c r="B2102" t="s">
        <v>4159</v>
      </c>
      <c r="C2102" t="s">
        <v>6606</v>
      </c>
      <c r="D2102" t="s">
        <v>769</v>
      </c>
      <c r="E2102" t="s">
        <v>1</v>
      </c>
    </row>
    <row r="2103" spans="1:5" x14ac:dyDescent="0.3">
      <c r="A2103" t="s">
        <v>27</v>
      </c>
      <c r="B2103" t="s">
        <v>6608</v>
      </c>
      <c r="C2103" t="s">
        <v>6607</v>
      </c>
      <c r="D2103" t="s">
        <v>769</v>
      </c>
      <c r="E2103" t="s">
        <v>1</v>
      </c>
    </row>
    <row r="2104" spans="1:5" x14ac:dyDescent="0.3">
      <c r="A2104" t="s">
        <v>116</v>
      </c>
      <c r="B2104" t="s">
        <v>6610</v>
      </c>
      <c r="C2104" t="s">
        <v>6609</v>
      </c>
    </row>
    <row r="2105" spans="1:5" x14ac:dyDescent="0.3">
      <c r="A2105" t="s">
        <v>6611</v>
      </c>
      <c r="B2105" t="s">
        <v>1141</v>
      </c>
      <c r="C2105" t="s">
        <v>6612</v>
      </c>
      <c r="D2105" t="s">
        <v>769</v>
      </c>
      <c r="E2105" t="s">
        <v>1</v>
      </c>
    </row>
    <row r="2106" spans="1:5" x14ac:dyDescent="0.3">
      <c r="A2106" t="s">
        <v>388</v>
      </c>
      <c r="B2106" t="s">
        <v>389</v>
      </c>
      <c r="C2106" t="s">
        <v>390</v>
      </c>
      <c r="D2106" t="s">
        <v>769</v>
      </c>
      <c r="E2106" t="s">
        <v>1</v>
      </c>
    </row>
    <row r="2107" spans="1:5" x14ac:dyDescent="0.3">
      <c r="A2107" t="s">
        <v>82</v>
      </c>
      <c r="B2107" t="s">
        <v>6617</v>
      </c>
      <c r="C2107" t="s">
        <v>6616</v>
      </c>
      <c r="D2107" t="s">
        <v>6615</v>
      </c>
      <c r="E2107" t="s">
        <v>75</v>
      </c>
    </row>
    <row r="2108" spans="1:5" x14ac:dyDescent="0.3">
      <c r="A2108" t="s">
        <v>1606</v>
      </c>
      <c r="B2108" t="s">
        <v>4506</v>
      </c>
      <c r="C2108" t="s">
        <v>6618</v>
      </c>
      <c r="D2108" t="s">
        <v>768</v>
      </c>
      <c r="E2108" t="s">
        <v>1</v>
      </c>
    </row>
    <row r="2109" spans="1:5" x14ac:dyDescent="0.3">
      <c r="A2109" t="s">
        <v>1911</v>
      </c>
      <c r="B2109" t="s">
        <v>4757</v>
      </c>
      <c r="C2109" t="s">
        <v>862</v>
      </c>
      <c r="D2109" t="s">
        <v>968</v>
      </c>
      <c r="E2109" t="s">
        <v>781</v>
      </c>
    </row>
    <row r="2110" spans="1:5" x14ac:dyDescent="0.3">
      <c r="A2110" t="s">
        <v>100</v>
      </c>
      <c r="B2110" t="s">
        <v>4588</v>
      </c>
      <c r="C2110" t="s">
        <v>862</v>
      </c>
      <c r="D2110" t="s">
        <v>768</v>
      </c>
      <c r="E2110" t="s">
        <v>1</v>
      </c>
    </row>
    <row r="2111" spans="1:5" x14ac:dyDescent="0.3">
      <c r="A2111" t="s">
        <v>6619</v>
      </c>
      <c r="B2111" t="s">
        <v>1351</v>
      </c>
      <c r="C2111" t="s">
        <v>6620</v>
      </c>
      <c r="D2111" t="s">
        <v>769</v>
      </c>
      <c r="E2111" t="s">
        <v>1</v>
      </c>
    </row>
    <row r="2112" spans="1:5" x14ac:dyDescent="0.3">
      <c r="A2112" t="s">
        <v>262</v>
      </c>
      <c r="B2112" t="s">
        <v>6622</v>
      </c>
      <c r="C2112" t="s">
        <v>456</v>
      </c>
      <c r="D2112" t="s">
        <v>6621</v>
      </c>
      <c r="E2112" t="s">
        <v>774</v>
      </c>
    </row>
    <row r="2113" spans="1:5" x14ac:dyDescent="0.3">
      <c r="A2113" t="s">
        <v>6624</v>
      </c>
      <c r="B2113" t="s">
        <v>6625</v>
      </c>
      <c r="C2113" t="s">
        <v>862</v>
      </c>
      <c r="D2113" t="s">
        <v>768</v>
      </c>
      <c r="E2113" t="s">
        <v>1</v>
      </c>
    </row>
    <row r="2114" spans="1:5" x14ac:dyDescent="0.3">
      <c r="A2114" t="s">
        <v>6626</v>
      </c>
      <c r="B2114" t="s">
        <v>3163</v>
      </c>
      <c r="C2114" t="s">
        <v>6627</v>
      </c>
      <c r="D2114" t="s">
        <v>1183</v>
      </c>
      <c r="E2114" t="s">
        <v>1</v>
      </c>
    </row>
    <row r="2115" spans="1:5" x14ac:dyDescent="0.3">
      <c r="A2115" t="s">
        <v>6628</v>
      </c>
      <c r="B2115" t="s">
        <v>2642</v>
      </c>
      <c r="C2115" t="s">
        <v>467</v>
      </c>
      <c r="D2115" t="s">
        <v>1673</v>
      </c>
      <c r="E2115" t="s">
        <v>758</v>
      </c>
    </row>
    <row r="2116" spans="1:5" x14ac:dyDescent="0.3">
      <c r="A2116" t="s">
        <v>47</v>
      </c>
      <c r="B2116" t="s">
        <v>48</v>
      </c>
      <c r="C2116" t="s">
        <v>49</v>
      </c>
      <c r="D2116" t="s">
        <v>1303</v>
      </c>
      <c r="E2116" t="s">
        <v>761</v>
      </c>
    </row>
    <row r="2117" spans="1:5" x14ac:dyDescent="0.3">
      <c r="A2117" t="s">
        <v>6631</v>
      </c>
      <c r="B2117" t="s">
        <v>1029</v>
      </c>
      <c r="C2117" t="s">
        <v>5906</v>
      </c>
      <c r="D2117" t="s">
        <v>6630</v>
      </c>
      <c r="E2117" t="s">
        <v>761</v>
      </c>
    </row>
    <row r="2118" spans="1:5" x14ac:dyDescent="0.3">
      <c r="A2118" t="s">
        <v>195</v>
      </c>
      <c r="B2118" t="s">
        <v>1075</v>
      </c>
      <c r="C2118" t="s">
        <v>6632</v>
      </c>
      <c r="D2118" t="s">
        <v>6630</v>
      </c>
      <c r="E2118" t="s">
        <v>761</v>
      </c>
    </row>
    <row r="2119" spans="1:5" x14ac:dyDescent="0.3">
      <c r="A2119" t="s">
        <v>132</v>
      </c>
      <c r="B2119" t="s">
        <v>3324</v>
      </c>
      <c r="C2119" t="s">
        <v>6634</v>
      </c>
      <c r="D2119" t="s">
        <v>1246</v>
      </c>
      <c r="E2119" t="s">
        <v>1</v>
      </c>
    </row>
    <row r="2120" spans="1:5" x14ac:dyDescent="0.3">
      <c r="A2120" t="s">
        <v>3709</v>
      </c>
      <c r="B2120" t="s">
        <v>2826</v>
      </c>
      <c r="C2120" t="s">
        <v>6635</v>
      </c>
      <c r="D2120" t="s">
        <v>2607</v>
      </c>
      <c r="E2120" t="s">
        <v>761</v>
      </c>
    </row>
    <row r="2121" spans="1:5" x14ac:dyDescent="0.3">
      <c r="A2121" t="s">
        <v>290</v>
      </c>
      <c r="B2121" t="s">
        <v>6371</v>
      </c>
      <c r="C2121" t="s">
        <v>6636</v>
      </c>
      <c r="D2121" t="s">
        <v>1554</v>
      </c>
      <c r="E2121" t="s">
        <v>1</v>
      </c>
    </row>
    <row r="2122" spans="1:5" x14ac:dyDescent="0.3">
      <c r="A2122" t="s">
        <v>4036</v>
      </c>
      <c r="B2122" t="s">
        <v>6637</v>
      </c>
      <c r="C2122" t="s">
        <v>455</v>
      </c>
      <c r="D2122" t="s">
        <v>4930</v>
      </c>
      <c r="E2122" t="s">
        <v>75</v>
      </c>
    </row>
    <row r="2123" spans="1:5" x14ac:dyDescent="0.3">
      <c r="A2123" t="s">
        <v>860</v>
      </c>
      <c r="B2123" t="s">
        <v>3601</v>
      </c>
      <c r="C2123" t="s">
        <v>6638</v>
      </c>
      <c r="D2123" t="s">
        <v>895</v>
      </c>
      <c r="E2123" t="s">
        <v>897</v>
      </c>
    </row>
    <row r="2124" spans="1:5" x14ac:dyDescent="0.3">
      <c r="A2124" t="s">
        <v>421</v>
      </c>
      <c r="B2124" t="s">
        <v>422</v>
      </c>
      <c r="C2124" t="s">
        <v>423</v>
      </c>
      <c r="D2124" t="s">
        <v>895</v>
      </c>
      <c r="E2124" t="s">
        <v>897</v>
      </c>
    </row>
    <row r="2125" spans="1:5" x14ac:dyDescent="0.3">
      <c r="A2125" t="s">
        <v>1583</v>
      </c>
      <c r="B2125" t="s">
        <v>6640</v>
      </c>
      <c r="C2125" t="s">
        <v>6639</v>
      </c>
      <c r="D2125" t="s">
        <v>2829</v>
      </c>
      <c r="E2125" t="s">
        <v>774</v>
      </c>
    </row>
    <row r="2126" spans="1:5" x14ac:dyDescent="0.3">
      <c r="A2126" t="s">
        <v>764</v>
      </c>
      <c r="B2126" t="s">
        <v>6521</v>
      </c>
      <c r="C2126" t="s">
        <v>6641</v>
      </c>
      <c r="D2126" t="s">
        <v>6184</v>
      </c>
      <c r="E2126" t="s">
        <v>781</v>
      </c>
    </row>
    <row r="2127" spans="1:5" x14ac:dyDescent="0.3">
      <c r="A2127" t="s">
        <v>89</v>
      </c>
      <c r="B2127" t="s">
        <v>6643</v>
      </c>
      <c r="C2127" t="s">
        <v>6642</v>
      </c>
      <c r="D2127" t="s">
        <v>895</v>
      </c>
      <c r="E2127" t="s">
        <v>897</v>
      </c>
    </row>
    <row r="2128" spans="1:5" x14ac:dyDescent="0.3">
      <c r="A2128" t="s">
        <v>307</v>
      </c>
      <c r="B2128" t="s">
        <v>6644</v>
      </c>
      <c r="C2128" t="s">
        <v>862</v>
      </c>
      <c r="D2128" t="s">
        <v>787</v>
      </c>
      <c r="E2128" t="s">
        <v>1</v>
      </c>
    </row>
    <row r="2129" spans="1:5" x14ac:dyDescent="0.3">
      <c r="A2129" t="s">
        <v>2635</v>
      </c>
      <c r="B2129" t="s">
        <v>6646</v>
      </c>
      <c r="C2129" t="s">
        <v>6645</v>
      </c>
      <c r="D2129" t="s">
        <v>895</v>
      </c>
      <c r="E2129" t="s">
        <v>897</v>
      </c>
    </row>
    <row r="2130" spans="1:5" x14ac:dyDescent="0.3">
      <c r="A2130" t="s">
        <v>404</v>
      </c>
      <c r="B2130" t="s">
        <v>6648</v>
      </c>
      <c r="C2130" t="s">
        <v>6647</v>
      </c>
      <c r="D2130" t="s">
        <v>1721</v>
      </c>
      <c r="E2130" t="s">
        <v>761</v>
      </c>
    </row>
    <row r="2131" spans="1:5" x14ac:dyDescent="0.3">
      <c r="A2131" t="s">
        <v>150</v>
      </c>
      <c r="B2131" t="s">
        <v>6650</v>
      </c>
      <c r="C2131" t="s">
        <v>6649</v>
      </c>
      <c r="D2131" t="s">
        <v>895</v>
      </c>
      <c r="E2131" t="s">
        <v>897</v>
      </c>
    </row>
    <row r="2132" spans="1:5" x14ac:dyDescent="0.3">
      <c r="A2132" t="s">
        <v>999</v>
      </c>
      <c r="B2132" t="s">
        <v>4453</v>
      </c>
      <c r="C2132" t="s">
        <v>6653</v>
      </c>
      <c r="D2132" t="s">
        <v>2880</v>
      </c>
      <c r="E2132" t="s">
        <v>758</v>
      </c>
    </row>
    <row r="2133" spans="1:5" x14ac:dyDescent="0.3">
      <c r="A2133" t="s">
        <v>255</v>
      </c>
      <c r="B2133" t="s">
        <v>3628</v>
      </c>
      <c r="C2133" t="s">
        <v>6654</v>
      </c>
      <c r="D2133" t="s">
        <v>2880</v>
      </c>
      <c r="E2133" t="s">
        <v>758</v>
      </c>
    </row>
    <row r="2134" spans="1:5" x14ac:dyDescent="0.3">
      <c r="A2134" t="s">
        <v>352</v>
      </c>
      <c r="B2134" t="s">
        <v>5538</v>
      </c>
      <c r="C2134" t="s">
        <v>455</v>
      </c>
      <c r="D2134" t="s">
        <v>6425</v>
      </c>
      <c r="E2134" t="s">
        <v>758</v>
      </c>
    </row>
    <row r="2135" spans="1:5" x14ac:dyDescent="0.3">
      <c r="A2135" t="s">
        <v>44</v>
      </c>
      <c r="B2135" t="s">
        <v>6656</v>
      </c>
      <c r="C2135" t="s">
        <v>862</v>
      </c>
      <c r="D2135" t="s">
        <v>2712</v>
      </c>
      <c r="E2135" t="s">
        <v>18</v>
      </c>
    </row>
    <row r="2136" spans="1:5" x14ac:dyDescent="0.3">
      <c r="A2136" t="s">
        <v>404</v>
      </c>
      <c r="B2136" t="s">
        <v>6657</v>
      </c>
      <c r="C2136" t="s">
        <v>5694</v>
      </c>
      <c r="D2136" t="s">
        <v>1967</v>
      </c>
      <c r="E2136" t="s">
        <v>741</v>
      </c>
    </row>
    <row r="2137" spans="1:5" x14ac:dyDescent="0.3">
      <c r="A2137" t="s">
        <v>6659</v>
      </c>
      <c r="B2137" t="s">
        <v>6660</v>
      </c>
      <c r="C2137" t="s">
        <v>456</v>
      </c>
      <c r="D2137" t="s">
        <v>6658</v>
      </c>
      <c r="E2137" t="s">
        <v>18</v>
      </c>
    </row>
    <row r="2138" spans="1:5" x14ac:dyDescent="0.3">
      <c r="A2138" t="s">
        <v>77</v>
      </c>
      <c r="B2138" t="s">
        <v>5908</v>
      </c>
      <c r="C2138" t="s">
        <v>698</v>
      </c>
      <c r="D2138" t="s">
        <v>3871</v>
      </c>
      <c r="E2138" t="s">
        <v>781</v>
      </c>
    </row>
    <row r="2139" spans="1:5" x14ac:dyDescent="0.3">
      <c r="A2139" t="s">
        <v>4091</v>
      </c>
      <c r="B2139" t="s">
        <v>3488</v>
      </c>
      <c r="C2139" t="s">
        <v>456</v>
      </c>
      <c r="D2139" t="s">
        <v>6661</v>
      </c>
      <c r="E2139" t="s">
        <v>774</v>
      </c>
    </row>
    <row r="2140" spans="1:5" x14ac:dyDescent="0.3">
      <c r="A2140" t="s">
        <v>132</v>
      </c>
      <c r="B2140" t="s">
        <v>6662</v>
      </c>
      <c r="C2140" t="s">
        <v>461</v>
      </c>
      <c r="D2140" t="s">
        <v>3279</v>
      </c>
      <c r="E2140" t="s">
        <v>761</v>
      </c>
    </row>
    <row r="2141" spans="1:5" x14ac:dyDescent="0.3">
      <c r="A2141" t="s">
        <v>4332</v>
      </c>
      <c r="B2141" t="s">
        <v>184</v>
      </c>
      <c r="C2141" t="s">
        <v>6664</v>
      </c>
      <c r="D2141" t="s">
        <v>4748</v>
      </c>
      <c r="E2141" t="s">
        <v>75</v>
      </c>
    </row>
    <row r="2142" spans="1:5" x14ac:dyDescent="0.3">
      <c r="A2142" t="s">
        <v>44</v>
      </c>
      <c r="B2142" t="s">
        <v>6666</v>
      </c>
      <c r="C2142" t="s">
        <v>6665</v>
      </c>
      <c r="D2142" t="s">
        <v>763</v>
      </c>
      <c r="E2142" t="s">
        <v>1</v>
      </c>
    </row>
    <row r="2143" spans="1:5" x14ac:dyDescent="0.3">
      <c r="A2143" t="s">
        <v>2645</v>
      </c>
      <c r="B2143" t="s">
        <v>1298</v>
      </c>
      <c r="C2143" t="s">
        <v>6667</v>
      </c>
      <c r="D2143" t="s">
        <v>763</v>
      </c>
      <c r="E2143" t="s">
        <v>1</v>
      </c>
    </row>
    <row r="2144" spans="1:5" x14ac:dyDescent="0.3">
      <c r="A2144" t="s">
        <v>2199</v>
      </c>
      <c r="B2144" t="s">
        <v>4434</v>
      </c>
      <c r="C2144" t="s">
        <v>6668</v>
      </c>
      <c r="D2144" t="s">
        <v>769</v>
      </c>
      <c r="E2144" t="s">
        <v>1</v>
      </c>
    </row>
    <row r="2145" spans="1:5" x14ac:dyDescent="0.3">
      <c r="A2145" t="s">
        <v>197</v>
      </c>
      <c r="B2145" t="s">
        <v>2045</v>
      </c>
      <c r="C2145" t="s">
        <v>862</v>
      </c>
      <c r="D2145" t="s">
        <v>932</v>
      </c>
      <c r="E2145" t="s">
        <v>761</v>
      </c>
    </row>
    <row r="2146" spans="1:5" x14ac:dyDescent="0.3">
      <c r="A2146" t="s">
        <v>764</v>
      </c>
      <c r="B2146" t="s">
        <v>6669</v>
      </c>
      <c r="C2146" t="s">
        <v>862</v>
      </c>
      <c r="D2146" t="s">
        <v>1509</v>
      </c>
      <c r="E2146" t="s">
        <v>781</v>
      </c>
    </row>
    <row r="2147" spans="1:5" x14ac:dyDescent="0.3">
      <c r="A2147" t="s">
        <v>6670</v>
      </c>
      <c r="B2147" t="s">
        <v>6672</v>
      </c>
      <c r="C2147" t="s">
        <v>6671</v>
      </c>
      <c r="D2147" t="s">
        <v>763</v>
      </c>
      <c r="E2147" t="s">
        <v>1</v>
      </c>
    </row>
    <row r="2148" spans="1:5" x14ac:dyDescent="0.3">
      <c r="A2148" t="s">
        <v>2069</v>
      </c>
      <c r="B2148" t="s">
        <v>6673</v>
      </c>
      <c r="C2148" t="s">
        <v>862</v>
      </c>
      <c r="D2148" t="s">
        <v>943</v>
      </c>
      <c r="E2148" t="s">
        <v>1</v>
      </c>
    </row>
    <row r="2149" spans="1:5" x14ac:dyDescent="0.3">
      <c r="A2149" t="s">
        <v>2768</v>
      </c>
      <c r="B2149" t="s">
        <v>6674</v>
      </c>
      <c r="C2149" t="s">
        <v>2571</v>
      </c>
      <c r="D2149" t="s">
        <v>763</v>
      </c>
      <c r="E2149" t="s">
        <v>1</v>
      </c>
    </row>
    <row r="2150" spans="1:5" x14ac:dyDescent="0.3">
      <c r="A2150" t="s">
        <v>1475</v>
      </c>
      <c r="B2150" t="s">
        <v>6676</v>
      </c>
      <c r="C2150" t="s">
        <v>6675</v>
      </c>
      <c r="D2150" t="s">
        <v>763</v>
      </c>
      <c r="E2150" t="s">
        <v>1</v>
      </c>
    </row>
    <row r="2151" spans="1:5" x14ac:dyDescent="0.3">
      <c r="A2151" t="s">
        <v>6677</v>
      </c>
      <c r="B2151" t="s">
        <v>6678</v>
      </c>
      <c r="C2151" t="s">
        <v>518</v>
      </c>
      <c r="D2151" t="s">
        <v>763</v>
      </c>
      <c r="E2151" t="s">
        <v>1</v>
      </c>
    </row>
    <row r="2152" spans="1:5" x14ac:dyDescent="0.3">
      <c r="A2152" t="s">
        <v>220</v>
      </c>
      <c r="B2152" t="s">
        <v>1293</v>
      </c>
      <c r="C2152" t="s">
        <v>6679</v>
      </c>
      <c r="D2152" t="s">
        <v>883</v>
      </c>
      <c r="E2152" t="s">
        <v>1</v>
      </c>
    </row>
    <row r="2153" spans="1:5" x14ac:dyDescent="0.3">
      <c r="A2153" t="s">
        <v>92</v>
      </c>
      <c r="B2153" t="s">
        <v>6680</v>
      </c>
      <c r="C2153" t="s">
        <v>862</v>
      </c>
      <c r="D2153" t="s">
        <v>763</v>
      </c>
      <c r="E2153" t="s">
        <v>1</v>
      </c>
    </row>
    <row r="2154" spans="1:5" x14ac:dyDescent="0.3">
      <c r="A2154" t="s">
        <v>1169</v>
      </c>
      <c r="B2154" t="s">
        <v>6683</v>
      </c>
      <c r="C2154" t="s">
        <v>6327</v>
      </c>
      <c r="D2154" t="s">
        <v>906</v>
      </c>
      <c r="E2154" t="s">
        <v>1</v>
      </c>
    </row>
    <row r="2155" spans="1:5" x14ac:dyDescent="0.3">
      <c r="A2155" t="s">
        <v>1371</v>
      </c>
      <c r="B2155" t="s">
        <v>309</v>
      </c>
      <c r="C2155" t="s">
        <v>862</v>
      </c>
      <c r="D2155" t="s">
        <v>906</v>
      </c>
      <c r="E2155" t="s">
        <v>1</v>
      </c>
    </row>
    <row r="2156" spans="1:5" x14ac:dyDescent="0.3">
      <c r="A2156" t="s">
        <v>1559</v>
      </c>
      <c r="B2156" t="s">
        <v>6686</v>
      </c>
      <c r="C2156" t="s">
        <v>6685</v>
      </c>
      <c r="D2156" t="s">
        <v>906</v>
      </c>
      <c r="E2156" t="s">
        <v>1</v>
      </c>
    </row>
    <row r="2157" spans="1:5" x14ac:dyDescent="0.3">
      <c r="A2157" t="s">
        <v>6687</v>
      </c>
      <c r="B2157" t="s">
        <v>3798</v>
      </c>
      <c r="C2157" t="s">
        <v>862</v>
      </c>
      <c r="D2157" t="s">
        <v>906</v>
      </c>
      <c r="E2157" t="s">
        <v>1</v>
      </c>
    </row>
    <row r="2158" spans="1:5" x14ac:dyDescent="0.3">
      <c r="A2158" t="s">
        <v>224</v>
      </c>
      <c r="B2158" t="s">
        <v>5177</v>
      </c>
      <c r="C2158" t="s">
        <v>862</v>
      </c>
      <c r="D2158" t="s">
        <v>906</v>
      </c>
      <c r="E2158" t="s">
        <v>1</v>
      </c>
    </row>
    <row r="2159" spans="1:5" x14ac:dyDescent="0.3">
      <c r="A2159" t="s">
        <v>5305</v>
      </c>
      <c r="B2159" t="s">
        <v>5915</v>
      </c>
      <c r="C2159" t="s">
        <v>6688</v>
      </c>
      <c r="D2159" t="s">
        <v>906</v>
      </c>
      <c r="E2159" t="s">
        <v>1</v>
      </c>
    </row>
    <row r="2160" spans="1:5" x14ac:dyDescent="0.3">
      <c r="A2160" t="s">
        <v>3430</v>
      </c>
      <c r="B2160" t="s">
        <v>6690</v>
      </c>
      <c r="C2160" t="s">
        <v>6689</v>
      </c>
      <c r="D2160" t="s">
        <v>906</v>
      </c>
      <c r="E2160" t="s">
        <v>1</v>
      </c>
    </row>
    <row r="2161" spans="1:5" x14ac:dyDescent="0.3">
      <c r="A2161" t="s">
        <v>6691</v>
      </c>
      <c r="B2161" t="s">
        <v>4716</v>
      </c>
      <c r="C2161" t="s">
        <v>862</v>
      </c>
      <c r="D2161" t="s">
        <v>806</v>
      </c>
      <c r="E2161" t="s">
        <v>1</v>
      </c>
    </row>
    <row r="2162" spans="1:5" x14ac:dyDescent="0.3">
      <c r="A2162" t="s">
        <v>313</v>
      </c>
      <c r="B2162" t="s">
        <v>6693</v>
      </c>
      <c r="C2162" t="s">
        <v>6692</v>
      </c>
      <c r="D2162" t="s">
        <v>906</v>
      </c>
      <c r="E2162" t="s">
        <v>1</v>
      </c>
    </row>
    <row r="2163" spans="1:5" x14ac:dyDescent="0.3">
      <c r="A2163" t="s">
        <v>1171</v>
      </c>
      <c r="B2163" t="s">
        <v>3334</v>
      </c>
      <c r="C2163" t="s">
        <v>6695</v>
      </c>
      <c r="D2163" t="s">
        <v>6694</v>
      </c>
      <c r="E2163" t="s">
        <v>774</v>
      </c>
    </row>
    <row r="2164" spans="1:5" x14ac:dyDescent="0.3">
      <c r="A2164" t="s">
        <v>411</v>
      </c>
      <c r="B2164" t="s">
        <v>2669</v>
      </c>
      <c r="C2164" t="s">
        <v>862</v>
      </c>
      <c r="D2164" t="s">
        <v>3073</v>
      </c>
      <c r="E2164" t="s">
        <v>75</v>
      </c>
    </row>
    <row r="2165" spans="1:5" x14ac:dyDescent="0.3">
      <c r="A2165" t="s">
        <v>184</v>
      </c>
      <c r="B2165" t="s">
        <v>6697</v>
      </c>
      <c r="C2165" t="s">
        <v>6696</v>
      </c>
      <c r="D2165" t="s">
        <v>1070</v>
      </c>
      <c r="E2165" t="s">
        <v>1</v>
      </c>
    </row>
    <row r="2166" spans="1:5" x14ac:dyDescent="0.3">
      <c r="A2166" t="s">
        <v>3943</v>
      </c>
      <c r="B2166" t="s">
        <v>6698</v>
      </c>
      <c r="C2166" t="s">
        <v>862</v>
      </c>
      <c r="D2166" t="s">
        <v>747</v>
      </c>
      <c r="E2166" t="s">
        <v>1</v>
      </c>
    </row>
    <row r="2167" spans="1:5" x14ac:dyDescent="0.3">
      <c r="A2167" t="s">
        <v>1196</v>
      </c>
      <c r="B2167" t="s">
        <v>6700</v>
      </c>
      <c r="C2167" t="s">
        <v>6699</v>
      </c>
      <c r="D2167" t="s">
        <v>1094</v>
      </c>
      <c r="E2167" t="s">
        <v>774</v>
      </c>
    </row>
    <row r="2168" spans="1:5" x14ac:dyDescent="0.3">
      <c r="A2168" t="s">
        <v>3921</v>
      </c>
      <c r="B2168" t="s">
        <v>6702</v>
      </c>
      <c r="C2168" t="s">
        <v>2571</v>
      </c>
      <c r="D2168" t="s">
        <v>747</v>
      </c>
      <c r="E2168" t="s">
        <v>1</v>
      </c>
    </row>
    <row r="2169" spans="1:5" x14ac:dyDescent="0.3">
      <c r="A2169" t="s">
        <v>133</v>
      </c>
      <c r="B2169" t="s">
        <v>134</v>
      </c>
      <c r="C2169" t="s">
        <v>135</v>
      </c>
      <c r="D2169" t="s">
        <v>747</v>
      </c>
      <c r="E2169" t="s">
        <v>1</v>
      </c>
    </row>
    <row r="2170" spans="1:5" x14ac:dyDescent="0.3">
      <c r="A2170" t="s">
        <v>938</v>
      </c>
      <c r="B2170" t="s">
        <v>6704</v>
      </c>
      <c r="C2170" t="s">
        <v>6703</v>
      </c>
      <c r="D2170" t="s">
        <v>747</v>
      </c>
      <c r="E2170" t="s">
        <v>1</v>
      </c>
    </row>
    <row r="2171" spans="1:5" x14ac:dyDescent="0.3">
      <c r="A2171" t="s">
        <v>6707</v>
      </c>
      <c r="B2171" t="s">
        <v>433</v>
      </c>
      <c r="C2171" t="s">
        <v>862</v>
      </c>
      <c r="D2171" t="s">
        <v>6706</v>
      </c>
      <c r="E2171" t="s">
        <v>774</v>
      </c>
    </row>
    <row r="2172" spans="1:5" x14ac:dyDescent="0.3">
      <c r="A2172" t="s">
        <v>177</v>
      </c>
      <c r="B2172" t="s">
        <v>3614</v>
      </c>
      <c r="C2172" t="s">
        <v>6708</v>
      </c>
      <c r="D2172" t="s">
        <v>3029</v>
      </c>
      <c r="E2172" t="s">
        <v>897</v>
      </c>
    </row>
    <row r="2173" spans="1:5" x14ac:dyDescent="0.3">
      <c r="A2173" t="s">
        <v>160</v>
      </c>
      <c r="B2173" t="s">
        <v>773</v>
      </c>
      <c r="C2173" t="s">
        <v>6709</v>
      </c>
      <c r="D2173" t="s">
        <v>1183</v>
      </c>
      <c r="E2173" t="s">
        <v>1</v>
      </c>
    </row>
    <row r="2174" spans="1:5" x14ac:dyDescent="0.3">
      <c r="A2174" t="s">
        <v>125</v>
      </c>
      <c r="B2174" t="s">
        <v>140</v>
      </c>
      <c r="C2174" t="s">
        <v>141</v>
      </c>
      <c r="D2174" t="s">
        <v>747</v>
      </c>
      <c r="E2174" t="s">
        <v>1</v>
      </c>
    </row>
    <row r="2175" spans="1:5" x14ac:dyDescent="0.3">
      <c r="A2175" t="s">
        <v>4968</v>
      </c>
      <c r="B2175" t="s">
        <v>86</v>
      </c>
      <c r="C2175" t="s">
        <v>862</v>
      </c>
      <c r="D2175" t="s">
        <v>747</v>
      </c>
      <c r="E2175" t="s">
        <v>1</v>
      </c>
    </row>
    <row r="2176" spans="1:5" x14ac:dyDescent="0.3">
      <c r="A2176" t="s">
        <v>6710</v>
      </c>
      <c r="B2176" t="s">
        <v>6711</v>
      </c>
      <c r="C2176" t="s">
        <v>862</v>
      </c>
      <c r="D2176" t="s">
        <v>747</v>
      </c>
      <c r="E2176" t="s">
        <v>1</v>
      </c>
    </row>
    <row r="2177" spans="1:5" x14ac:dyDescent="0.3">
      <c r="A2177" t="s">
        <v>179</v>
      </c>
      <c r="B2177" t="s">
        <v>1372</v>
      </c>
      <c r="C2177" t="s">
        <v>6712</v>
      </c>
      <c r="D2177" t="s">
        <v>747</v>
      </c>
      <c r="E2177" t="s">
        <v>1</v>
      </c>
    </row>
    <row r="2178" spans="1:5" x14ac:dyDescent="0.3">
      <c r="A2178" t="s">
        <v>2159</v>
      </c>
      <c r="B2178" t="s">
        <v>6715</v>
      </c>
      <c r="C2178" t="s">
        <v>6714</v>
      </c>
      <c r="D2178" t="s">
        <v>747</v>
      </c>
      <c r="E2178" t="s">
        <v>1</v>
      </c>
    </row>
    <row r="2179" spans="1:5" x14ac:dyDescent="0.3">
      <c r="A2179" t="s">
        <v>6716</v>
      </c>
      <c r="B2179" t="s">
        <v>1633</v>
      </c>
      <c r="C2179" t="s">
        <v>862</v>
      </c>
      <c r="D2179" t="s">
        <v>747</v>
      </c>
      <c r="E2179" t="s">
        <v>1</v>
      </c>
    </row>
    <row r="2180" spans="1:5" x14ac:dyDescent="0.3">
      <c r="A2180" t="s">
        <v>131</v>
      </c>
      <c r="B2180" t="s">
        <v>3546</v>
      </c>
      <c r="C2180" t="s">
        <v>862</v>
      </c>
      <c r="D2180" t="s">
        <v>747</v>
      </c>
      <c r="E2180" t="s">
        <v>1</v>
      </c>
    </row>
    <row r="2181" spans="1:5" x14ac:dyDescent="0.3">
      <c r="A2181" t="s">
        <v>331</v>
      </c>
      <c r="B2181" t="s">
        <v>6718</v>
      </c>
      <c r="C2181" t="s">
        <v>6717</v>
      </c>
    </row>
    <row r="2182" spans="1:5" x14ac:dyDescent="0.3">
      <c r="A2182" t="s">
        <v>3430</v>
      </c>
      <c r="B2182" t="s">
        <v>6719</v>
      </c>
      <c r="C2182" t="s">
        <v>2571</v>
      </c>
      <c r="D2182" t="s">
        <v>951</v>
      </c>
      <c r="E2182" t="s">
        <v>1</v>
      </c>
    </row>
    <row r="2183" spans="1:5" x14ac:dyDescent="0.3">
      <c r="A2183" t="s">
        <v>3943</v>
      </c>
      <c r="B2183" t="s">
        <v>6720</v>
      </c>
      <c r="C2183" t="s">
        <v>862</v>
      </c>
      <c r="D2183" t="s">
        <v>747</v>
      </c>
      <c r="E2183" t="s">
        <v>1</v>
      </c>
    </row>
    <row r="2184" spans="1:5" x14ac:dyDescent="0.3">
      <c r="A2184" t="s">
        <v>6721</v>
      </c>
      <c r="B2184" t="s">
        <v>5013</v>
      </c>
      <c r="C2184" t="s">
        <v>6722</v>
      </c>
      <c r="D2184" t="s">
        <v>747</v>
      </c>
      <c r="E2184" t="s">
        <v>1</v>
      </c>
    </row>
    <row r="2185" spans="1:5" x14ac:dyDescent="0.3">
      <c r="A2185" t="s">
        <v>6723</v>
      </c>
      <c r="B2185" t="s">
        <v>6724</v>
      </c>
      <c r="C2185" t="s">
        <v>862</v>
      </c>
      <c r="D2185" t="s">
        <v>747</v>
      </c>
      <c r="E2185" t="s">
        <v>1</v>
      </c>
    </row>
    <row r="2186" spans="1:5" x14ac:dyDescent="0.3">
      <c r="A2186" t="s">
        <v>808</v>
      </c>
      <c r="B2186" t="s">
        <v>6726</v>
      </c>
      <c r="C2186" t="s">
        <v>6725</v>
      </c>
      <c r="D2186" t="s">
        <v>747</v>
      </c>
      <c r="E2186" t="s">
        <v>1</v>
      </c>
    </row>
    <row r="2187" spans="1:5" x14ac:dyDescent="0.3">
      <c r="A2187" t="s">
        <v>867</v>
      </c>
      <c r="B2187" t="s">
        <v>6728</v>
      </c>
      <c r="C2187" t="s">
        <v>6727</v>
      </c>
      <c r="D2187" t="s">
        <v>1401</v>
      </c>
      <c r="E2187" t="s">
        <v>761</v>
      </c>
    </row>
    <row r="2188" spans="1:5" x14ac:dyDescent="0.3">
      <c r="A2188" t="s">
        <v>6731</v>
      </c>
      <c r="B2188" t="s">
        <v>2685</v>
      </c>
      <c r="C2188" t="s">
        <v>5858</v>
      </c>
      <c r="D2188" t="s">
        <v>2001</v>
      </c>
      <c r="E2188" t="s">
        <v>761</v>
      </c>
    </row>
    <row r="2189" spans="1:5" x14ac:dyDescent="0.3">
      <c r="A2189" t="s">
        <v>3579</v>
      </c>
      <c r="B2189" t="s">
        <v>6733</v>
      </c>
      <c r="C2189" t="s">
        <v>6732</v>
      </c>
      <c r="D2189" t="s">
        <v>2001</v>
      </c>
      <c r="E2189" t="s">
        <v>761</v>
      </c>
    </row>
    <row r="2190" spans="1:5" x14ac:dyDescent="0.3">
      <c r="A2190" t="s">
        <v>209</v>
      </c>
      <c r="B2190" t="s">
        <v>6735</v>
      </c>
      <c r="C2190" t="s">
        <v>6734</v>
      </c>
      <c r="D2190" t="s">
        <v>1042</v>
      </c>
      <c r="E2190" t="s">
        <v>761</v>
      </c>
    </row>
    <row r="2191" spans="1:5" x14ac:dyDescent="0.3">
      <c r="A2191" t="s">
        <v>1238</v>
      </c>
      <c r="B2191" t="s">
        <v>6738</v>
      </c>
      <c r="C2191" t="s">
        <v>6737</v>
      </c>
      <c r="D2191" t="s">
        <v>6736</v>
      </c>
      <c r="E2191" t="s">
        <v>75</v>
      </c>
    </row>
    <row r="2192" spans="1:5" x14ac:dyDescent="0.3">
      <c r="A2192" t="s">
        <v>150</v>
      </c>
      <c r="B2192" t="s">
        <v>6741</v>
      </c>
      <c r="C2192" t="s">
        <v>6740</v>
      </c>
      <c r="D2192" t="s">
        <v>2684</v>
      </c>
      <c r="E2192" t="s">
        <v>761</v>
      </c>
    </row>
    <row r="2193" spans="1:5" x14ac:dyDescent="0.3">
      <c r="A2193" t="s">
        <v>157</v>
      </c>
      <c r="B2193" t="s">
        <v>158</v>
      </c>
      <c r="C2193" t="s">
        <v>6743</v>
      </c>
      <c r="D2193" t="s">
        <v>6742</v>
      </c>
      <c r="E2193" t="s">
        <v>758</v>
      </c>
    </row>
    <row r="2194" spans="1:5" x14ac:dyDescent="0.3">
      <c r="A2194" t="s">
        <v>38</v>
      </c>
      <c r="B2194" t="s">
        <v>6746</v>
      </c>
      <c r="C2194" t="s">
        <v>6745</v>
      </c>
      <c r="D2194" t="s">
        <v>6744</v>
      </c>
      <c r="E2194" t="s">
        <v>774</v>
      </c>
    </row>
    <row r="2195" spans="1:5" x14ac:dyDescent="0.3">
      <c r="A2195" t="s">
        <v>3039</v>
      </c>
      <c r="B2195" t="s">
        <v>6751</v>
      </c>
      <c r="C2195" t="s">
        <v>6750</v>
      </c>
      <c r="D2195" t="s">
        <v>739</v>
      </c>
      <c r="E2195" t="s">
        <v>741</v>
      </c>
    </row>
    <row r="2196" spans="1:5" x14ac:dyDescent="0.3">
      <c r="A2196" t="s">
        <v>4577</v>
      </c>
      <c r="B2196" t="s">
        <v>6754</v>
      </c>
      <c r="C2196" t="s">
        <v>6753</v>
      </c>
      <c r="D2196" t="s">
        <v>6752</v>
      </c>
      <c r="E2196" t="s">
        <v>774</v>
      </c>
    </row>
    <row r="2197" spans="1:5" x14ac:dyDescent="0.3">
      <c r="A2197" t="s">
        <v>314</v>
      </c>
      <c r="B2197" t="s">
        <v>6757</v>
      </c>
      <c r="C2197" t="s">
        <v>6756</v>
      </c>
      <c r="D2197" t="s">
        <v>6755</v>
      </c>
      <c r="E2197" t="s">
        <v>761</v>
      </c>
    </row>
    <row r="2198" spans="1:5" x14ac:dyDescent="0.3">
      <c r="A2198" t="s">
        <v>997</v>
      </c>
      <c r="B2198" t="s">
        <v>6759</v>
      </c>
      <c r="C2198" t="s">
        <v>862</v>
      </c>
      <c r="D2198" t="s">
        <v>6758</v>
      </c>
      <c r="E2198" t="s">
        <v>841</v>
      </c>
    </row>
    <row r="2199" spans="1:5" x14ac:dyDescent="0.3">
      <c r="A2199" t="s">
        <v>44</v>
      </c>
      <c r="B2199" t="s">
        <v>1156</v>
      </c>
      <c r="C2199" t="s">
        <v>6760</v>
      </c>
      <c r="D2199" t="s">
        <v>960</v>
      </c>
      <c r="E2199" t="s">
        <v>774</v>
      </c>
    </row>
    <row r="2200" spans="1:5" x14ac:dyDescent="0.3">
      <c r="A2200" t="s">
        <v>150</v>
      </c>
      <c r="B2200" t="s">
        <v>1170</v>
      </c>
      <c r="C2200" t="s">
        <v>862</v>
      </c>
      <c r="D2200" t="s">
        <v>770</v>
      </c>
      <c r="E2200" t="s">
        <v>758</v>
      </c>
    </row>
    <row r="2201" spans="1:5" x14ac:dyDescent="0.3">
      <c r="A2201" t="s">
        <v>3677</v>
      </c>
      <c r="B2201" t="s">
        <v>6762</v>
      </c>
      <c r="C2201" t="s">
        <v>6761</v>
      </c>
      <c r="D2201" t="s">
        <v>770</v>
      </c>
      <c r="E2201" t="s">
        <v>758</v>
      </c>
    </row>
    <row r="2202" spans="1:5" x14ac:dyDescent="0.3">
      <c r="A2202" t="s">
        <v>119</v>
      </c>
      <c r="B2202" t="s">
        <v>3075</v>
      </c>
      <c r="C2202" t="s">
        <v>6763</v>
      </c>
      <c r="D2202" t="s">
        <v>2264</v>
      </c>
      <c r="E2202" t="s">
        <v>897</v>
      </c>
    </row>
    <row r="2203" spans="1:5" x14ac:dyDescent="0.3">
      <c r="A2203" t="s">
        <v>77</v>
      </c>
      <c r="B2203" t="s">
        <v>1370</v>
      </c>
      <c r="C2203" t="s">
        <v>461</v>
      </c>
      <c r="D2203" t="s">
        <v>2829</v>
      </c>
      <c r="E2203" t="s">
        <v>774</v>
      </c>
    </row>
    <row r="2204" spans="1:5" x14ac:dyDescent="0.3">
      <c r="A2204" t="s">
        <v>153</v>
      </c>
      <c r="B2204" t="s">
        <v>5716</v>
      </c>
      <c r="C2204" t="s">
        <v>698</v>
      </c>
      <c r="D2204" t="s">
        <v>1660</v>
      </c>
      <c r="E2204" t="s">
        <v>781</v>
      </c>
    </row>
    <row r="2205" spans="1:5" x14ac:dyDescent="0.3">
      <c r="A2205" t="s">
        <v>50</v>
      </c>
      <c r="B2205" t="s">
        <v>287</v>
      </c>
      <c r="C2205" t="s">
        <v>6765</v>
      </c>
      <c r="D2205" t="s">
        <v>6764</v>
      </c>
      <c r="E2205" t="s">
        <v>5931</v>
      </c>
    </row>
    <row r="2206" spans="1:5" x14ac:dyDescent="0.3">
      <c r="A2206" t="s">
        <v>6766</v>
      </c>
      <c r="B2206" t="s">
        <v>3338</v>
      </c>
      <c r="C2206" t="s">
        <v>862</v>
      </c>
      <c r="D2206" t="s">
        <v>929</v>
      </c>
      <c r="E2206" t="s">
        <v>761</v>
      </c>
    </row>
    <row r="2207" spans="1:5" x14ac:dyDescent="0.3">
      <c r="A2207" t="s">
        <v>1893</v>
      </c>
      <c r="B2207" t="s">
        <v>6769</v>
      </c>
      <c r="C2207" t="s">
        <v>6768</v>
      </c>
      <c r="D2207" t="s">
        <v>6767</v>
      </c>
      <c r="E2207" t="s">
        <v>781</v>
      </c>
    </row>
    <row r="2208" spans="1:5" x14ac:dyDescent="0.3">
      <c r="A2208" t="s">
        <v>6771</v>
      </c>
      <c r="B2208" t="s">
        <v>443</v>
      </c>
      <c r="C2208" t="s">
        <v>6772</v>
      </c>
      <c r="D2208" t="s">
        <v>6770</v>
      </c>
      <c r="E2208" t="s">
        <v>774</v>
      </c>
    </row>
    <row r="2209" spans="1:5" x14ac:dyDescent="0.3">
      <c r="A2209" t="s">
        <v>6773</v>
      </c>
      <c r="B2209" t="s">
        <v>6775</v>
      </c>
      <c r="C2209" t="s">
        <v>6774</v>
      </c>
      <c r="D2209" t="s">
        <v>919</v>
      </c>
      <c r="E2209" t="s">
        <v>1</v>
      </c>
    </row>
    <row r="2210" spans="1:5" x14ac:dyDescent="0.3">
      <c r="A2210" t="s">
        <v>411</v>
      </c>
      <c r="B2210" t="s">
        <v>6777</v>
      </c>
      <c r="C2210" t="s">
        <v>6776</v>
      </c>
      <c r="D2210" t="s">
        <v>809</v>
      </c>
      <c r="E2210" t="s">
        <v>781</v>
      </c>
    </row>
    <row r="2211" spans="1:5" x14ac:dyDescent="0.3">
      <c r="A2211" t="s">
        <v>1494</v>
      </c>
      <c r="B2211" t="s">
        <v>6778</v>
      </c>
      <c r="C2211" t="s">
        <v>862</v>
      </c>
      <c r="D2211" t="s">
        <v>919</v>
      </c>
      <c r="E2211" t="s">
        <v>1</v>
      </c>
    </row>
    <row r="2212" spans="1:5" x14ac:dyDescent="0.3">
      <c r="A2212" t="s">
        <v>3462</v>
      </c>
      <c r="B2212" t="s">
        <v>6779</v>
      </c>
      <c r="C2212" t="s">
        <v>862</v>
      </c>
      <c r="D2212" t="s">
        <v>1408</v>
      </c>
      <c r="E2212" t="s">
        <v>1</v>
      </c>
    </row>
    <row r="2213" spans="1:5" x14ac:dyDescent="0.3">
      <c r="A2213" t="s">
        <v>2069</v>
      </c>
      <c r="B2213" t="s">
        <v>6781</v>
      </c>
      <c r="C2213" t="s">
        <v>6780</v>
      </c>
      <c r="D2213" t="s">
        <v>751</v>
      </c>
      <c r="E2213" t="s">
        <v>1</v>
      </c>
    </row>
    <row r="2214" spans="1:5" x14ac:dyDescent="0.3">
      <c r="A2214" t="s">
        <v>50</v>
      </c>
      <c r="B2214" t="s">
        <v>6782</v>
      </c>
      <c r="C2214" t="s">
        <v>862</v>
      </c>
      <c r="D2214" t="s">
        <v>919</v>
      </c>
      <c r="E2214" t="s">
        <v>1</v>
      </c>
    </row>
    <row r="2215" spans="1:5" x14ac:dyDescent="0.3">
      <c r="A2215" t="s">
        <v>6783</v>
      </c>
      <c r="B2215" t="s">
        <v>1252</v>
      </c>
      <c r="C2215" t="s">
        <v>862</v>
      </c>
      <c r="D2215" t="s">
        <v>919</v>
      </c>
      <c r="E2215" t="s">
        <v>1</v>
      </c>
    </row>
    <row r="2216" spans="1:5" x14ac:dyDescent="0.3">
      <c r="A2216" t="s">
        <v>6784</v>
      </c>
      <c r="B2216" t="s">
        <v>1230</v>
      </c>
      <c r="C2216" t="s">
        <v>862</v>
      </c>
      <c r="D2216" t="s">
        <v>919</v>
      </c>
      <c r="E2216" t="s">
        <v>1</v>
      </c>
    </row>
    <row r="2217" spans="1:5" x14ac:dyDescent="0.3">
      <c r="A2217" t="s">
        <v>195</v>
      </c>
      <c r="B2217" t="s">
        <v>4384</v>
      </c>
      <c r="C2217" t="s">
        <v>6785</v>
      </c>
      <c r="D2217" t="s">
        <v>919</v>
      </c>
      <c r="E2217" t="s">
        <v>1</v>
      </c>
    </row>
    <row r="2218" spans="1:5" x14ac:dyDescent="0.3">
      <c r="A2218" t="s">
        <v>3398</v>
      </c>
      <c r="B2218" t="s">
        <v>2908</v>
      </c>
      <c r="C2218" t="s">
        <v>862</v>
      </c>
      <c r="D2218" t="s">
        <v>919</v>
      </c>
      <c r="E2218" t="s">
        <v>1</v>
      </c>
    </row>
    <row r="2219" spans="1:5" x14ac:dyDescent="0.3">
      <c r="A2219" t="s">
        <v>6786</v>
      </c>
      <c r="B2219" t="s">
        <v>3934</v>
      </c>
      <c r="C2219" t="s">
        <v>862</v>
      </c>
      <c r="D2219" t="s">
        <v>919</v>
      </c>
      <c r="E2219" t="s">
        <v>1</v>
      </c>
    </row>
    <row r="2220" spans="1:5" x14ac:dyDescent="0.3">
      <c r="A2220" t="s">
        <v>1704</v>
      </c>
      <c r="B2220" t="s">
        <v>199</v>
      </c>
      <c r="C2220" t="s">
        <v>6780</v>
      </c>
      <c r="D2220" t="s">
        <v>919</v>
      </c>
      <c r="E2220" t="s">
        <v>1</v>
      </c>
    </row>
    <row r="2221" spans="1:5" x14ac:dyDescent="0.3">
      <c r="A2221" t="s">
        <v>1433</v>
      </c>
      <c r="B2221" t="s">
        <v>2979</v>
      </c>
      <c r="C2221" t="s">
        <v>6787</v>
      </c>
      <c r="D2221" t="s">
        <v>751</v>
      </c>
      <c r="E2221" t="s">
        <v>1</v>
      </c>
    </row>
    <row r="2222" spans="1:5" x14ac:dyDescent="0.3">
      <c r="A2222" t="s">
        <v>5410</v>
      </c>
      <c r="B2222" t="s">
        <v>6790</v>
      </c>
      <c r="C2222" t="s">
        <v>6789</v>
      </c>
      <c r="D2222" t="s">
        <v>919</v>
      </c>
      <c r="E2222" t="s">
        <v>1</v>
      </c>
    </row>
    <row r="2223" spans="1:5" x14ac:dyDescent="0.3">
      <c r="A2223" t="s">
        <v>5236</v>
      </c>
      <c r="B2223" t="s">
        <v>1353</v>
      </c>
      <c r="C2223" t="s">
        <v>862</v>
      </c>
      <c r="D2223" t="s">
        <v>6791</v>
      </c>
      <c r="E2223" t="s">
        <v>774</v>
      </c>
    </row>
    <row r="2224" spans="1:5" x14ac:dyDescent="0.3">
      <c r="A2224" t="s">
        <v>6792</v>
      </c>
      <c r="B2224" t="s">
        <v>3953</v>
      </c>
      <c r="C2224" t="s">
        <v>862</v>
      </c>
      <c r="D2224" t="s">
        <v>769</v>
      </c>
      <c r="E2224" t="s">
        <v>1</v>
      </c>
    </row>
    <row r="2225" spans="1:5" x14ac:dyDescent="0.3">
      <c r="A2225" t="s">
        <v>41</v>
      </c>
      <c r="B2225" t="s">
        <v>3616</v>
      </c>
      <c r="C2225" t="s">
        <v>862</v>
      </c>
      <c r="D2225" t="s">
        <v>919</v>
      </c>
      <c r="E2225" t="s">
        <v>1</v>
      </c>
    </row>
    <row r="2226" spans="1:5" x14ac:dyDescent="0.3">
      <c r="A2226" t="s">
        <v>864</v>
      </c>
      <c r="B2226" t="s">
        <v>4034</v>
      </c>
      <c r="C2226" t="s">
        <v>698</v>
      </c>
      <c r="D2226" t="s">
        <v>919</v>
      </c>
      <c r="E2226" t="s">
        <v>1</v>
      </c>
    </row>
    <row r="2227" spans="1:5" x14ac:dyDescent="0.3">
      <c r="A2227" t="s">
        <v>1352</v>
      </c>
      <c r="B2227" t="s">
        <v>2549</v>
      </c>
      <c r="C2227" t="s">
        <v>862</v>
      </c>
      <c r="D2227" t="s">
        <v>919</v>
      </c>
      <c r="E2227" t="s">
        <v>1</v>
      </c>
    </row>
    <row r="2228" spans="1:5" x14ac:dyDescent="0.3">
      <c r="A2228" t="s">
        <v>220</v>
      </c>
      <c r="B2228" t="s">
        <v>52</v>
      </c>
      <c r="C2228" t="s">
        <v>862</v>
      </c>
      <c r="D2228" t="s">
        <v>919</v>
      </c>
      <c r="E2228" t="s">
        <v>1</v>
      </c>
    </row>
    <row r="2229" spans="1:5" x14ac:dyDescent="0.3">
      <c r="A2229" t="s">
        <v>3925</v>
      </c>
      <c r="B2229" t="s">
        <v>6793</v>
      </c>
      <c r="C2229" t="s">
        <v>6780</v>
      </c>
      <c r="D2229" t="s">
        <v>919</v>
      </c>
      <c r="E2229" t="s">
        <v>1</v>
      </c>
    </row>
    <row r="2230" spans="1:5" x14ac:dyDescent="0.3">
      <c r="A2230" t="s">
        <v>6794</v>
      </c>
      <c r="B2230" t="s">
        <v>1753</v>
      </c>
      <c r="C2230" t="s">
        <v>6795</v>
      </c>
      <c r="D2230" t="s">
        <v>919</v>
      </c>
      <c r="E2230" t="s">
        <v>1</v>
      </c>
    </row>
    <row r="2231" spans="1:5" x14ac:dyDescent="0.3">
      <c r="A2231" t="s">
        <v>4656</v>
      </c>
      <c r="B2231" t="s">
        <v>6796</v>
      </c>
      <c r="C2231" t="s">
        <v>862</v>
      </c>
      <c r="D2231" t="s">
        <v>919</v>
      </c>
      <c r="E2231" t="s">
        <v>1</v>
      </c>
    </row>
    <row r="2232" spans="1:5" x14ac:dyDescent="0.3">
      <c r="A2232" t="s">
        <v>1116</v>
      </c>
      <c r="B2232" t="s">
        <v>6798</v>
      </c>
      <c r="C2232" t="s">
        <v>6797</v>
      </c>
      <c r="D2232" t="s">
        <v>919</v>
      </c>
      <c r="E2232" t="s">
        <v>1</v>
      </c>
    </row>
    <row r="2233" spans="1:5" x14ac:dyDescent="0.3">
      <c r="A2233" t="s">
        <v>85</v>
      </c>
      <c r="B2233" t="s">
        <v>6799</v>
      </c>
      <c r="C2233" t="s">
        <v>862</v>
      </c>
      <c r="D2233" t="s">
        <v>919</v>
      </c>
      <c r="E2233" t="s">
        <v>1</v>
      </c>
    </row>
    <row r="2234" spans="1:5" x14ac:dyDescent="0.3">
      <c r="A2234" t="s">
        <v>177</v>
      </c>
      <c r="B2234" t="s">
        <v>6801</v>
      </c>
      <c r="C2234" t="s">
        <v>6800</v>
      </c>
      <c r="D2234" t="s">
        <v>919</v>
      </c>
      <c r="E2234" t="s">
        <v>1</v>
      </c>
    </row>
    <row r="2235" spans="1:5" x14ac:dyDescent="0.3">
      <c r="A2235" t="s">
        <v>6802</v>
      </c>
      <c r="B2235" t="s">
        <v>3736</v>
      </c>
      <c r="C2235" t="s">
        <v>6803</v>
      </c>
      <c r="D2235" t="s">
        <v>919</v>
      </c>
      <c r="E2235" t="s">
        <v>1</v>
      </c>
    </row>
    <row r="2236" spans="1:5" x14ac:dyDescent="0.3">
      <c r="A2236" t="s">
        <v>3835</v>
      </c>
      <c r="B2236" t="s">
        <v>6804</v>
      </c>
      <c r="C2236" t="s">
        <v>862</v>
      </c>
      <c r="D2236" t="s">
        <v>919</v>
      </c>
      <c r="E2236" t="s">
        <v>1</v>
      </c>
    </row>
    <row r="2237" spans="1:5" x14ac:dyDescent="0.3">
      <c r="A2237" t="s">
        <v>1905</v>
      </c>
      <c r="B2237" t="s">
        <v>6806</v>
      </c>
      <c r="C2237" t="s">
        <v>6805</v>
      </c>
      <c r="D2237" t="s">
        <v>919</v>
      </c>
      <c r="E2237" t="s">
        <v>1</v>
      </c>
    </row>
    <row r="2238" spans="1:5" x14ac:dyDescent="0.3">
      <c r="A2238" t="s">
        <v>259</v>
      </c>
      <c r="B2238" t="s">
        <v>103</v>
      </c>
      <c r="C2238" t="s">
        <v>862</v>
      </c>
      <c r="D2238" t="s">
        <v>919</v>
      </c>
      <c r="E2238" t="s">
        <v>1</v>
      </c>
    </row>
    <row r="2239" spans="1:5" x14ac:dyDescent="0.3">
      <c r="A2239" t="s">
        <v>752</v>
      </c>
      <c r="B2239" t="s">
        <v>6808</v>
      </c>
      <c r="C2239" t="s">
        <v>6807</v>
      </c>
      <c r="D2239" t="s">
        <v>919</v>
      </c>
      <c r="E2239" t="s">
        <v>1</v>
      </c>
    </row>
    <row r="2240" spans="1:5" x14ac:dyDescent="0.3">
      <c r="A2240" t="s">
        <v>3951</v>
      </c>
      <c r="B2240" t="s">
        <v>6809</v>
      </c>
      <c r="C2240" t="s">
        <v>862</v>
      </c>
      <c r="D2240" t="s">
        <v>919</v>
      </c>
      <c r="E2240" t="s">
        <v>1</v>
      </c>
    </row>
    <row r="2241" spans="1:5" x14ac:dyDescent="0.3">
      <c r="A2241" t="s">
        <v>153</v>
      </c>
      <c r="B2241" t="s">
        <v>1841</v>
      </c>
      <c r="C2241" t="s">
        <v>862</v>
      </c>
      <c r="D2241" t="s">
        <v>919</v>
      </c>
      <c r="E2241" t="s">
        <v>1</v>
      </c>
    </row>
    <row r="2242" spans="1:5" x14ac:dyDescent="0.3">
      <c r="A2242" t="s">
        <v>5234</v>
      </c>
      <c r="B2242" t="s">
        <v>107</v>
      </c>
      <c r="C2242" t="s">
        <v>6810</v>
      </c>
      <c r="D2242" t="s">
        <v>919</v>
      </c>
      <c r="E2242" t="s">
        <v>1</v>
      </c>
    </row>
    <row r="2243" spans="1:5" x14ac:dyDescent="0.3">
      <c r="A2243" t="s">
        <v>931</v>
      </c>
      <c r="B2243" t="s">
        <v>6812</v>
      </c>
      <c r="C2243" t="s">
        <v>6811</v>
      </c>
      <c r="D2243" t="s">
        <v>919</v>
      </c>
      <c r="E2243" t="s">
        <v>1</v>
      </c>
    </row>
    <row r="2244" spans="1:5" x14ac:dyDescent="0.3">
      <c r="A2244" t="s">
        <v>6813</v>
      </c>
      <c r="B2244" t="s">
        <v>979</v>
      </c>
      <c r="C2244" t="s">
        <v>862</v>
      </c>
      <c r="D2244" t="s">
        <v>919</v>
      </c>
      <c r="E2244" t="s">
        <v>1</v>
      </c>
    </row>
    <row r="2245" spans="1:5" x14ac:dyDescent="0.3">
      <c r="A2245" t="s">
        <v>6814</v>
      </c>
      <c r="B2245" t="s">
        <v>5128</v>
      </c>
      <c r="C2245" t="s">
        <v>6815</v>
      </c>
      <c r="D2245" t="s">
        <v>2313</v>
      </c>
      <c r="E2245" t="s">
        <v>741</v>
      </c>
    </row>
    <row r="2246" spans="1:5" x14ac:dyDescent="0.3">
      <c r="A2246" t="s">
        <v>6816</v>
      </c>
      <c r="B2246" t="s">
        <v>6818</v>
      </c>
      <c r="C2246" t="s">
        <v>6817</v>
      </c>
      <c r="D2246" t="s">
        <v>5331</v>
      </c>
      <c r="E2246" t="s">
        <v>774</v>
      </c>
    </row>
    <row r="2247" spans="1:5" x14ac:dyDescent="0.3">
      <c r="A2247" t="s">
        <v>112</v>
      </c>
      <c r="B2247" t="s">
        <v>3335</v>
      </c>
      <c r="C2247" t="s">
        <v>6819</v>
      </c>
      <c r="D2247" t="s">
        <v>895</v>
      </c>
      <c r="E2247" t="s">
        <v>897</v>
      </c>
    </row>
    <row r="2248" spans="1:5" x14ac:dyDescent="0.3">
      <c r="A2248" t="s">
        <v>1330</v>
      </c>
      <c r="B2248" t="s">
        <v>199</v>
      </c>
      <c r="C2248" t="s">
        <v>862</v>
      </c>
      <c r="D2248" t="s">
        <v>919</v>
      </c>
      <c r="E2248" t="s">
        <v>1</v>
      </c>
    </row>
    <row r="2249" spans="1:5" x14ac:dyDescent="0.3">
      <c r="A2249" t="s">
        <v>3951</v>
      </c>
      <c r="B2249" t="s">
        <v>171</v>
      </c>
      <c r="C2249" t="s">
        <v>862</v>
      </c>
      <c r="D2249" t="s">
        <v>919</v>
      </c>
      <c r="E2249" t="s">
        <v>1</v>
      </c>
    </row>
    <row r="2250" spans="1:5" x14ac:dyDescent="0.3">
      <c r="A2250" t="s">
        <v>6820</v>
      </c>
      <c r="B2250" t="s">
        <v>6822</v>
      </c>
      <c r="C2250" t="s">
        <v>6821</v>
      </c>
      <c r="D2250" t="s">
        <v>919</v>
      </c>
      <c r="E2250" t="s">
        <v>1</v>
      </c>
    </row>
    <row r="2251" spans="1:5" x14ac:dyDescent="0.3">
      <c r="A2251" t="s">
        <v>230</v>
      </c>
      <c r="B2251" t="s">
        <v>6824</v>
      </c>
      <c r="C2251" t="s">
        <v>6823</v>
      </c>
      <c r="D2251" t="s">
        <v>919</v>
      </c>
      <c r="E2251" t="s">
        <v>1</v>
      </c>
    </row>
    <row r="2252" spans="1:5" x14ac:dyDescent="0.3">
      <c r="A2252" t="s">
        <v>4086</v>
      </c>
      <c r="B2252" t="s">
        <v>6825</v>
      </c>
      <c r="C2252" t="s">
        <v>862</v>
      </c>
      <c r="D2252" t="s">
        <v>919</v>
      </c>
      <c r="E2252" t="s">
        <v>1</v>
      </c>
    </row>
    <row r="2253" spans="1:5" x14ac:dyDescent="0.3">
      <c r="A2253" t="s">
        <v>6826</v>
      </c>
      <c r="B2253" t="s">
        <v>1432</v>
      </c>
      <c r="C2253" t="s">
        <v>862</v>
      </c>
      <c r="D2253" t="s">
        <v>919</v>
      </c>
      <c r="E2253" t="s">
        <v>1</v>
      </c>
    </row>
    <row r="2254" spans="1:5" x14ac:dyDescent="0.3">
      <c r="A2254" t="s">
        <v>3963</v>
      </c>
      <c r="B2254" t="s">
        <v>6827</v>
      </c>
      <c r="C2254" t="s">
        <v>6780</v>
      </c>
      <c r="D2254" t="s">
        <v>919</v>
      </c>
      <c r="E2254" t="s">
        <v>1</v>
      </c>
    </row>
    <row r="2255" spans="1:5" x14ac:dyDescent="0.3">
      <c r="A2255" t="s">
        <v>6828</v>
      </c>
      <c r="B2255" t="s">
        <v>4618</v>
      </c>
      <c r="C2255" t="s">
        <v>6829</v>
      </c>
      <c r="D2255" t="s">
        <v>869</v>
      </c>
      <c r="E2255" t="s">
        <v>781</v>
      </c>
    </row>
    <row r="2256" spans="1:5" x14ac:dyDescent="0.3">
      <c r="A2256" t="s">
        <v>2121</v>
      </c>
      <c r="B2256" t="s">
        <v>1432</v>
      </c>
      <c r="C2256" t="s">
        <v>6831</v>
      </c>
      <c r="D2256" t="s">
        <v>919</v>
      </c>
      <c r="E2256" t="s">
        <v>1</v>
      </c>
    </row>
    <row r="2257" spans="1:5" x14ac:dyDescent="0.3">
      <c r="A2257" t="s">
        <v>6832</v>
      </c>
      <c r="B2257" t="s">
        <v>3522</v>
      </c>
      <c r="C2257" t="s">
        <v>862</v>
      </c>
      <c r="D2257" t="s">
        <v>919</v>
      </c>
      <c r="E2257" t="s">
        <v>1</v>
      </c>
    </row>
    <row r="2258" spans="1:5" x14ac:dyDescent="0.3">
      <c r="A2258" t="s">
        <v>6833</v>
      </c>
      <c r="B2258" t="s">
        <v>411</v>
      </c>
      <c r="C2258" t="s">
        <v>862</v>
      </c>
      <c r="D2258" t="s">
        <v>751</v>
      </c>
      <c r="E2258" t="s">
        <v>1</v>
      </c>
    </row>
    <row r="2259" spans="1:5" x14ac:dyDescent="0.3">
      <c r="A2259" t="s">
        <v>190</v>
      </c>
      <c r="B2259" t="s">
        <v>2351</v>
      </c>
      <c r="C2259" t="s">
        <v>6834</v>
      </c>
      <c r="D2259" t="s">
        <v>919</v>
      </c>
      <c r="E2259" t="s">
        <v>1</v>
      </c>
    </row>
    <row r="2260" spans="1:5" x14ac:dyDescent="0.3">
      <c r="A2260" t="s">
        <v>6835</v>
      </c>
      <c r="B2260" t="s">
        <v>171</v>
      </c>
      <c r="C2260" t="s">
        <v>862</v>
      </c>
      <c r="D2260" t="s">
        <v>919</v>
      </c>
      <c r="E2260" t="s">
        <v>1</v>
      </c>
    </row>
    <row r="2261" spans="1:5" x14ac:dyDescent="0.3">
      <c r="A2261" t="s">
        <v>1311</v>
      </c>
      <c r="B2261" t="s">
        <v>6836</v>
      </c>
      <c r="C2261" t="s">
        <v>862</v>
      </c>
      <c r="D2261" t="s">
        <v>919</v>
      </c>
      <c r="E2261" t="s">
        <v>1</v>
      </c>
    </row>
    <row r="2262" spans="1:5" x14ac:dyDescent="0.3">
      <c r="A2262" t="s">
        <v>1071</v>
      </c>
      <c r="B2262" t="s">
        <v>3620</v>
      </c>
      <c r="C2262" t="s">
        <v>862</v>
      </c>
      <c r="D2262" t="s">
        <v>919</v>
      </c>
      <c r="E2262" t="s">
        <v>1</v>
      </c>
    </row>
    <row r="2263" spans="1:5" x14ac:dyDescent="0.3">
      <c r="A2263" t="s">
        <v>1071</v>
      </c>
      <c r="B2263" t="s">
        <v>3468</v>
      </c>
      <c r="C2263" t="s">
        <v>862</v>
      </c>
      <c r="D2263" t="s">
        <v>919</v>
      </c>
      <c r="E2263" t="s">
        <v>1</v>
      </c>
    </row>
    <row r="2264" spans="1:5" x14ac:dyDescent="0.3">
      <c r="A2264" t="s">
        <v>35</v>
      </c>
      <c r="B2264" t="s">
        <v>3993</v>
      </c>
      <c r="C2264" t="s">
        <v>6837</v>
      </c>
      <c r="D2264" t="s">
        <v>919</v>
      </c>
      <c r="E2264" t="s">
        <v>1</v>
      </c>
    </row>
    <row r="2265" spans="1:5" x14ac:dyDescent="0.3">
      <c r="A2265" t="s">
        <v>76</v>
      </c>
      <c r="B2265" t="s">
        <v>234</v>
      </c>
      <c r="C2265" t="s">
        <v>235</v>
      </c>
      <c r="D2265" t="s">
        <v>919</v>
      </c>
      <c r="E2265" t="s">
        <v>1</v>
      </c>
    </row>
    <row r="2266" spans="1:5" x14ac:dyDescent="0.3">
      <c r="A2266" t="s">
        <v>6839</v>
      </c>
      <c r="B2266" t="s">
        <v>6841</v>
      </c>
      <c r="C2266" t="s">
        <v>6840</v>
      </c>
      <c r="D2266" t="s">
        <v>919</v>
      </c>
      <c r="E2266" t="s">
        <v>1</v>
      </c>
    </row>
    <row r="2267" spans="1:5" x14ac:dyDescent="0.3">
      <c r="A2267" t="s">
        <v>3490</v>
      </c>
      <c r="B2267" t="s">
        <v>3333</v>
      </c>
      <c r="C2267" t="s">
        <v>862</v>
      </c>
      <c r="D2267" t="s">
        <v>919</v>
      </c>
      <c r="E2267" t="s">
        <v>1</v>
      </c>
    </row>
    <row r="2268" spans="1:5" x14ac:dyDescent="0.3">
      <c r="A2268" t="s">
        <v>6842</v>
      </c>
      <c r="B2268" t="s">
        <v>6843</v>
      </c>
      <c r="C2268" t="s">
        <v>862</v>
      </c>
      <c r="D2268" t="s">
        <v>906</v>
      </c>
      <c r="E2268" t="s">
        <v>1</v>
      </c>
    </row>
    <row r="2269" spans="1:5" x14ac:dyDescent="0.3">
      <c r="A2269" t="s">
        <v>744</v>
      </c>
      <c r="B2269" t="s">
        <v>6844</v>
      </c>
      <c r="C2269" t="s">
        <v>862</v>
      </c>
      <c r="D2269" t="s">
        <v>919</v>
      </c>
      <c r="E2269" t="s">
        <v>1</v>
      </c>
    </row>
    <row r="2270" spans="1:5" x14ac:dyDescent="0.3">
      <c r="A2270" t="s">
        <v>1267</v>
      </c>
      <c r="B2270" t="s">
        <v>6846</v>
      </c>
      <c r="C2270" t="s">
        <v>5694</v>
      </c>
      <c r="D2270" t="s">
        <v>919</v>
      </c>
      <c r="E2270" t="s">
        <v>1</v>
      </c>
    </row>
    <row r="2271" spans="1:5" x14ac:dyDescent="0.3">
      <c r="A2271" t="s">
        <v>66</v>
      </c>
      <c r="B2271" t="s">
        <v>6847</v>
      </c>
      <c r="C2271" t="s">
        <v>862</v>
      </c>
      <c r="D2271" t="s">
        <v>919</v>
      </c>
      <c r="E2271" t="s">
        <v>1</v>
      </c>
    </row>
    <row r="2272" spans="1:5" x14ac:dyDescent="0.3">
      <c r="A2272" t="s">
        <v>182</v>
      </c>
      <c r="B2272" t="s">
        <v>182</v>
      </c>
      <c r="C2272" t="s">
        <v>6848</v>
      </c>
      <c r="D2272" t="s">
        <v>919</v>
      </c>
      <c r="E2272" t="s">
        <v>1</v>
      </c>
    </row>
    <row r="2273" spans="1:5" x14ac:dyDescent="0.3">
      <c r="A2273" t="s">
        <v>6849</v>
      </c>
      <c r="B2273" t="s">
        <v>6850</v>
      </c>
      <c r="C2273" t="s">
        <v>862</v>
      </c>
      <c r="D2273" t="s">
        <v>919</v>
      </c>
      <c r="E2273" t="s">
        <v>1</v>
      </c>
    </row>
    <row r="2274" spans="1:5" x14ac:dyDescent="0.3">
      <c r="A2274" t="s">
        <v>27</v>
      </c>
      <c r="B2274" t="s">
        <v>6851</v>
      </c>
      <c r="C2274" t="s">
        <v>518</v>
      </c>
      <c r="D2274" t="s">
        <v>919</v>
      </c>
      <c r="E2274" t="s">
        <v>1</v>
      </c>
    </row>
    <row r="2275" spans="1:5" x14ac:dyDescent="0.3">
      <c r="A2275" t="s">
        <v>177</v>
      </c>
      <c r="B2275" t="s">
        <v>4100</v>
      </c>
      <c r="C2275" t="s">
        <v>6852</v>
      </c>
      <c r="D2275" t="s">
        <v>919</v>
      </c>
      <c r="E2275" t="s">
        <v>1</v>
      </c>
    </row>
    <row r="2276" spans="1:5" x14ac:dyDescent="0.3">
      <c r="A2276" t="s">
        <v>85</v>
      </c>
      <c r="B2276" t="s">
        <v>6853</v>
      </c>
      <c r="C2276" t="s">
        <v>862</v>
      </c>
      <c r="D2276" t="s">
        <v>919</v>
      </c>
      <c r="E2276" t="s">
        <v>1</v>
      </c>
    </row>
    <row r="2277" spans="1:5" x14ac:dyDescent="0.3">
      <c r="A2277" t="s">
        <v>195</v>
      </c>
      <c r="B2277" t="s">
        <v>6854</v>
      </c>
      <c r="C2277" t="s">
        <v>862</v>
      </c>
      <c r="D2277" t="s">
        <v>919</v>
      </c>
      <c r="E2277" t="s">
        <v>1</v>
      </c>
    </row>
    <row r="2278" spans="1:5" x14ac:dyDescent="0.3">
      <c r="A2278" t="s">
        <v>6856</v>
      </c>
      <c r="B2278" t="s">
        <v>2908</v>
      </c>
      <c r="C2278" t="s">
        <v>6857</v>
      </c>
      <c r="D2278" t="s">
        <v>6855</v>
      </c>
      <c r="E2278" t="s">
        <v>774</v>
      </c>
    </row>
    <row r="2279" spans="1:5" x14ac:dyDescent="0.3">
      <c r="A2279" t="s">
        <v>4413</v>
      </c>
      <c r="B2279" t="s">
        <v>6859</v>
      </c>
      <c r="C2279" t="s">
        <v>6858</v>
      </c>
      <c r="D2279" t="s">
        <v>919</v>
      </c>
      <c r="E2279" t="s">
        <v>1</v>
      </c>
    </row>
    <row r="2280" spans="1:5" x14ac:dyDescent="0.3">
      <c r="A2280" t="s">
        <v>1297</v>
      </c>
      <c r="B2280" t="s">
        <v>3277</v>
      </c>
      <c r="C2280" t="s">
        <v>862</v>
      </c>
      <c r="D2280" t="s">
        <v>919</v>
      </c>
      <c r="E2280" t="s">
        <v>1</v>
      </c>
    </row>
    <row r="2281" spans="1:5" x14ac:dyDescent="0.3">
      <c r="A2281" t="s">
        <v>4901</v>
      </c>
      <c r="B2281" t="s">
        <v>1315</v>
      </c>
      <c r="C2281" t="s">
        <v>6860</v>
      </c>
      <c r="D2281" t="s">
        <v>919</v>
      </c>
      <c r="E2281" t="s">
        <v>1</v>
      </c>
    </row>
    <row r="2282" spans="1:5" x14ac:dyDescent="0.3">
      <c r="A2282" t="s">
        <v>5137</v>
      </c>
      <c r="B2282" t="s">
        <v>1723</v>
      </c>
      <c r="C2282" t="s">
        <v>6861</v>
      </c>
      <c r="D2282" t="s">
        <v>919</v>
      </c>
      <c r="E2282" t="s">
        <v>1</v>
      </c>
    </row>
    <row r="2283" spans="1:5" x14ac:dyDescent="0.3">
      <c r="A2283" t="s">
        <v>6862</v>
      </c>
      <c r="B2283" t="s">
        <v>6864</v>
      </c>
      <c r="C2283" t="s">
        <v>6863</v>
      </c>
      <c r="D2283" t="s">
        <v>919</v>
      </c>
      <c r="E2283" t="s">
        <v>1</v>
      </c>
    </row>
    <row r="2284" spans="1:5" x14ac:dyDescent="0.3">
      <c r="A2284" t="s">
        <v>6865</v>
      </c>
      <c r="B2284" t="s">
        <v>6867</v>
      </c>
      <c r="C2284" t="s">
        <v>6866</v>
      </c>
      <c r="D2284" t="s">
        <v>919</v>
      </c>
      <c r="E2284" t="s">
        <v>1</v>
      </c>
    </row>
    <row r="2285" spans="1:5" x14ac:dyDescent="0.3">
      <c r="A2285" t="s">
        <v>3540</v>
      </c>
      <c r="B2285" t="s">
        <v>2369</v>
      </c>
      <c r="C2285" t="s">
        <v>6868</v>
      </c>
      <c r="D2285" t="s">
        <v>747</v>
      </c>
      <c r="E2285" t="s">
        <v>1</v>
      </c>
    </row>
    <row r="2286" spans="1:5" x14ac:dyDescent="0.3">
      <c r="A2286" t="s">
        <v>5442</v>
      </c>
      <c r="B2286" t="s">
        <v>6870</v>
      </c>
      <c r="C2286" t="s">
        <v>6869</v>
      </c>
      <c r="D2286" t="s">
        <v>919</v>
      </c>
      <c r="E2286" t="s">
        <v>1</v>
      </c>
    </row>
    <row r="2287" spans="1:5" x14ac:dyDescent="0.3">
      <c r="A2287" t="s">
        <v>1414</v>
      </c>
      <c r="B2287" t="s">
        <v>6871</v>
      </c>
      <c r="C2287" t="s">
        <v>862</v>
      </c>
      <c r="D2287" t="s">
        <v>919</v>
      </c>
      <c r="E2287" t="s">
        <v>1</v>
      </c>
    </row>
    <row r="2288" spans="1:5" x14ac:dyDescent="0.3">
      <c r="A2288" t="s">
        <v>1068</v>
      </c>
      <c r="B2288" t="s">
        <v>6017</v>
      </c>
      <c r="C2288" t="s">
        <v>6873</v>
      </c>
      <c r="D2288" t="s">
        <v>6872</v>
      </c>
      <c r="E2288" t="s">
        <v>774</v>
      </c>
    </row>
    <row r="2289" spans="1:5" x14ac:dyDescent="0.3">
      <c r="A2289" t="s">
        <v>2008</v>
      </c>
      <c r="B2289" t="s">
        <v>197</v>
      </c>
      <c r="C2289" t="s">
        <v>862</v>
      </c>
      <c r="D2289" t="s">
        <v>919</v>
      </c>
      <c r="E2289" t="s">
        <v>1</v>
      </c>
    </row>
    <row r="2290" spans="1:5" x14ac:dyDescent="0.3">
      <c r="A2290" t="s">
        <v>767</v>
      </c>
      <c r="B2290" t="s">
        <v>171</v>
      </c>
      <c r="C2290" t="s">
        <v>862</v>
      </c>
      <c r="D2290" t="s">
        <v>6874</v>
      </c>
      <c r="E2290" t="s">
        <v>774</v>
      </c>
    </row>
    <row r="2291" spans="1:5" x14ac:dyDescent="0.3">
      <c r="A2291" t="s">
        <v>1297</v>
      </c>
      <c r="B2291" t="s">
        <v>6876</v>
      </c>
      <c r="C2291" t="s">
        <v>6875</v>
      </c>
      <c r="D2291" t="s">
        <v>919</v>
      </c>
      <c r="E2291" t="s">
        <v>1</v>
      </c>
    </row>
    <row r="2292" spans="1:5" x14ac:dyDescent="0.3">
      <c r="A2292" t="s">
        <v>77</v>
      </c>
      <c r="B2292" t="s">
        <v>4033</v>
      </c>
      <c r="C2292" t="s">
        <v>6877</v>
      </c>
      <c r="D2292" t="s">
        <v>919</v>
      </c>
      <c r="E2292" t="s">
        <v>1</v>
      </c>
    </row>
    <row r="2293" spans="1:5" x14ac:dyDescent="0.3">
      <c r="A2293" t="s">
        <v>6878</v>
      </c>
      <c r="B2293" t="s">
        <v>1029</v>
      </c>
      <c r="C2293" t="s">
        <v>862</v>
      </c>
      <c r="D2293" t="s">
        <v>1350</v>
      </c>
      <c r="E2293" t="s">
        <v>761</v>
      </c>
    </row>
    <row r="2294" spans="1:5" x14ac:dyDescent="0.3">
      <c r="A2294" t="s">
        <v>2980</v>
      </c>
      <c r="B2294" t="s">
        <v>6880</v>
      </c>
      <c r="C2294" t="s">
        <v>6879</v>
      </c>
      <c r="D2294" t="s">
        <v>919</v>
      </c>
      <c r="E2294" t="s">
        <v>1</v>
      </c>
    </row>
    <row r="2295" spans="1:5" x14ac:dyDescent="0.3">
      <c r="A2295" t="s">
        <v>1282</v>
      </c>
      <c r="B2295" t="s">
        <v>1687</v>
      </c>
      <c r="C2295" t="s">
        <v>862</v>
      </c>
      <c r="D2295" t="s">
        <v>919</v>
      </c>
      <c r="E2295" t="s">
        <v>1</v>
      </c>
    </row>
    <row r="2296" spans="1:5" x14ac:dyDescent="0.3">
      <c r="A2296" t="s">
        <v>3423</v>
      </c>
      <c r="B2296" t="s">
        <v>1378</v>
      </c>
      <c r="C2296" t="s">
        <v>862</v>
      </c>
      <c r="D2296" t="s">
        <v>751</v>
      </c>
      <c r="E2296" t="s">
        <v>1</v>
      </c>
    </row>
    <row r="2297" spans="1:5" x14ac:dyDescent="0.3">
      <c r="A2297" t="s">
        <v>6881</v>
      </c>
      <c r="B2297" t="s">
        <v>2527</v>
      </c>
      <c r="C2297" t="s">
        <v>862</v>
      </c>
      <c r="D2297" t="s">
        <v>919</v>
      </c>
      <c r="E2297" t="s">
        <v>1</v>
      </c>
    </row>
    <row r="2298" spans="1:5" x14ac:dyDescent="0.3">
      <c r="A2298" t="s">
        <v>189</v>
      </c>
      <c r="B2298" t="s">
        <v>3202</v>
      </c>
      <c r="C2298" t="s">
        <v>862</v>
      </c>
      <c r="D2298" t="s">
        <v>919</v>
      </c>
      <c r="E2298" t="s">
        <v>1</v>
      </c>
    </row>
    <row r="2299" spans="1:5" x14ac:dyDescent="0.3">
      <c r="A2299" t="s">
        <v>740</v>
      </c>
      <c r="B2299" t="s">
        <v>6882</v>
      </c>
      <c r="C2299" t="s">
        <v>862</v>
      </c>
      <c r="D2299" t="s">
        <v>919</v>
      </c>
      <c r="E2299" t="s">
        <v>1</v>
      </c>
    </row>
    <row r="2300" spans="1:5" x14ac:dyDescent="0.3">
      <c r="A2300" t="s">
        <v>782</v>
      </c>
      <c r="B2300" t="s">
        <v>6883</v>
      </c>
      <c r="C2300" t="s">
        <v>6805</v>
      </c>
      <c r="D2300" t="s">
        <v>919</v>
      </c>
      <c r="E2300" t="s">
        <v>1</v>
      </c>
    </row>
    <row r="2301" spans="1:5" x14ac:dyDescent="0.3">
      <c r="A2301" t="s">
        <v>6884</v>
      </c>
      <c r="B2301" t="s">
        <v>6885</v>
      </c>
      <c r="C2301" t="s">
        <v>862</v>
      </c>
      <c r="D2301" t="s">
        <v>919</v>
      </c>
      <c r="E2301" t="s">
        <v>1</v>
      </c>
    </row>
    <row r="2302" spans="1:5" x14ac:dyDescent="0.3">
      <c r="A2302" t="s">
        <v>6887</v>
      </c>
      <c r="B2302" t="s">
        <v>6888</v>
      </c>
      <c r="C2302" t="s">
        <v>862</v>
      </c>
      <c r="D2302" t="s">
        <v>919</v>
      </c>
      <c r="E2302" t="s">
        <v>1</v>
      </c>
    </row>
    <row r="2303" spans="1:5" x14ac:dyDescent="0.3">
      <c r="A2303" t="s">
        <v>274</v>
      </c>
      <c r="B2303" t="s">
        <v>6613</v>
      </c>
      <c r="C2303" t="s">
        <v>6889</v>
      </c>
      <c r="D2303" t="s">
        <v>919</v>
      </c>
      <c r="E2303" t="s">
        <v>1</v>
      </c>
    </row>
    <row r="2304" spans="1:5" x14ac:dyDescent="0.3">
      <c r="A2304" t="s">
        <v>6890</v>
      </c>
      <c r="B2304" t="s">
        <v>6892</v>
      </c>
      <c r="C2304" t="s">
        <v>6891</v>
      </c>
      <c r="D2304" t="s">
        <v>919</v>
      </c>
      <c r="E2304" t="s">
        <v>1</v>
      </c>
    </row>
    <row r="2305" spans="1:5" x14ac:dyDescent="0.3">
      <c r="A2305" t="s">
        <v>1169</v>
      </c>
      <c r="B2305" t="s">
        <v>6259</v>
      </c>
      <c r="C2305" t="s">
        <v>6894</v>
      </c>
      <c r="D2305" t="s">
        <v>929</v>
      </c>
      <c r="E2305" t="s">
        <v>761</v>
      </c>
    </row>
    <row r="2306" spans="1:5" x14ac:dyDescent="0.3">
      <c r="A2306" t="s">
        <v>109</v>
      </c>
      <c r="B2306" t="s">
        <v>6895</v>
      </c>
      <c r="C2306" t="s">
        <v>862</v>
      </c>
      <c r="D2306" t="s">
        <v>883</v>
      </c>
      <c r="E2306" t="s">
        <v>1</v>
      </c>
    </row>
    <row r="2307" spans="1:5" x14ac:dyDescent="0.3">
      <c r="A2307" t="s">
        <v>14</v>
      </c>
      <c r="B2307" t="s">
        <v>4210</v>
      </c>
      <c r="C2307" t="s">
        <v>862</v>
      </c>
      <c r="D2307" t="s">
        <v>919</v>
      </c>
      <c r="E2307" t="s">
        <v>1</v>
      </c>
    </row>
    <row r="2308" spans="1:5" x14ac:dyDescent="0.3">
      <c r="A2308" t="s">
        <v>220</v>
      </c>
      <c r="B2308" t="s">
        <v>6896</v>
      </c>
      <c r="C2308" t="s">
        <v>862</v>
      </c>
      <c r="D2308" t="s">
        <v>919</v>
      </c>
      <c r="E2308" t="s">
        <v>1</v>
      </c>
    </row>
    <row r="2309" spans="1:5" x14ac:dyDescent="0.3">
      <c r="A2309" t="s">
        <v>1830</v>
      </c>
      <c r="B2309" t="s">
        <v>6449</v>
      </c>
      <c r="C2309" t="s">
        <v>862</v>
      </c>
      <c r="D2309" t="s">
        <v>919</v>
      </c>
      <c r="E2309" t="s">
        <v>1</v>
      </c>
    </row>
    <row r="2310" spans="1:5" x14ac:dyDescent="0.3">
      <c r="A2310" t="s">
        <v>132</v>
      </c>
      <c r="B2310" t="s">
        <v>6899</v>
      </c>
      <c r="C2310" t="s">
        <v>6898</v>
      </c>
      <c r="D2310" t="s">
        <v>6897</v>
      </c>
      <c r="E2310" t="s">
        <v>774</v>
      </c>
    </row>
    <row r="2311" spans="1:5" x14ac:dyDescent="0.3">
      <c r="A2311" t="s">
        <v>278</v>
      </c>
      <c r="B2311" t="s">
        <v>1444</v>
      </c>
      <c r="C2311" t="s">
        <v>862</v>
      </c>
      <c r="D2311" t="s">
        <v>919</v>
      </c>
      <c r="E2311" t="s">
        <v>1</v>
      </c>
    </row>
    <row r="2312" spans="1:5" x14ac:dyDescent="0.3">
      <c r="A2312" t="s">
        <v>752</v>
      </c>
      <c r="B2312" t="s">
        <v>6901</v>
      </c>
      <c r="C2312" t="s">
        <v>6900</v>
      </c>
      <c r="D2312" t="s">
        <v>771</v>
      </c>
      <c r="E2312" t="s">
        <v>743</v>
      </c>
    </row>
    <row r="2313" spans="1:5" x14ac:dyDescent="0.3">
      <c r="A2313" t="s">
        <v>157</v>
      </c>
      <c r="B2313" t="s">
        <v>5030</v>
      </c>
      <c r="C2313" t="s">
        <v>6902</v>
      </c>
      <c r="D2313" t="s">
        <v>1719</v>
      </c>
      <c r="E2313" t="s">
        <v>841</v>
      </c>
    </row>
    <row r="2314" spans="1:5" x14ac:dyDescent="0.3">
      <c r="A2314" t="s">
        <v>82</v>
      </c>
      <c r="B2314" t="s">
        <v>6905</v>
      </c>
      <c r="C2314" t="s">
        <v>6904</v>
      </c>
      <c r="D2314" t="s">
        <v>919</v>
      </c>
      <c r="E2314" t="s">
        <v>1</v>
      </c>
    </row>
    <row r="2315" spans="1:5" x14ac:dyDescent="0.3">
      <c r="A2315" t="s">
        <v>2407</v>
      </c>
      <c r="B2315" t="s">
        <v>146</v>
      </c>
      <c r="C2315" t="s">
        <v>6906</v>
      </c>
      <c r="D2315" t="s">
        <v>919</v>
      </c>
      <c r="E2315" t="s">
        <v>1</v>
      </c>
    </row>
    <row r="2316" spans="1:5" x14ac:dyDescent="0.3">
      <c r="A2316" t="s">
        <v>6907</v>
      </c>
      <c r="B2316" t="s">
        <v>1423</v>
      </c>
      <c r="C2316" t="s">
        <v>6858</v>
      </c>
      <c r="D2316" t="s">
        <v>919</v>
      </c>
      <c r="E2316" t="s">
        <v>1</v>
      </c>
    </row>
    <row r="2317" spans="1:5" x14ac:dyDescent="0.3">
      <c r="A2317" t="s">
        <v>1494</v>
      </c>
      <c r="B2317" t="s">
        <v>6908</v>
      </c>
      <c r="C2317" t="s">
        <v>862</v>
      </c>
      <c r="D2317" t="s">
        <v>919</v>
      </c>
      <c r="E2317" t="s">
        <v>1</v>
      </c>
    </row>
    <row r="2318" spans="1:5" x14ac:dyDescent="0.3">
      <c r="A2318" t="s">
        <v>5381</v>
      </c>
      <c r="B2318" t="s">
        <v>6910</v>
      </c>
      <c r="C2318" t="s">
        <v>6909</v>
      </c>
      <c r="D2318" t="s">
        <v>919</v>
      </c>
      <c r="E2318" t="s">
        <v>1</v>
      </c>
    </row>
    <row r="2319" spans="1:5" x14ac:dyDescent="0.3">
      <c r="A2319" t="s">
        <v>1433</v>
      </c>
      <c r="B2319" t="s">
        <v>36</v>
      </c>
      <c r="C2319" t="s">
        <v>6911</v>
      </c>
      <c r="D2319" t="s">
        <v>919</v>
      </c>
      <c r="E2319" t="s">
        <v>1</v>
      </c>
    </row>
    <row r="2320" spans="1:5" x14ac:dyDescent="0.3">
      <c r="A2320" t="s">
        <v>89</v>
      </c>
      <c r="B2320" t="s">
        <v>6912</v>
      </c>
      <c r="C2320" t="s">
        <v>862</v>
      </c>
      <c r="D2320" t="s">
        <v>919</v>
      </c>
      <c r="E2320" t="s">
        <v>1</v>
      </c>
    </row>
    <row r="2321" spans="1:5" x14ac:dyDescent="0.3">
      <c r="A2321" t="s">
        <v>2333</v>
      </c>
      <c r="B2321" t="s">
        <v>6150</v>
      </c>
      <c r="C2321" t="s">
        <v>862</v>
      </c>
      <c r="D2321" t="s">
        <v>1730</v>
      </c>
      <c r="E2321" t="s">
        <v>741</v>
      </c>
    </row>
    <row r="2322" spans="1:5" x14ac:dyDescent="0.3">
      <c r="A2322" t="s">
        <v>2713</v>
      </c>
      <c r="B2322" t="s">
        <v>834</v>
      </c>
      <c r="C2322" t="s">
        <v>1926</v>
      </c>
      <c r="D2322" t="s">
        <v>919</v>
      </c>
      <c r="E2322" t="s">
        <v>1</v>
      </c>
    </row>
    <row r="2323" spans="1:5" x14ac:dyDescent="0.3">
      <c r="A2323" t="s">
        <v>59</v>
      </c>
      <c r="B2323" t="s">
        <v>6913</v>
      </c>
      <c r="C2323" t="s">
        <v>862</v>
      </c>
      <c r="D2323" t="s">
        <v>919</v>
      </c>
      <c r="E2323" t="s">
        <v>1</v>
      </c>
    </row>
    <row r="2324" spans="1:5" x14ac:dyDescent="0.3">
      <c r="A2324" t="s">
        <v>6914</v>
      </c>
      <c r="B2324" t="s">
        <v>6916</v>
      </c>
      <c r="C2324" t="s">
        <v>6915</v>
      </c>
      <c r="D2324" t="s">
        <v>919</v>
      </c>
      <c r="E2324" t="s">
        <v>1</v>
      </c>
    </row>
    <row r="2325" spans="1:5" x14ac:dyDescent="0.3">
      <c r="A2325" t="s">
        <v>945</v>
      </c>
      <c r="B2325" t="s">
        <v>414</v>
      </c>
      <c r="C2325" t="s">
        <v>862</v>
      </c>
      <c r="D2325" t="s">
        <v>919</v>
      </c>
      <c r="E2325" t="s">
        <v>1</v>
      </c>
    </row>
    <row r="2326" spans="1:5" x14ac:dyDescent="0.3">
      <c r="A2326" t="s">
        <v>411</v>
      </c>
      <c r="B2326" t="s">
        <v>6917</v>
      </c>
      <c r="C2326" t="s">
        <v>862</v>
      </c>
      <c r="D2326" t="s">
        <v>919</v>
      </c>
      <c r="E2326" t="s">
        <v>1</v>
      </c>
    </row>
    <row r="2327" spans="1:5" x14ac:dyDescent="0.3">
      <c r="A2327" t="s">
        <v>3278</v>
      </c>
      <c r="B2327" t="s">
        <v>5087</v>
      </c>
      <c r="C2327" t="s">
        <v>862</v>
      </c>
      <c r="D2327" t="s">
        <v>919</v>
      </c>
      <c r="E2327" t="s">
        <v>1</v>
      </c>
    </row>
    <row r="2328" spans="1:5" x14ac:dyDescent="0.3">
      <c r="A2328" t="s">
        <v>1112</v>
      </c>
      <c r="B2328" t="s">
        <v>6918</v>
      </c>
      <c r="C2328" t="s">
        <v>862</v>
      </c>
      <c r="D2328" t="s">
        <v>919</v>
      </c>
      <c r="E2328" t="s">
        <v>1</v>
      </c>
    </row>
    <row r="2329" spans="1:5" x14ac:dyDescent="0.3">
      <c r="A2329" t="s">
        <v>3201</v>
      </c>
      <c r="B2329" t="s">
        <v>1449</v>
      </c>
      <c r="C2329" t="s">
        <v>6919</v>
      </c>
      <c r="D2329" t="s">
        <v>1303</v>
      </c>
      <c r="E2329" t="s">
        <v>761</v>
      </c>
    </row>
    <row r="2330" spans="1:5" x14ac:dyDescent="0.3">
      <c r="A2330" t="s">
        <v>6792</v>
      </c>
      <c r="B2330" t="s">
        <v>6921</v>
      </c>
      <c r="C2330" t="s">
        <v>6920</v>
      </c>
      <c r="D2330" t="s">
        <v>919</v>
      </c>
      <c r="E2330" t="s">
        <v>1</v>
      </c>
    </row>
    <row r="2331" spans="1:5" x14ac:dyDescent="0.3">
      <c r="A2331" t="s">
        <v>160</v>
      </c>
      <c r="B2331" t="s">
        <v>3866</v>
      </c>
      <c r="C2331" t="s">
        <v>862</v>
      </c>
      <c r="D2331" t="s">
        <v>919</v>
      </c>
      <c r="E2331" t="s">
        <v>1</v>
      </c>
    </row>
    <row r="2332" spans="1:5" x14ac:dyDescent="0.3">
      <c r="A2332" t="s">
        <v>6922</v>
      </c>
      <c r="B2332" t="s">
        <v>6923</v>
      </c>
      <c r="C2332" t="s">
        <v>518</v>
      </c>
      <c r="D2332" t="s">
        <v>919</v>
      </c>
      <c r="E2332" t="s">
        <v>1</v>
      </c>
    </row>
    <row r="2333" spans="1:5" x14ac:dyDescent="0.3">
      <c r="A2333" t="s">
        <v>112</v>
      </c>
      <c r="B2333" t="s">
        <v>6925</v>
      </c>
      <c r="C2333" t="s">
        <v>6924</v>
      </c>
      <c r="D2333" t="s">
        <v>919</v>
      </c>
      <c r="E2333" t="s">
        <v>1</v>
      </c>
    </row>
    <row r="2334" spans="1:5" x14ac:dyDescent="0.3">
      <c r="A2334" t="s">
        <v>6926</v>
      </c>
      <c r="B2334" t="s">
        <v>6928</v>
      </c>
      <c r="C2334" t="s">
        <v>6927</v>
      </c>
      <c r="D2334" t="s">
        <v>919</v>
      </c>
      <c r="E2334" t="s">
        <v>1</v>
      </c>
    </row>
    <row r="2335" spans="1:5" x14ac:dyDescent="0.3">
      <c r="A2335" t="s">
        <v>6930</v>
      </c>
      <c r="B2335" t="s">
        <v>2397</v>
      </c>
      <c r="C2335" t="s">
        <v>6931</v>
      </c>
      <c r="D2335" t="s">
        <v>919</v>
      </c>
      <c r="E2335" t="s">
        <v>1</v>
      </c>
    </row>
    <row r="2336" spans="1:5" x14ac:dyDescent="0.3">
      <c r="A2336" t="s">
        <v>109</v>
      </c>
      <c r="B2336" t="s">
        <v>834</v>
      </c>
      <c r="C2336" t="s">
        <v>862</v>
      </c>
      <c r="D2336" t="s">
        <v>919</v>
      </c>
      <c r="E2336" t="s">
        <v>1</v>
      </c>
    </row>
    <row r="2337" spans="1:5" x14ac:dyDescent="0.3">
      <c r="A2337" t="s">
        <v>14</v>
      </c>
      <c r="B2337" t="s">
        <v>6932</v>
      </c>
      <c r="C2337" t="s">
        <v>862</v>
      </c>
      <c r="D2337" t="s">
        <v>919</v>
      </c>
      <c r="E2337" t="s">
        <v>1</v>
      </c>
    </row>
    <row r="2338" spans="1:5" x14ac:dyDescent="0.3">
      <c r="A2338" t="s">
        <v>1133</v>
      </c>
      <c r="B2338" t="s">
        <v>1420</v>
      </c>
      <c r="C2338" t="s">
        <v>862</v>
      </c>
      <c r="D2338" t="s">
        <v>1367</v>
      </c>
      <c r="E2338" t="s">
        <v>774</v>
      </c>
    </row>
    <row r="2339" spans="1:5" x14ac:dyDescent="0.3">
      <c r="A2339" t="s">
        <v>6933</v>
      </c>
      <c r="B2339" t="s">
        <v>1160</v>
      </c>
      <c r="C2339" t="s">
        <v>862</v>
      </c>
      <c r="D2339" t="s">
        <v>919</v>
      </c>
      <c r="E2339" t="s">
        <v>1</v>
      </c>
    </row>
    <row r="2340" spans="1:5" x14ac:dyDescent="0.3">
      <c r="A2340" t="s">
        <v>170</v>
      </c>
      <c r="B2340" t="s">
        <v>6050</v>
      </c>
      <c r="C2340" t="s">
        <v>862</v>
      </c>
      <c r="D2340" t="s">
        <v>919</v>
      </c>
      <c r="E2340" t="s">
        <v>1</v>
      </c>
    </row>
    <row r="2341" spans="1:5" x14ac:dyDescent="0.3">
      <c r="A2341" t="s">
        <v>131</v>
      </c>
      <c r="B2341" t="s">
        <v>6936</v>
      </c>
      <c r="C2341" t="s">
        <v>461</v>
      </c>
      <c r="D2341" t="s">
        <v>6935</v>
      </c>
      <c r="E2341" t="s">
        <v>75</v>
      </c>
    </row>
    <row r="2342" spans="1:5" x14ac:dyDescent="0.3">
      <c r="A2342" t="s">
        <v>6937</v>
      </c>
      <c r="B2342" t="s">
        <v>6938</v>
      </c>
      <c r="C2342" t="s">
        <v>2571</v>
      </c>
      <c r="D2342" t="s">
        <v>1183</v>
      </c>
      <c r="E2342" t="s">
        <v>1</v>
      </c>
    </row>
    <row r="2343" spans="1:5" x14ac:dyDescent="0.3">
      <c r="A2343" t="s">
        <v>68</v>
      </c>
      <c r="B2343" t="s">
        <v>6942</v>
      </c>
      <c r="C2343" t="s">
        <v>6941</v>
      </c>
      <c r="D2343" t="s">
        <v>6940</v>
      </c>
      <c r="E2343" t="s">
        <v>774</v>
      </c>
    </row>
    <row r="2344" spans="1:5" x14ac:dyDescent="0.3">
      <c r="A2344" t="s">
        <v>116</v>
      </c>
      <c r="B2344" t="s">
        <v>1232</v>
      </c>
      <c r="C2344" t="s">
        <v>6943</v>
      </c>
      <c r="D2344" t="s">
        <v>1183</v>
      </c>
      <c r="E2344" t="s">
        <v>1</v>
      </c>
    </row>
    <row r="2345" spans="1:5" x14ac:dyDescent="0.3">
      <c r="A2345" t="s">
        <v>2057</v>
      </c>
      <c r="B2345" t="s">
        <v>1441</v>
      </c>
      <c r="C2345" t="s">
        <v>467</v>
      </c>
      <c r="D2345" t="s">
        <v>6944</v>
      </c>
      <c r="E2345" t="s">
        <v>75</v>
      </c>
    </row>
    <row r="2346" spans="1:5" x14ac:dyDescent="0.3">
      <c r="A2346" t="s">
        <v>6945</v>
      </c>
      <c r="B2346" t="s">
        <v>354</v>
      </c>
      <c r="C2346" t="s">
        <v>862</v>
      </c>
      <c r="D2346" t="s">
        <v>1183</v>
      </c>
      <c r="E2346" t="s">
        <v>1</v>
      </c>
    </row>
    <row r="2347" spans="1:5" x14ac:dyDescent="0.3">
      <c r="A2347" t="s">
        <v>27</v>
      </c>
      <c r="B2347" t="s">
        <v>6947</v>
      </c>
      <c r="C2347" t="s">
        <v>6946</v>
      </c>
      <c r="D2347" t="s">
        <v>1919</v>
      </c>
      <c r="E2347" t="s">
        <v>781</v>
      </c>
    </row>
    <row r="2348" spans="1:5" x14ac:dyDescent="0.3">
      <c r="A2348" t="s">
        <v>6949</v>
      </c>
      <c r="B2348" t="s">
        <v>6950</v>
      </c>
      <c r="C2348" t="s">
        <v>720</v>
      </c>
      <c r="D2348" t="s">
        <v>6948</v>
      </c>
      <c r="E2348" t="s">
        <v>2175</v>
      </c>
    </row>
    <row r="2349" spans="1:5" x14ac:dyDescent="0.3">
      <c r="A2349" t="s">
        <v>181</v>
      </c>
      <c r="B2349" t="s">
        <v>5248</v>
      </c>
      <c r="C2349" t="s">
        <v>467</v>
      </c>
      <c r="D2349" t="s">
        <v>6952</v>
      </c>
      <c r="E2349" t="s">
        <v>75</v>
      </c>
    </row>
    <row r="2350" spans="1:5" x14ac:dyDescent="0.3">
      <c r="A2350" t="s">
        <v>4808</v>
      </c>
      <c r="B2350" t="s">
        <v>3035</v>
      </c>
      <c r="C2350" t="s">
        <v>461</v>
      </c>
      <c r="D2350" t="s">
        <v>6956</v>
      </c>
      <c r="E2350" t="s">
        <v>75</v>
      </c>
    </row>
    <row r="2351" spans="1:5" x14ac:dyDescent="0.3">
      <c r="A2351" t="s">
        <v>38</v>
      </c>
      <c r="B2351" t="s">
        <v>6957</v>
      </c>
      <c r="C2351" t="s">
        <v>518</v>
      </c>
      <c r="D2351" t="s">
        <v>1509</v>
      </c>
      <c r="E2351" t="s">
        <v>781</v>
      </c>
    </row>
    <row r="2352" spans="1:5" x14ac:dyDescent="0.3">
      <c r="A2352" t="s">
        <v>1333</v>
      </c>
      <c r="B2352" t="s">
        <v>989</v>
      </c>
      <c r="C2352" t="s">
        <v>467</v>
      </c>
      <c r="D2352" t="s">
        <v>6958</v>
      </c>
      <c r="E2352" t="s">
        <v>75</v>
      </c>
    </row>
    <row r="2353" spans="1:5" x14ac:dyDescent="0.3">
      <c r="A2353" t="s">
        <v>6959</v>
      </c>
      <c r="B2353" t="s">
        <v>4585</v>
      </c>
      <c r="C2353" t="s">
        <v>6327</v>
      </c>
      <c r="D2353" t="s">
        <v>751</v>
      </c>
      <c r="E2353" t="s">
        <v>1</v>
      </c>
    </row>
    <row r="2354" spans="1:5" x14ac:dyDescent="0.3">
      <c r="A2354" t="s">
        <v>4590</v>
      </c>
      <c r="B2354" t="s">
        <v>1029</v>
      </c>
      <c r="C2354" t="s">
        <v>862</v>
      </c>
      <c r="D2354" t="s">
        <v>751</v>
      </c>
      <c r="E2354" t="s">
        <v>1</v>
      </c>
    </row>
    <row r="2355" spans="1:5" x14ac:dyDescent="0.3">
      <c r="A2355" t="s">
        <v>307</v>
      </c>
      <c r="B2355" t="s">
        <v>1029</v>
      </c>
      <c r="C2355" t="s">
        <v>6960</v>
      </c>
      <c r="D2355" t="s">
        <v>751</v>
      </c>
      <c r="E2355" t="s">
        <v>1</v>
      </c>
    </row>
    <row r="2356" spans="1:5" x14ac:dyDescent="0.3">
      <c r="A2356" t="s">
        <v>160</v>
      </c>
      <c r="B2356" t="s">
        <v>6961</v>
      </c>
      <c r="C2356" t="s">
        <v>862</v>
      </c>
      <c r="D2356" t="s">
        <v>751</v>
      </c>
      <c r="E2356" t="s">
        <v>1</v>
      </c>
    </row>
    <row r="2357" spans="1:5" x14ac:dyDescent="0.3">
      <c r="A2357" t="s">
        <v>4571</v>
      </c>
      <c r="B2357" t="s">
        <v>1506</v>
      </c>
      <c r="C2357" t="s">
        <v>862</v>
      </c>
      <c r="D2357" t="s">
        <v>751</v>
      </c>
      <c r="E2357" t="s">
        <v>1</v>
      </c>
    </row>
    <row r="2358" spans="1:5" x14ac:dyDescent="0.3">
      <c r="A2358" t="s">
        <v>6962</v>
      </c>
      <c r="B2358" t="s">
        <v>6963</v>
      </c>
      <c r="C2358" t="s">
        <v>2571</v>
      </c>
      <c r="D2358" t="s">
        <v>751</v>
      </c>
      <c r="E2358" t="s">
        <v>1</v>
      </c>
    </row>
    <row r="2359" spans="1:5" x14ac:dyDescent="0.3">
      <c r="A2359" t="s">
        <v>116</v>
      </c>
      <c r="B2359" t="s">
        <v>6965</v>
      </c>
      <c r="C2359" t="s">
        <v>6964</v>
      </c>
      <c r="D2359" t="s">
        <v>751</v>
      </c>
      <c r="E2359" t="s">
        <v>1</v>
      </c>
    </row>
    <row r="2360" spans="1:5" x14ac:dyDescent="0.3">
      <c r="A2360" t="s">
        <v>6966</v>
      </c>
      <c r="B2360" t="s">
        <v>1753</v>
      </c>
      <c r="C2360" t="s">
        <v>6967</v>
      </c>
      <c r="D2360" t="s">
        <v>751</v>
      </c>
      <c r="E2360" t="s">
        <v>1</v>
      </c>
    </row>
    <row r="2361" spans="1:5" x14ac:dyDescent="0.3">
      <c r="A2361" t="s">
        <v>1157</v>
      </c>
      <c r="B2361" t="s">
        <v>171</v>
      </c>
      <c r="C2361" t="s">
        <v>6969</v>
      </c>
      <c r="D2361" t="s">
        <v>919</v>
      </c>
      <c r="E2361" t="s">
        <v>1</v>
      </c>
    </row>
    <row r="2362" spans="1:5" x14ac:dyDescent="0.3">
      <c r="A2362" t="s">
        <v>5634</v>
      </c>
      <c r="B2362" t="s">
        <v>6652</v>
      </c>
      <c r="C2362" t="s">
        <v>862</v>
      </c>
      <c r="D2362" t="s">
        <v>751</v>
      </c>
      <c r="E2362" t="s">
        <v>1</v>
      </c>
    </row>
    <row r="2363" spans="1:5" x14ac:dyDescent="0.3">
      <c r="A2363" t="s">
        <v>3946</v>
      </c>
      <c r="B2363" t="s">
        <v>6970</v>
      </c>
      <c r="C2363" t="s">
        <v>862</v>
      </c>
      <c r="D2363" t="s">
        <v>4748</v>
      </c>
      <c r="E2363" t="s">
        <v>75</v>
      </c>
    </row>
    <row r="2364" spans="1:5" x14ac:dyDescent="0.3">
      <c r="A2364" t="s">
        <v>6972</v>
      </c>
      <c r="B2364" t="s">
        <v>5256</v>
      </c>
      <c r="C2364" t="s">
        <v>5694</v>
      </c>
      <c r="D2364" t="s">
        <v>751</v>
      </c>
      <c r="E2364" t="s">
        <v>1</v>
      </c>
    </row>
    <row r="2365" spans="1:5" x14ac:dyDescent="0.3">
      <c r="A2365" t="s">
        <v>2121</v>
      </c>
      <c r="B2365" t="s">
        <v>6974</v>
      </c>
      <c r="C2365" t="s">
        <v>6973</v>
      </c>
      <c r="D2365" t="s">
        <v>751</v>
      </c>
      <c r="E2365" t="s">
        <v>1</v>
      </c>
    </row>
    <row r="2366" spans="1:5" x14ac:dyDescent="0.3">
      <c r="A2366" t="s">
        <v>6975</v>
      </c>
      <c r="B2366" t="s">
        <v>6976</v>
      </c>
      <c r="C2366" t="s">
        <v>862</v>
      </c>
      <c r="D2366" t="s">
        <v>751</v>
      </c>
      <c r="E2366" t="s">
        <v>1</v>
      </c>
    </row>
    <row r="2367" spans="1:5" x14ac:dyDescent="0.3">
      <c r="A2367" t="s">
        <v>1357</v>
      </c>
      <c r="B2367" t="s">
        <v>3719</v>
      </c>
      <c r="C2367" t="s">
        <v>862</v>
      </c>
      <c r="D2367" t="s">
        <v>751</v>
      </c>
      <c r="E2367" t="s">
        <v>1</v>
      </c>
    </row>
    <row r="2368" spans="1:5" x14ac:dyDescent="0.3">
      <c r="A2368" t="s">
        <v>38</v>
      </c>
      <c r="B2368" t="s">
        <v>6977</v>
      </c>
      <c r="C2368" t="s">
        <v>862</v>
      </c>
      <c r="D2368" t="s">
        <v>751</v>
      </c>
      <c r="E2368" t="s">
        <v>1</v>
      </c>
    </row>
    <row r="2369" spans="1:5" x14ac:dyDescent="0.3">
      <c r="A2369" t="s">
        <v>6978</v>
      </c>
      <c r="B2369" t="s">
        <v>6979</v>
      </c>
      <c r="C2369" t="s">
        <v>862</v>
      </c>
      <c r="D2369" t="s">
        <v>751</v>
      </c>
      <c r="E2369" t="s">
        <v>1</v>
      </c>
    </row>
    <row r="2370" spans="1:5" x14ac:dyDescent="0.3">
      <c r="A2370" t="s">
        <v>177</v>
      </c>
      <c r="B2370" t="s">
        <v>6981</v>
      </c>
      <c r="C2370" t="s">
        <v>6980</v>
      </c>
      <c r="D2370" t="s">
        <v>865</v>
      </c>
      <c r="E2370" t="s">
        <v>75</v>
      </c>
    </row>
    <row r="2371" spans="1:5" x14ac:dyDescent="0.3">
      <c r="A2371" t="s">
        <v>77</v>
      </c>
      <c r="B2371" t="s">
        <v>6982</v>
      </c>
      <c r="C2371" t="s">
        <v>862</v>
      </c>
      <c r="D2371" t="s">
        <v>751</v>
      </c>
      <c r="E2371" t="s">
        <v>1</v>
      </c>
    </row>
    <row r="2372" spans="1:5" x14ac:dyDescent="0.3">
      <c r="A2372" t="s">
        <v>6062</v>
      </c>
      <c r="B2372" t="s">
        <v>6983</v>
      </c>
      <c r="C2372" t="s">
        <v>467</v>
      </c>
      <c r="D2372" t="s">
        <v>865</v>
      </c>
      <c r="E2372" t="s">
        <v>75</v>
      </c>
    </row>
    <row r="2373" spans="1:5" x14ac:dyDescent="0.3">
      <c r="A2373" t="s">
        <v>3184</v>
      </c>
      <c r="B2373" t="s">
        <v>1833</v>
      </c>
      <c r="C2373" t="s">
        <v>6984</v>
      </c>
      <c r="D2373" t="s">
        <v>751</v>
      </c>
      <c r="E2373" t="s">
        <v>1</v>
      </c>
    </row>
    <row r="2374" spans="1:5" x14ac:dyDescent="0.3">
      <c r="A2374" t="s">
        <v>4606</v>
      </c>
      <c r="B2374" t="s">
        <v>4607</v>
      </c>
      <c r="C2374" t="s">
        <v>862</v>
      </c>
      <c r="D2374" t="s">
        <v>751</v>
      </c>
      <c r="E2374" t="s">
        <v>1</v>
      </c>
    </row>
    <row r="2375" spans="1:5" x14ac:dyDescent="0.3">
      <c r="A2375" t="s">
        <v>4443</v>
      </c>
      <c r="B2375" t="s">
        <v>1464</v>
      </c>
      <c r="C2375" t="s">
        <v>862</v>
      </c>
      <c r="D2375" t="s">
        <v>906</v>
      </c>
      <c r="E2375" t="s">
        <v>1</v>
      </c>
    </row>
    <row r="2376" spans="1:5" x14ac:dyDescent="0.3">
      <c r="A2376" t="s">
        <v>41</v>
      </c>
      <c r="B2376" t="s">
        <v>6986</v>
      </c>
      <c r="C2376" t="s">
        <v>862</v>
      </c>
      <c r="D2376" t="s">
        <v>751</v>
      </c>
      <c r="E2376" t="s">
        <v>1</v>
      </c>
    </row>
    <row r="2377" spans="1:5" x14ac:dyDescent="0.3">
      <c r="A2377" t="s">
        <v>6334</v>
      </c>
      <c r="B2377" t="s">
        <v>3408</v>
      </c>
      <c r="C2377" t="s">
        <v>862</v>
      </c>
      <c r="D2377" t="s">
        <v>751</v>
      </c>
      <c r="E2377" t="s">
        <v>1</v>
      </c>
    </row>
    <row r="2378" spans="1:5" x14ac:dyDescent="0.3">
      <c r="A2378" t="s">
        <v>6988</v>
      </c>
      <c r="B2378" t="s">
        <v>6989</v>
      </c>
      <c r="C2378" t="s">
        <v>467</v>
      </c>
      <c r="D2378" t="s">
        <v>6987</v>
      </c>
      <c r="E2378" t="s">
        <v>75</v>
      </c>
    </row>
    <row r="2379" spans="1:5" x14ac:dyDescent="0.3">
      <c r="A2379" t="s">
        <v>132</v>
      </c>
      <c r="B2379" t="s">
        <v>3648</v>
      </c>
      <c r="C2379" t="s">
        <v>862</v>
      </c>
      <c r="D2379" t="s">
        <v>751</v>
      </c>
      <c r="E2379" t="s">
        <v>1</v>
      </c>
    </row>
    <row r="2380" spans="1:5" x14ac:dyDescent="0.3">
      <c r="A2380" t="s">
        <v>5253</v>
      </c>
      <c r="B2380" t="s">
        <v>2679</v>
      </c>
      <c r="C2380" t="s">
        <v>862</v>
      </c>
      <c r="D2380" t="s">
        <v>751</v>
      </c>
      <c r="E2380" t="s">
        <v>1</v>
      </c>
    </row>
    <row r="2381" spans="1:5" x14ac:dyDescent="0.3">
      <c r="A2381" t="s">
        <v>50</v>
      </c>
      <c r="B2381" t="s">
        <v>6990</v>
      </c>
      <c r="C2381" t="s">
        <v>862</v>
      </c>
      <c r="D2381" t="s">
        <v>751</v>
      </c>
      <c r="E2381" t="s">
        <v>1</v>
      </c>
    </row>
    <row r="2382" spans="1:5" x14ac:dyDescent="0.3">
      <c r="A2382" t="s">
        <v>206</v>
      </c>
      <c r="B2382" t="s">
        <v>3994</v>
      </c>
      <c r="C2382" t="s">
        <v>862</v>
      </c>
      <c r="D2382" t="s">
        <v>751</v>
      </c>
      <c r="E2382" t="s">
        <v>1</v>
      </c>
    </row>
    <row r="2383" spans="1:5" x14ac:dyDescent="0.3">
      <c r="A2383" t="s">
        <v>3402</v>
      </c>
      <c r="B2383" t="s">
        <v>6991</v>
      </c>
      <c r="C2383" t="s">
        <v>862</v>
      </c>
      <c r="D2383" t="s">
        <v>751</v>
      </c>
      <c r="E2383" t="s">
        <v>1</v>
      </c>
    </row>
    <row r="2384" spans="1:5" x14ac:dyDescent="0.3">
      <c r="A2384" t="s">
        <v>298</v>
      </c>
      <c r="B2384" t="s">
        <v>6993</v>
      </c>
      <c r="C2384" t="s">
        <v>6992</v>
      </c>
      <c r="D2384" t="s">
        <v>751</v>
      </c>
      <c r="E2384" t="s">
        <v>1</v>
      </c>
    </row>
    <row r="2385" spans="1:5" x14ac:dyDescent="0.3">
      <c r="A2385" t="s">
        <v>6994</v>
      </c>
      <c r="B2385" t="s">
        <v>6995</v>
      </c>
      <c r="C2385" t="s">
        <v>862</v>
      </c>
      <c r="D2385" t="s">
        <v>751</v>
      </c>
      <c r="E2385" t="s">
        <v>1</v>
      </c>
    </row>
    <row r="2386" spans="1:5" x14ac:dyDescent="0.3">
      <c r="A2386" t="s">
        <v>133</v>
      </c>
      <c r="B2386" t="s">
        <v>6997</v>
      </c>
      <c r="C2386" t="s">
        <v>6996</v>
      </c>
      <c r="D2386" t="s">
        <v>751</v>
      </c>
      <c r="E2386" t="s">
        <v>1</v>
      </c>
    </row>
    <row r="2387" spans="1:5" x14ac:dyDescent="0.3">
      <c r="A2387" t="s">
        <v>3005</v>
      </c>
      <c r="B2387" t="s">
        <v>1456</v>
      </c>
      <c r="C2387" t="s">
        <v>457</v>
      </c>
      <c r="D2387" t="s">
        <v>6998</v>
      </c>
      <c r="E2387" t="s">
        <v>75</v>
      </c>
    </row>
    <row r="2388" spans="1:5" x14ac:dyDescent="0.3">
      <c r="A2388" t="s">
        <v>1267</v>
      </c>
      <c r="B2388" t="s">
        <v>7002</v>
      </c>
      <c r="C2388" t="s">
        <v>7001</v>
      </c>
      <c r="D2388" t="s">
        <v>751</v>
      </c>
      <c r="E2388" t="s">
        <v>1</v>
      </c>
    </row>
    <row r="2389" spans="1:5" x14ac:dyDescent="0.3">
      <c r="A2389" t="s">
        <v>2908</v>
      </c>
      <c r="B2389" t="s">
        <v>5350</v>
      </c>
      <c r="C2389" t="s">
        <v>7003</v>
      </c>
      <c r="D2389" t="s">
        <v>751</v>
      </c>
      <c r="E2389" t="s">
        <v>1</v>
      </c>
    </row>
    <row r="2390" spans="1:5" x14ac:dyDescent="0.3">
      <c r="A2390" t="s">
        <v>7004</v>
      </c>
      <c r="B2390" t="s">
        <v>5363</v>
      </c>
      <c r="C2390" t="s">
        <v>467</v>
      </c>
      <c r="D2390" t="s">
        <v>2906</v>
      </c>
      <c r="E2390" t="s">
        <v>75</v>
      </c>
    </row>
    <row r="2391" spans="1:5" x14ac:dyDescent="0.3">
      <c r="A2391" t="s">
        <v>2487</v>
      </c>
      <c r="B2391" t="s">
        <v>7006</v>
      </c>
      <c r="C2391" t="s">
        <v>7005</v>
      </c>
      <c r="D2391" t="s">
        <v>751</v>
      </c>
      <c r="E2391" t="s">
        <v>1</v>
      </c>
    </row>
    <row r="2392" spans="1:5" x14ac:dyDescent="0.3">
      <c r="A2392" t="s">
        <v>1650</v>
      </c>
      <c r="B2392" t="s">
        <v>2284</v>
      </c>
      <c r="C2392" t="s">
        <v>862</v>
      </c>
      <c r="D2392" t="s">
        <v>751</v>
      </c>
      <c r="E2392" t="s">
        <v>1</v>
      </c>
    </row>
    <row r="2393" spans="1:5" x14ac:dyDescent="0.3">
      <c r="A2393" t="s">
        <v>7008</v>
      </c>
      <c r="B2393" t="s">
        <v>7009</v>
      </c>
      <c r="C2393" t="s">
        <v>862</v>
      </c>
      <c r="D2393" t="s">
        <v>975</v>
      </c>
      <c r="E2393" t="s">
        <v>741</v>
      </c>
    </row>
    <row r="2394" spans="1:5" x14ac:dyDescent="0.3">
      <c r="A2394" t="s">
        <v>132</v>
      </c>
      <c r="B2394" t="s">
        <v>107</v>
      </c>
      <c r="C2394" t="s">
        <v>467</v>
      </c>
      <c r="D2394" t="s">
        <v>7010</v>
      </c>
      <c r="E2394" t="s">
        <v>75</v>
      </c>
    </row>
    <row r="2395" spans="1:5" x14ac:dyDescent="0.3">
      <c r="A2395" t="s">
        <v>195</v>
      </c>
      <c r="B2395" t="s">
        <v>7012</v>
      </c>
      <c r="C2395" t="s">
        <v>455</v>
      </c>
      <c r="D2395" t="s">
        <v>2171</v>
      </c>
      <c r="E2395" t="s">
        <v>741</v>
      </c>
    </row>
    <row r="2396" spans="1:5" x14ac:dyDescent="0.3">
      <c r="A2396" t="s">
        <v>1330</v>
      </c>
      <c r="B2396" t="s">
        <v>285</v>
      </c>
      <c r="C2396" t="s">
        <v>7014</v>
      </c>
      <c r="D2396" t="s">
        <v>5057</v>
      </c>
      <c r="E2396" t="s">
        <v>741</v>
      </c>
    </row>
    <row r="2397" spans="1:5" x14ac:dyDescent="0.3">
      <c r="A2397" t="s">
        <v>116</v>
      </c>
      <c r="B2397" t="s">
        <v>96</v>
      </c>
      <c r="C2397" t="s">
        <v>7015</v>
      </c>
      <c r="D2397" t="s">
        <v>981</v>
      </c>
      <c r="E2397" t="s">
        <v>761</v>
      </c>
    </row>
    <row r="2398" spans="1:5" x14ac:dyDescent="0.3">
      <c r="A2398" t="s">
        <v>786</v>
      </c>
      <c r="B2398" t="s">
        <v>7017</v>
      </c>
      <c r="C2398" t="s">
        <v>7016</v>
      </c>
      <c r="D2398" t="s">
        <v>6934</v>
      </c>
      <c r="E2398" t="s">
        <v>774</v>
      </c>
    </row>
    <row r="2399" spans="1:5" x14ac:dyDescent="0.3">
      <c r="A2399" t="s">
        <v>2579</v>
      </c>
      <c r="B2399" t="s">
        <v>13050</v>
      </c>
      <c r="C2399" t="s">
        <v>461</v>
      </c>
      <c r="D2399" t="s">
        <v>7018</v>
      </c>
      <c r="E2399" t="s">
        <v>75</v>
      </c>
    </row>
    <row r="2400" spans="1:5" x14ac:dyDescent="0.3">
      <c r="A2400" t="s">
        <v>38</v>
      </c>
      <c r="B2400" t="s">
        <v>7020</v>
      </c>
      <c r="C2400" t="s">
        <v>467</v>
      </c>
      <c r="D2400" t="s">
        <v>7019</v>
      </c>
      <c r="E2400" t="s">
        <v>75</v>
      </c>
    </row>
    <row r="2401" spans="1:5" x14ac:dyDescent="0.3">
      <c r="A2401" t="s">
        <v>5603</v>
      </c>
      <c r="B2401" t="s">
        <v>348</v>
      </c>
      <c r="C2401" t="s">
        <v>7024</v>
      </c>
      <c r="D2401" t="s">
        <v>7023</v>
      </c>
      <c r="E2401" t="s">
        <v>75</v>
      </c>
    </row>
    <row r="2402" spans="1:5" x14ac:dyDescent="0.3">
      <c r="A2402" t="s">
        <v>107</v>
      </c>
      <c r="B2402" t="s">
        <v>7028</v>
      </c>
      <c r="C2402" t="s">
        <v>7027</v>
      </c>
      <c r="D2402" t="s">
        <v>883</v>
      </c>
      <c r="E2402" t="s">
        <v>1</v>
      </c>
    </row>
    <row r="2403" spans="1:5" x14ac:dyDescent="0.3">
      <c r="A2403" t="s">
        <v>2407</v>
      </c>
      <c r="B2403" t="s">
        <v>152</v>
      </c>
      <c r="C2403" t="s">
        <v>461</v>
      </c>
      <c r="D2403" t="s">
        <v>7029</v>
      </c>
      <c r="E2403" t="s">
        <v>75</v>
      </c>
    </row>
    <row r="2404" spans="1:5" x14ac:dyDescent="0.3">
      <c r="A2404" t="s">
        <v>931</v>
      </c>
      <c r="B2404" t="s">
        <v>2849</v>
      </c>
      <c r="C2404" t="s">
        <v>467</v>
      </c>
      <c r="D2404" t="s">
        <v>7030</v>
      </c>
      <c r="E2404" t="s">
        <v>75</v>
      </c>
    </row>
    <row r="2405" spans="1:5" x14ac:dyDescent="0.3">
      <c r="A2405" t="s">
        <v>3907</v>
      </c>
      <c r="B2405" t="s">
        <v>1736</v>
      </c>
      <c r="C2405" t="s">
        <v>862</v>
      </c>
      <c r="D2405" t="s">
        <v>883</v>
      </c>
      <c r="E2405" t="s">
        <v>1</v>
      </c>
    </row>
    <row r="2406" spans="1:5" x14ac:dyDescent="0.3">
      <c r="A2406" t="s">
        <v>7031</v>
      </c>
      <c r="B2406" t="s">
        <v>221</v>
      </c>
      <c r="C2406" t="s">
        <v>862</v>
      </c>
      <c r="D2406" t="s">
        <v>2278</v>
      </c>
      <c r="E2406" t="s">
        <v>741</v>
      </c>
    </row>
    <row r="2407" spans="1:5" x14ac:dyDescent="0.3">
      <c r="A2407" t="s">
        <v>2407</v>
      </c>
      <c r="B2407" t="s">
        <v>1772</v>
      </c>
      <c r="C2407" t="s">
        <v>467</v>
      </c>
      <c r="D2407" t="s">
        <v>7032</v>
      </c>
      <c r="E2407" t="s">
        <v>75</v>
      </c>
    </row>
    <row r="2408" spans="1:5" x14ac:dyDescent="0.3">
      <c r="A2408" t="s">
        <v>3666</v>
      </c>
      <c r="B2408" t="s">
        <v>7035</v>
      </c>
      <c r="C2408" t="s">
        <v>7034</v>
      </c>
      <c r="D2408" t="s">
        <v>7033</v>
      </c>
      <c r="E2408" t="s">
        <v>774</v>
      </c>
    </row>
    <row r="2409" spans="1:5" x14ac:dyDescent="0.3">
      <c r="A2409" t="s">
        <v>3682</v>
      </c>
      <c r="B2409" t="s">
        <v>7036</v>
      </c>
      <c r="C2409" t="s">
        <v>518</v>
      </c>
      <c r="D2409" t="s">
        <v>883</v>
      </c>
      <c r="E2409" t="s">
        <v>1</v>
      </c>
    </row>
    <row r="2410" spans="1:5" x14ac:dyDescent="0.3">
      <c r="A2410" t="s">
        <v>860</v>
      </c>
      <c r="B2410" t="s">
        <v>3729</v>
      </c>
      <c r="C2410" t="s">
        <v>7038</v>
      </c>
      <c r="D2410" t="s">
        <v>1104</v>
      </c>
      <c r="E2410" t="s">
        <v>781</v>
      </c>
    </row>
    <row r="2411" spans="1:5" x14ac:dyDescent="0.3">
      <c r="A2411" t="s">
        <v>3934</v>
      </c>
      <c r="B2411" t="s">
        <v>7041</v>
      </c>
      <c r="C2411" t="s">
        <v>7040</v>
      </c>
      <c r="D2411" t="s">
        <v>7039</v>
      </c>
      <c r="E2411" t="s">
        <v>774</v>
      </c>
    </row>
    <row r="2412" spans="1:5" x14ac:dyDescent="0.3">
      <c r="A2412" t="s">
        <v>918</v>
      </c>
      <c r="B2412" t="s">
        <v>2901</v>
      </c>
      <c r="C2412" t="s">
        <v>7042</v>
      </c>
      <c r="D2412" t="s">
        <v>1940</v>
      </c>
      <c r="E2412" t="s">
        <v>743</v>
      </c>
    </row>
    <row r="2413" spans="1:5" x14ac:dyDescent="0.3">
      <c r="A2413" t="s">
        <v>2407</v>
      </c>
      <c r="B2413" t="s">
        <v>1772</v>
      </c>
      <c r="C2413" t="s">
        <v>467</v>
      </c>
      <c r="D2413" t="s">
        <v>7032</v>
      </c>
      <c r="E2413" t="s">
        <v>75</v>
      </c>
    </row>
    <row r="2414" spans="1:5" x14ac:dyDescent="0.3">
      <c r="A2414" t="s">
        <v>772</v>
      </c>
      <c r="B2414" t="s">
        <v>425</v>
      </c>
      <c r="C2414" t="s">
        <v>628</v>
      </c>
      <c r="D2414" t="s">
        <v>6729</v>
      </c>
      <c r="E2414" t="s">
        <v>2175</v>
      </c>
    </row>
    <row r="2415" spans="1:5" x14ac:dyDescent="0.3">
      <c r="A2415" t="s">
        <v>224</v>
      </c>
      <c r="B2415" t="s">
        <v>7046</v>
      </c>
      <c r="C2415" t="s">
        <v>7045</v>
      </c>
      <c r="D2415" t="s">
        <v>1682</v>
      </c>
      <c r="E2415" t="s">
        <v>841</v>
      </c>
    </row>
    <row r="2416" spans="1:5" x14ac:dyDescent="0.3">
      <c r="A2416" t="s">
        <v>41</v>
      </c>
      <c r="B2416" t="s">
        <v>7047</v>
      </c>
      <c r="C2416" t="s">
        <v>461</v>
      </c>
      <c r="D2416" t="s">
        <v>1178</v>
      </c>
      <c r="E2416" t="s">
        <v>774</v>
      </c>
    </row>
    <row r="2417" spans="1:5" x14ac:dyDescent="0.3">
      <c r="A2417" t="s">
        <v>44</v>
      </c>
      <c r="B2417" t="s">
        <v>7050</v>
      </c>
      <c r="C2417" t="s">
        <v>7049</v>
      </c>
      <c r="D2417" t="s">
        <v>2577</v>
      </c>
      <c r="E2417" t="s">
        <v>741</v>
      </c>
    </row>
    <row r="2418" spans="1:5" x14ac:dyDescent="0.3">
      <c r="A2418" t="s">
        <v>1431</v>
      </c>
      <c r="B2418" t="s">
        <v>5201</v>
      </c>
      <c r="C2418" t="s">
        <v>7053</v>
      </c>
      <c r="D2418" t="s">
        <v>7052</v>
      </c>
      <c r="E2418" t="s">
        <v>758</v>
      </c>
    </row>
    <row r="2419" spans="1:5" x14ac:dyDescent="0.3">
      <c r="A2419" t="s">
        <v>119</v>
      </c>
      <c r="B2419" t="s">
        <v>3734</v>
      </c>
      <c r="C2419" t="s">
        <v>460</v>
      </c>
      <c r="D2419" t="s">
        <v>7051</v>
      </c>
      <c r="E2419" t="s">
        <v>75</v>
      </c>
    </row>
    <row r="2420" spans="1:5" x14ac:dyDescent="0.3">
      <c r="A2420" t="s">
        <v>3580</v>
      </c>
      <c r="B2420" t="s">
        <v>5207</v>
      </c>
      <c r="C2420" t="s">
        <v>461</v>
      </c>
    </row>
    <row r="2421" spans="1:5" x14ac:dyDescent="0.3">
      <c r="A2421" t="s">
        <v>298</v>
      </c>
      <c r="B2421" t="s">
        <v>5354</v>
      </c>
      <c r="C2421" t="s">
        <v>7055</v>
      </c>
      <c r="D2421" t="s">
        <v>7054</v>
      </c>
      <c r="E2421" t="s">
        <v>774</v>
      </c>
    </row>
    <row r="2422" spans="1:5" x14ac:dyDescent="0.3">
      <c r="A2422" t="s">
        <v>7057</v>
      </c>
      <c r="B2422" t="s">
        <v>7058</v>
      </c>
      <c r="C2422" t="s">
        <v>518</v>
      </c>
      <c r="D2422" t="s">
        <v>818</v>
      </c>
      <c r="E2422" t="s">
        <v>774</v>
      </c>
    </row>
    <row r="2423" spans="1:5" x14ac:dyDescent="0.3">
      <c r="A2423" t="s">
        <v>82</v>
      </c>
      <c r="B2423" t="s">
        <v>93</v>
      </c>
      <c r="C2423" t="s">
        <v>451</v>
      </c>
      <c r="D2423" t="s">
        <v>7056</v>
      </c>
      <c r="E2423" t="s">
        <v>75</v>
      </c>
    </row>
    <row r="2424" spans="1:5" x14ac:dyDescent="0.3">
      <c r="A2424" t="s">
        <v>2364</v>
      </c>
      <c r="B2424" t="s">
        <v>7060</v>
      </c>
      <c r="C2424" t="s">
        <v>862</v>
      </c>
      <c r="D2424" t="s">
        <v>7059</v>
      </c>
      <c r="E2424" t="s">
        <v>75</v>
      </c>
    </row>
    <row r="2425" spans="1:5" x14ac:dyDescent="0.3">
      <c r="A2425" t="s">
        <v>181</v>
      </c>
      <c r="B2425" t="s">
        <v>4628</v>
      </c>
      <c r="C2425" t="s">
        <v>467</v>
      </c>
      <c r="D2425" t="s">
        <v>7061</v>
      </c>
      <c r="E2425" t="s">
        <v>75</v>
      </c>
    </row>
    <row r="2426" spans="1:5" x14ac:dyDescent="0.3">
      <c r="A2426" t="s">
        <v>4245</v>
      </c>
      <c r="B2426" t="s">
        <v>7062</v>
      </c>
      <c r="C2426" t="s">
        <v>459</v>
      </c>
      <c r="D2426" t="s">
        <v>7061</v>
      </c>
      <c r="E2426" t="s">
        <v>75</v>
      </c>
    </row>
    <row r="2427" spans="1:5" x14ac:dyDescent="0.3">
      <c r="A2427" t="s">
        <v>2512</v>
      </c>
      <c r="B2427" t="s">
        <v>7065</v>
      </c>
      <c r="C2427" t="s">
        <v>7064</v>
      </c>
      <c r="D2427" t="s">
        <v>7063</v>
      </c>
      <c r="E2427" t="s">
        <v>781</v>
      </c>
    </row>
    <row r="2428" spans="1:5" x14ac:dyDescent="0.3">
      <c r="A2428" t="s">
        <v>2998</v>
      </c>
      <c r="B2428" t="s">
        <v>2167</v>
      </c>
      <c r="C2428" t="s">
        <v>461</v>
      </c>
      <c r="D2428" t="s">
        <v>3221</v>
      </c>
      <c r="E2428" t="s">
        <v>774</v>
      </c>
    </row>
    <row r="2429" spans="1:5" x14ac:dyDescent="0.3">
      <c r="A2429" t="s">
        <v>68</v>
      </c>
      <c r="B2429" t="s">
        <v>7068</v>
      </c>
      <c r="C2429" t="s">
        <v>7067</v>
      </c>
      <c r="D2429" t="s">
        <v>7066</v>
      </c>
      <c r="E2429" t="s">
        <v>2175</v>
      </c>
    </row>
    <row r="2430" spans="1:5" x14ac:dyDescent="0.3">
      <c r="A2430" t="s">
        <v>342</v>
      </c>
      <c r="B2430" t="s">
        <v>7070</v>
      </c>
      <c r="C2430" t="s">
        <v>455</v>
      </c>
      <c r="D2430" t="s">
        <v>7069</v>
      </c>
      <c r="E2430" t="s">
        <v>75</v>
      </c>
    </row>
    <row r="2431" spans="1:5" x14ac:dyDescent="0.3">
      <c r="A2431" t="s">
        <v>4306</v>
      </c>
      <c r="B2431" t="s">
        <v>1419</v>
      </c>
      <c r="C2431" t="s">
        <v>862</v>
      </c>
    </row>
    <row r="2432" spans="1:5" x14ac:dyDescent="0.3">
      <c r="A2432" t="s">
        <v>6937</v>
      </c>
      <c r="B2432" t="s">
        <v>408</v>
      </c>
      <c r="C2432" t="s">
        <v>7072</v>
      </c>
    </row>
    <row r="2433" spans="1:5" x14ac:dyDescent="0.3">
      <c r="A2433" t="s">
        <v>251</v>
      </c>
      <c r="B2433" t="s">
        <v>7074</v>
      </c>
      <c r="C2433" t="s">
        <v>7073</v>
      </c>
    </row>
    <row r="2434" spans="1:5" x14ac:dyDescent="0.3">
      <c r="A2434" t="s">
        <v>66</v>
      </c>
      <c r="B2434" t="s">
        <v>6559</v>
      </c>
      <c r="C2434" t="s">
        <v>7076</v>
      </c>
      <c r="D2434" t="s">
        <v>7075</v>
      </c>
      <c r="E2434" t="s">
        <v>774</v>
      </c>
    </row>
    <row r="2435" spans="1:5" x14ac:dyDescent="0.3">
      <c r="A2435" t="s">
        <v>153</v>
      </c>
      <c r="B2435" t="s">
        <v>7077</v>
      </c>
      <c r="C2435" t="s">
        <v>461</v>
      </c>
      <c r="D2435" t="s">
        <v>13051</v>
      </c>
      <c r="E2435" t="s">
        <v>75</v>
      </c>
    </row>
    <row r="2436" spans="1:5" x14ac:dyDescent="0.3">
      <c r="A2436" t="s">
        <v>20</v>
      </c>
      <c r="B2436" t="s">
        <v>1021</v>
      </c>
      <c r="C2436" t="s">
        <v>6609</v>
      </c>
      <c r="D2436" t="s">
        <v>6169</v>
      </c>
      <c r="E2436" t="s">
        <v>897</v>
      </c>
    </row>
    <row r="2437" spans="1:5" x14ac:dyDescent="0.3">
      <c r="A2437" t="s">
        <v>7080</v>
      </c>
      <c r="B2437" t="s">
        <v>4918</v>
      </c>
      <c r="C2437" t="s">
        <v>3109</v>
      </c>
      <c r="D2437" t="s">
        <v>7079</v>
      </c>
      <c r="E2437" t="s">
        <v>758</v>
      </c>
    </row>
    <row r="2438" spans="1:5" x14ac:dyDescent="0.3">
      <c r="A2438" t="s">
        <v>286</v>
      </c>
      <c r="B2438" t="s">
        <v>822</v>
      </c>
      <c r="C2438" t="s">
        <v>467</v>
      </c>
      <c r="D2438" t="s">
        <v>7081</v>
      </c>
      <c r="E2438" t="s">
        <v>75</v>
      </c>
    </row>
    <row r="2439" spans="1:5" x14ac:dyDescent="0.3">
      <c r="A2439" t="s">
        <v>161</v>
      </c>
      <c r="B2439" t="s">
        <v>896</v>
      </c>
      <c r="C2439" t="s">
        <v>461</v>
      </c>
      <c r="D2439" t="s">
        <v>7082</v>
      </c>
      <c r="E2439" t="s">
        <v>1316</v>
      </c>
    </row>
    <row r="2440" spans="1:5" x14ac:dyDescent="0.3">
      <c r="A2440" t="s">
        <v>7084</v>
      </c>
      <c r="B2440" t="s">
        <v>3930</v>
      </c>
      <c r="C2440" t="s">
        <v>7085</v>
      </c>
      <c r="D2440" t="s">
        <v>7083</v>
      </c>
      <c r="E2440" t="s">
        <v>761</v>
      </c>
    </row>
    <row r="2441" spans="1:5" x14ac:dyDescent="0.3">
      <c r="A2441" t="s">
        <v>1283</v>
      </c>
      <c r="B2441" t="s">
        <v>3516</v>
      </c>
      <c r="C2441" t="s">
        <v>7087</v>
      </c>
      <c r="D2441" t="s">
        <v>908</v>
      </c>
      <c r="E2441" t="s">
        <v>1</v>
      </c>
    </row>
    <row r="2442" spans="1:5" x14ac:dyDescent="0.3">
      <c r="A2442" t="s">
        <v>195</v>
      </c>
      <c r="B2442" t="s">
        <v>7092</v>
      </c>
      <c r="C2442" t="s">
        <v>460</v>
      </c>
      <c r="D2442" t="s">
        <v>7091</v>
      </c>
      <c r="E2442" t="s">
        <v>75</v>
      </c>
    </row>
    <row r="2443" spans="1:5" x14ac:dyDescent="0.3">
      <c r="A2443" t="s">
        <v>7094</v>
      </c>
      <c r="B2443" t="s">
        <v>7096</v>
      </c>
      <c r="C2443" t="s">
        <v>7095</v>
      </c>
      <c r="D2443" t="s">
        <v>2264</v>
      </c>
      <c r="E2443" t="s">
        <v>897</v>
      </c>
    </row>
    <row r="2444" spans="1:5" x14ac:dyDescent="0.3">
      <c r="A2444" t="s">
        <v>7098</v>
      </c>
      <c r="B2444" t="s">
        <v>4321</v>
      </c>
      <c r="C2444" t="s">
        <v>7099</v>
      </c>
      <c r="D2444" t="s">
        <v>7097</v>
      </c>
      <c r="E2444" t="s">
        <v>774</v>
      </c>
    </row>
    <row r="2445" spans="1:5" x14ac:dyDescent="0.3">
      <c r="A2445" t="s">
        <v>5371</v>
      </c>
      <c r="B2445" t="s">
        <v>6063</v>
      </c>
      <c r="C2445" t="s">
        <v>467</v>
      </c>
      <c r="D2445" t="s">
        <v>7100</v>
      </c>
      <c r="E2445" t="s">
        <v>75</v>
      </c>
    </row>
    <row r="2446" spans="1:5" x14ac:dyDescent="0.3">
      <c r="A2446" t="s">
        <v>2373</v>
      </c>
      <c r="B2446" t="s">
        <v>7102</v>
      </c>
      <c r="C2446" t="s">
        <v>7101</v>
      </c>
      <c r="D2446" t="s">
        <v>5061</v>
      </c>
      <c r="E2446" t="s">
        <v>741</v>
      </c>
    </row>
    <row r="2447" spans="1:5" x14ac:dyDescent="0.3">
      <c r="A2447" t="s">
        <v>1135</v>
      </c>
      <c r="B2447" t="s">
        <v>3765</v>
      </c>
      <c r="C2447" t="s">
        <v>455</v>
      </c>
      <c r="D2447" t="s">
        <v>2829</v>
      </c>
      <c r="E2447" t="s">
        <v>774</v>
      </c>
    </row>
    <row r="2448" spans="1:5" x14ac:dyDescent="0.3">
      <c r="A2448" t="s">
        <v>102</v>
      </c>
      <c r="B2448" t="s">
        <v>7106</v>
      </c>
      <c r="C2448" t="s">
        <v>7105</v>
      </c>
      <c r="D2448" t="s">
        <v>7104</v>
      </c>
      <c r="E2448" t="s">
        <v>75</v>
      </c>
    </row>
    <row r="2449" spans="1:5" x14ac:dyDescent="0.3">
      <c r="A2449" t="s">
        <v>190</v>
      </c>
      <c r="B2449" t="s">
        <v>2079</v>
      </c>
      <c r="C2449" t="s">
        <v>7108</v>
      </c>
      <c r="D2449" t="s">
        <v>975</v>
      </c>
      <c r="E2449" t="s">
        <v>741</v>
      </c>
    </row>
    <row r="2450" spans="1:5" x14ac:dyDescent="0.3">
      <c r="A2450" t="s">
        <v>2176</v>
      </c>
      <c r="B2450" t="s">
        <v>7111</v>
      </c>
      <c r="C2450" t="s">
        <v>7110</v>
      </c>
      <c r="D2450" t="s">
        <v>7109</v>
      </c>
      <c r="E2450" t="s">
        <v>774</v>
      </c>
    </row>
    <row r="2451" spans="1:5" x14ac:dyDescent="0.3">
      <c r="A2451" t="s">
        <v>2053</v>
      </c>
      <c r="B2451" t="s">
        <v>7115</v>
      </c>
      <c r="C2451" t="s">
        <v>461</v>
      </c>
      <c r="D2451" t="s">
        <v>7114</v>
      </c>
      <c r="E2451" t="s">
        <v>758</v>
      </c>
    </row>
    <row r="2452" spans="1:5" x14ac:dyDescent="0.3">
      <c r="A2452" t="s">
        <v>3835</v>
      </c>
      <c r="B2452" t="s">
        <v>7117</v>
      </c>
      <c r="C2452" t="s">
        <v>461</v>
      </c>
      <c r="D2452" t="s">
        <v>7116</v>
      </c>
      <c r="E2452" t="s">
        <v>75</v>
      </c>
    </row>
    <row r="2453" spans="1:5" x14ac:dyDescent="0.3">
      <c r="A2453" t="s">
        <v>1548</v>
      </c>
      <c r="B2453" t="s">
        <v>4069</v>
      </c>
      <c r="C2453" t="s">
        <v>7119</v>
      </c>
      <c r="D2453" t="s">
        <v>2444</v>
      </c>
      <c r="E2453" t="s">
        <v>741</v>
      </c>
    </row>
    <row r="2454" spans="1:5" x14ac:dyDescent="0.3">
      <c r="A2454" t="s">
        <v>66</v>
      </c>
      <c r="B2454" t="s">
        <v>7120</v>
      </c>
      <c r="C2454" t="s">
        <v>862</v>
      </c>
      <c r="D2454" t="s">
        <v>5192</v>
      </c>
      <c r="E2454" t="s">
        <v>741</v>
      </c>
    </row>
    <row r="2455" spans="1:5" x14ac:dyDescent="0.3">
      <c r="A2455" t="s">
        <v>160</v>
      </c>
      <c r="B2455" t="s">
        <v>5908</v>
      </c>
      <c r="C2455" t="s">
        <v>7127</v>
      </c>
      <c r="D2455" t="s">
        <v>951</v>
      </c>
      <c r="E2455" t="s">
        <v>1</v>
      </c>
    </row>
    <row r="2456" spans="1:5" x14ac:dyDescent="0.3">
      <c r="A2456" t="s">
        <v>184</v>
      </c>
      <c r="B2456" t="s">
        <v>7130</v>
      </c>
      <c r="C2456" t="s">
        <v>7129</v>
      </c>
      <c r="D2456" t="s">
        <v>7128</v>
      </c>
      <c r="E2456" t="s">
        <v>75</v>
      </c>
    </row>
    <row r="2457" spans="1:5" x14ac:dyDescent="0.3">
      <c r="A2457" t="s">
        <v>864</v>
      </c>
      <c r="B2457" t="s">
        <v>7131</v>
      </c>
      <c r="C2457" t="s">
        <v>460</v>
      </c>
      <c r="D2457" t="s">
        <v>7128</v>
      </c>
      <c r="E2457" t="s">
        <v>75</v>
      </c>
    </row>
    <row r="2458" spans="1:5" x14ac:dyDescent="0.3">
      <c r="A2458" t="s">
        <v>7132</v>
      </c>
      <c r="B2458" t="s">
        <v>124</v>
      </c>
      <c r="C2458" t="s">
        <v>698</v>
      </c>
      <c r="D2458" t="s">
        <v>6445</v>
      </c>
      <c r="E2458" t="s">
        <v>774</v>
      </c>
    </row>
    <row r="2459" spans="1:5" x14ac:dyDescent="0.3">
      <c r="A2459" t="s">
        <v>1153</v>
      </c>
      <c r="B2459" t="s">
        <v>1241</v>
      </c>
      <c r="C2459" t="s">
        <v>7135</v>
      </c>
      <c r="D2459" t="s">
        <v>2308</v>
      </c>
      <c r="E2459" t="s">
        <v>741</v>
      </c>
    </row>
    <row r="2460" spans="1:5" x14ac:dyDescent="0.3">
      <c r="A2460" t="s">
        <v>13052</v>
      </c>
      <c r="B2460" t="s">
        <v>7137</v>
      </c>
      <c r="C2460" t="s">
        <v>467</v>
      </c>
      <c r="D2460" t="s">
        <v>7136</v>
      </c>
      <c r="E2460" t="s">
        <v>75</v>
      </c>
    </row>
    <row r="2461" spans="1:5" x14ac:dyDescent="0.3">
      <c r="A2461" t="s">
        <v>13053</v>
      </c>
      <c r="B2461" t="s">
        <v>4535</v>
      </c>
      <c r="C2461" t="s">
        <v>461</v>
      </c>
      <c r="D2461" t="s">
        <v>7136</v>
      </c>
      <c r="E2461" t="s">
        <v>75</v>
      </c>
    </row>
    <row r="2462" spans="1:5" x14ac:dyDescent="0.3">
      <c r="A2462" t="s">
        <v>195</v>
      </c>
      <c r="B2462" t="s">
        <v>3733</v>
      </c>
      <c r="C2462" t="s">
        <v>456</v>
      </c>
      <c r="D2462" t="s">
        <v>2171</v>
      </c>
      <c r="E2462" t="s">
        <v>741</v>
      </c>
    </row>
    <row r="2463" spans="1:5" x14ac:dyDescent="0.3">
      <c r="A2463" t="s">
        <v>1030</v>
      </c>
      <c r="B2463" t="s">
        <v>1029</v>
      </c>
      <c r="C2463" t="s">
        <v>7138</v>
      </c>
      <c r="D2463" t="s">
        <v>968</v>
      </c>
      <c r="E2463" t="s">
        <v>781</v>
      </c>
    </row>
    <row r="2464" spans="1:5" x14ac:dyDescent="0.3">
      <c r="A2464" t="s">
        <v>38</v>
      </c>
      <c r="B2464" t="s">
        <v>1582</v>
      </c>
      <c r="C2464" t="s">
        <v>518</v>
      </c>
      <c r="D2464" t="s">
        <v>2848</v>
      </c>
      <c r="E2464" t="s">
        <v>781</v>
      </c>
    </row>
    <row r="2465" spans="1:5" x14ac:dyDescent="0.3">
      <c r="A2465" t="s">
        <v>1393</v>
      </c>
      <c r="B2465" t="s">
        <v>1284</v>
      </c>
      <c r="C2465" t="s">
        <v>7139</v>
      </c>
      <c r="D2465" t="s">
        <v>947</v>
      </c>
      <c r="E2465" t="s">
        <v>897</v>
      </c>
    </row>
    <row r="2466" spans="1:5" x14ac:dyDescent="0.3">
      <c r="A2466" t="s">
        <v>22</v>
      </c>
      <c r="B2466" t="s">
        <v>7141</v>
      </c>
      <c r="C2466" t="s">
        <v>7140</v>
      </c>
      <c r="D2466" t="s">
        <v>5872</v>
      </c>
      <c r="E2466" t="s">
        <v>18</v>
      </c>
    </row>
    <row r="2467" spans="1:5" x14ac:dyDescent="0.3">
      <c r="A2467" t="s">
        <v>6030</v>
      </c>
      <c r="B2467" t="s">
        <v>7143</v>
      </c>
      <c r="C2467" t="s">
        <v>7142</v>
      </c>
      <c r="D2467" t="s">
        <v>968</v>
      </c>
      <c r="E2467" t="s">
        <v>781</v>
      </c>
    </row>
    <row r="2468" spans="1:5" x14ac:dyDescent="0.3">
      <c r="A2468" t="s">
        <v>7144</v>
      </c>
      <c r="B2468" t="s">
        <v>1198</v>
      </c>
      <c r="C2468" t="s">
        <v>7145</v>
      </c>
      <c r="D2468" t="s">
        <v>968</v>
      </c>
      <c r="E2468" t="s">
        <v>781</v>
      </c>
    </row>
    <row r="2469" spans="1:5" x14ac:dyDescent="0.3">
      <c r="A2469" t="s">
        <v>131</v>
      </c>
      <c r="B2469" t="s">
        <v>4419</v>
      </c>
      <c r="C2469" t="s">
        <v>628</v>
      </c>
      <c r="D2469" t="s">
        <v>6183</v>
      </c>
      <c r="E2469" t="s">
        <v>774</v>
      </c>
    </row>
    <row r="2470" spans="1:5" x14ac:dyDescent="0.3">
      <c r="A2470" t="s">
        <v>7146</v>
      </c>
      <c r="B2470" t="s">
        <v>7147</v>
      </c>
      <c r="C2470" t="s">
        <v>461</v>
      </c>
      <c r="D2470" t="s">
        <v>6577</v>
      </c>
      <c r="E2470" t="s">
        <v>75</v>
      </c>
    </row>
    <row r="2471" spans="1:5" x14ac:dyDescent="0.3">
      <c r="A2471" t="s">
        <v>50</v>
      </c>
      <c r="B2471" t="s">
        <v>5516</v>
      </c>
      <c r="C2471" t="s">
        <v>467</v>
      </c>
      <c r="D2471" t="s">
        <v>7148</v>
      </c>
      <c r="E2471" t="s">
        <v>75</v>
      </c>
    </row>
    <row r="2472" spans="1:5" x14ac:dyDescent="0.3">
      <c r="A2472" t="s">
        <v>7150</v>
      </c>
      <c r="B2472" t="s">
        <v>7151</v>
      </c>
      <c r="C2472" t="s">
        <v>467</v>
      </c>
      <c r="D2472" t="s">
        <v>7149</v>
      </c>
      <c r="E2472" t="s">
        <v>75</v>
      </c>
    </row>
    <row r="2473" spans="1:5" x14ac:dyDescent="0.3">
      <c r="A2473" t="s">
        <v>7153</v>
      </c>
      <c r="B2473" t="s">
        <v>1029</v>
      </c>
      <c r="C2473" t="s">
        <v>460</v>
      </c>
      <c r="D2473" t="s">
        <v>7149</v>
      </c>
      <c r="E2473" t="s">
        <v>75</v>
      </c>
    </row>
    <row r="2474" spans="1:5" x14ac:dyDescent="0.3">
      <c r="A2474" t="s">
        <v>370</v>
      </c>
      <c r="B2474" t="s">
        <v>7155</v>
      </c>
      <c r="C2474" t="s">
        <v>467</v>
      </c>
      <c r="D2474" t="s">
        <v>7154</v>
      </c>
      <c r="E2474" t="s">
        <v>75</v>
      </c>
    </row>
    <row r="2475" spans="1:5" x14ac:dyDescent="0.3">
      <c r="A2475" t="s">
        <v>7156</v>
      </c>
      <c r="B2475" t="s">
        <v>7158</v>
      </c>
      <c r="C2475" t="s">
        <v>7157</v>
      </c>
      <c r="D2475" t="s">
        <v>7154</v>
      </c>
      <c r="E2475" t="s">
        <v>75</v>
      </c>
    </row>
    <row r="2476" spans="1:5" x14ac:dyDescent="0.3">
      <c r="A2476" t="s">
        <v>1931</v>
      </c>
      <c r="B2476" t="s">
        <v>7160</v>
      </c>
      <c r="C2476" t="s">
        <v>7159</v>
      </c>
      <c r="D2476" t="s">
        <v>7154</v>
      </c>
      <c r="E2476" t="s">
        <v>75</v>
      </c>
    </row>
    <row r="2477" spans="1:5" x14ac:dyDescent="0.3">
      <c r="A2477" t="s">
        <v>7164</v>
      </c>
      <c r="B2477" t="s">
        <v>7165</v>
      </c>
      <c r="C2477" t="s">
        <v>467</v>
      </c>
      <c r="D2477" t="s">
        <v>7163</v>
      </c>
      <c r="E2477" t="s">
        <v>75</v>
      </c>
    </row>
    <row r="2478" spans="1:5" x14ac:dyDescent="0.3">
      <c r="A2478" t="s">
        <v>275</v>
      </c>
      <c r="B2478" t="s">
        <v>3473</v>
      </c>
      <c r="C2478" t="s">
        <v>7166</v>
      </c>
    </row>
    <row r="2479" spans="1:5" x14ac:dyDescent="0.3">
      <c r="A2479" t="s">
        <v>772</v>
      </c>
      <c r="B2479" t="s">
        <v>7168</v>
      </c>
      <c r="C2479" t="s">
        <v>7167</v>
      </c>
    </row>
    <row r="2480" spans="1:5" x14ac:dyDescent="0.3">
      <c r="A2480" t="s">
        <v>4291</v>
      </c>
      <c r="B2480" t="s">
        <v>4689</v>
      </c>
      <c r="C2480" t="s">
        <v>4742</v>
      </c>
      <c r="D2480" t="s">
        <v>5095</v>
      </c>
      <c r="E2480" t="s">
        <v>758</v>
      </c>
    </row>
    <row r="2481" spans="1:5" x14ac:dyDescent="0.3">
      <c r="A2481" t="s">
        <v>116</v>
      </c>
      <c r="B2481" t="s">
        <v>108</v>
      </c>
      <c r="C2481" t="s">
        <v>718</v>
      </c>
      <c r="D2481" t="s">
        <v>7169</v>
      </c>
      <c r="E2481" t="s">
        <v>774</v>
      </c>
    </row>
    <row r="2482" spans="1:5" x14ac:dyDescent="0.3">
      <c r="A2482" t="s">
        <v>112</v>
      </c>
      <c r="B2482" t="s">
        <v>3702</v>
      </c>
      <c r="C2482" t="s">
        <v>7171</v>
      </c>
      <c r="D2482" t="s">
        <v>7170</v>
      </c>
      <c r="E2482" t="s">
        <v>774</v>
      </c>
    </row>
    <row r="2483" spans="1:5" x14ac:dyDescent="0.3">
      <c r="A2483" t="s">
        <v>179</v>
      </c>
      <c r="B2483" t="s">
        <v>7173</v>
      </c>
      <c r="C2483" t="s">
        <v>467</v>
      </c>
      <c r="D2483" t="s">
        <v>7172</v>
      </c>
      <c r="E2483" t="s">
        <v>75</v>
      </c>
    </row>
    <row r="2484" spans="1:5" x14ac:dyDescent="0.3">
      <c r="A2484" t="s">
        <v>7176</v>
      </c>
      <c r="B2484" t="s">
        <v>7177</v>
      </c>
      <c r="C2484" t="s">
        <v>459</v>
      </c>
      <c r="D2484" t="s">
        <v>7175</v>
      </c>
      <c r="E2484" t="s">
        <v>75</v>
      </c>
    </row>
    <row r="2485" spans="1:5" x14ac:dyDescent="0.3">
      <c r="A2485" t="s">
        <v>22</v>
      </c>
      <c r="B2485" t="s">
        <v>4442</v>
      </c>
      <c r="C2485" t="s">
        <v>460</v>
      </c>
      <c r="D2485" t="s">
        <v>7178</v>
      </c>
      <c r="E2485" t="s">
        <v>75</v>
      </c>
    </row>
    <row r="2486" spans="1:5" x14ac:dyDescent="0.3">
      <c r="A2486" t="s">
        <v>195</v>
      </c>
      <c r="B2486" t="s">
        <v>3444</v>
      </c>
      <c r="C2486" t="s">
        <v>467</v>
      </c>
      <c r="D2486" t="s">
        <v>7179</v>
      </c>
      <c r="E2486" t="s">
        <v>75</v>
      </c>
    </row>
    <row r="2487" spans="1:5" x14ac:dyDescent="0.3">
      <c r="A2487" t="s">
        <v>195</v>
      </c>
      <c r="B2487" t="s">
        <v>3444</v>
      </c>
      <c r="C2487" t="s">
        <v>467</v>
      </c>
      <c r="D2487" t="s">
        <v>7179</v>
      </c>
      <c r="E2487" t="s">
        <v>75</v>
      </c>
    </row>
    <row r="2488" spans="1:5" x14ac:dyDescent="0.3">
      <c r="A2488" t="s">
        <v>855</v>
      </c>
      <c r="B2488" t="s">
        <v>3102</v>
      </c>
      <c r="C2488" t="s">
        <v>6118</v>
      </c>
      <c r="D2488" t="s">
        <v>7183</v>
      </c>
      <c r="E2488" t="s">
        <v>75</v>
      </c>
    </row>
    <row r="2489" spans="1:5" x14ac:dyDescent="0.3">
      <c r="A2489" t="s">
        <v>41</v>
      </c>
      <c r="B2489" t="s">
        <v>5712</v>
      </c>
      <c r="C2489" t="s">
        <v>5191</v>
      </c>
      <c r="D2489" t="s">
        <v>7184</v>
      </c>
      <c r="E2489" t="s">
        <v>75</v>
      </c>
    </row>
    <row r="2490" spans="1:5" x14ac:dyDescent="0.3">
      <c r="A2490" t="s">
        <v>5172</v>
      </c>
      <c r="B2490" t="s">
        <v>1041</v>
      </c>
      <c r="C2490" t="s">
        <v>461</v>
      </c>
      <c r="D2490" t="s">
        <v>7185</v>
      </c>
      <c r="E2490" t="s">
        <v>75</v>
      </c>
    </row>
    <row r="2491" spans="1:5" x14ac:dyDescent="0.3">
      <c r="A2491" t="s">
        <v>259</v>
      </c>
      <c r="B2491" t="s">
        <v>7187</v>
      </c>
      <c r="C2491" t="s">
        <v>467</v>
      </c>
      <c r="D2491" t="s">
        <v>7186</v>
      </c>
      <c r="E2491" t="s">
        <v>75</v>
      </c>
    </row>
    <row r="2492" spans="1:5" x14ac:dyDescent="0.3">
      <c r="A2492" t="s">
        <v>224</v>
      </c>
      <c r="B2492" t="s">
        <v>779</v>
      </c>
      <c r="C2492" t="s">
        <v>461</v>
      </c>
      <c r="D2492" t="s">
        <v>7188</v>
      </c>
      <c r="E2492" t="s">
        <v>75</v>
      </c>
    </row>
    <row r="2493" spans="1:5" x14ac:dyDescent="0.3">
      <c r="A2493" t="s">
        <v>2740</v>
      </c>
      <c r="B2493" t="s">
        <v>7189</v>
      </c>
      <c r="C2493" t="s">
        <v>467</v>
      </c>
      <c r="D2493" t="s">
        <v>7188</v>
      </c>
      <c r="E2493" t="s">
        <v>75</v>
      </c>
    </row>
    <row r="2494" spans="1:5" x14ac:dyDescent="0.3">
      <c r="A2494" t="s">
        <v>1414</v>
      </c>
      <c r="B2494" t="s">
        <v>7191</v>
      </c>
      <c r="C2494" t="s">
        <v>458</v>
      </c>
      <c r="D2494" t="s">
        <v>7190</v>
      </c>
      <c r="E2494" t="s">
        <v>75</v>
      </c>
    </row>
    <row r="2495" spans="1:5" x14ac:dyDescent="0.3">
      <c r="A2495" t="s">
        <v>3586</v>
      </c>
      <c r="B2495" t="s">
        <v>3040</v>
      </c>
      <c r="C2495" t="s">
        <v>455</v>
      </c>
      <c r="D2495" t="s">
        <v>7190</v>
      </c>
      <c r="E2495" t="s">
        <v>75</v>
      </c>
    </row>
    <row r="2496" spans="1:5" x14ac:dyDescent="0.3">
      <c r="A2496" t="s">
        <v>875</v>
      </c>
      <c r="B2496" t="s">
        <v>3630</v>
      </c>
      <c r="C2496" t="s">
        <v>467</v>
      </c>
      <c r="D2496" t="s">
        <v>7192</v>
      </c>
      <c r="E2496" t="s">
        <v>75</v>
      </c>
    </row>
    <row r="2497" spans="1:5" x14ac:dyDescent="0.3">
      <c r="A2497" t="s">
        <v>4327</v>
      </c>
      <c r="B2497" t="s">
        <v>5498</v>
      </c>
      <c r="C2497" t="s">
        <v>467</v>
      </c>
      <c r="D2497" t="s">
        <v>7193</v>
      </c>
      <c r="E2497" t="s">
        <v>75</v>
      </c>
    </row>
    <row r="2498" spans="1:5" x14ac:dyDescent="0.3">
      <c r="A2498" t="s">
        <v>7195</v>
      </c>
      <c r="B2498" t="s">
        <v>7196</v>
      </c>
      <c r="C2498" t="s">
        <v>467</v>
      </c>
      <c r="D2498" t="s">
        <v>7194</v>
      </c>
      <c r="E2498" t="s">
        <v>75</v>
      </c>
    </row>
    <row r="2499" spans="1:5" x14ac:dyDescent="0.3">
      <c r="A2499" t="s">
        <v>3463</v>
      </c>
      <c r="B2499" t="s">
        <v>1002</v>
      </c>
      <c r="C2499" t="s">
        <v>467</v>
      </c>
      <c r="D2499" t="s">
        <v>7197</v>
      </c>
      <c r="E2499" t="s">
        <v>75</v>
      </c>
    </row>
    <row r="2500" spans="1:5" x14ac:dyDescent="0.3">
      <c r="A2500" t="s">
        <v>116</v>
      </c>
      <c r="B2500" t="s">
        <v>7199</v>
      </c>
      <c r="C2500" t="s">
        <v>457</v>
      </c>
      <c r="D2500" t="s">
        <v>7198</v>
      </c>
      <c r="E2500" t="s">
        <v>75</v>
      </c>
    </row>
    <row r="2501" spans="1:5" x14ac:dyDescent="0.3">
      <c r="A2501" t="s">
        <v>941</v>
      </c>
      <c r="B2501" t="s">
        <v>7201</v>
      </c>
      <c r="C2501" t="s">
        <v>467</v>
      </c>
      <c r="D2501" t="s">
        <v>7200</v>
      </c>
      <c r="E2501" t="s">
        <v>75</v>
      </c>
    </row>
    <row r="2502" spans="1:5" x14ac:dyDescent="0.3">
      <c r="A2502" t="s">
        <v>132</v>
      </c>
      <c r="B2502" t="s">
        <v>7203</v>
      </c>
      <c r="C2502" t="s">
        <v>467</v>
      </c>
      <c r="D2502" t="s">
        <v>7202</v>
      </c>
      <c r="E2502" t="s">
        <v>75</v>
      </c>
    </row>
    <row r="2503" spans="1:5" x14ac:dyDescent="0.3">
      <c r="A2503" t="s">
        <v>1227</v>
      </c>
      <c r="B2503" t="s">
        <v>7205</v>
      </c>
      <c r="C2503" t="s">
        <v>460</v>
      </c>
      <c r="D2503" t="s">
        <v>7204</v>
      </c>
      <c r="E2503" t="s">
        <v>75</v>
      </c>
    </row>
    <row r="2504" spans="1:5" x14ac:dyDescent="0.3">
      <c r="A2504" t="s">
        <v>50</v>
      </c>
      <c r="B2504" t="s">
        <v>6241</v>
      </c>
      <c r="C2504" t="s">
        <v>467</v>
      </c>
      <c r="D2504" t="s">
        <v>7206</v>
      </c>
      <c r="E2504" t="s">
        <v>75</v>
      </c>
    </row>
    <row r="2505" spans="1:5" x14ac:dyDescent="0.3">
      <c r="A2505" t="s">
        <v>259</v>
      </c>
      <c r="B2505" t="s">
        <v>5966</v>
      </c>
      <c r="C2505" t="s">
        <v>458</v>
      </c>
      <c r="D2505" t="s">
        <v>7207</v>
      </c>
      <c r="E2505" t="s">
        <v>75</v>
      </c>
    </row>
    <row r="2506" spans="1:5" x14ac:dyDescent="0.3">
      <c r="A2506" t="s">
        <v>3006</v>
      </c>
      <c r="B2506" t="s">
        <v>7209</v>
      </c>
      <c r="C2506" t="s">
        <v>467</v>
      </c>
      <c r="D2506" t="s">
        <v>7208</v>
      </c>
      <c r="E2506" t="s">
        <v>75</v>
      </c>
    </row>
    <row r="2507" spans="1:5" x14ac:dyDescent="0.3">
      <c r="A2507" t="s">
        <v>153</v>
      </c>
      <c r="B2507" t="s">
        <v>7211</v>
      </c>
      <c r="C2507" t="s">
        <v>459</v>
      </c>
      <c r="D2507" t="s">
        <v>7210</v>
      </c>
      <c r="E2507" t="s">
        <v>75</v>
      </c>
    </row>
    <row r="2508" spans="1:5" x14ac:dyDescent="0.3">
      <c r="A2508" t="s">
        <v>2794</v>
      </c>
      <c r="B2508" t="s">
        <v>7213</v>
      </c>
      <c r="C2508" t="s">
        <v>467</v>
      </c>
      <c r="D2508" t="s">
        <v>7212</v>
      </c>
      <c r="E2508" t="s">
        <v>75</v>
      </c>
    </row>
    <row r="2509" spans="1:5" x14ac:dyDescent="0.3">
      <c r="A2509" t="s">
        <v>3678</v>
      </c>
      <c r="B2509" t="s">
        <v>2081</v>
      </c>
      <c r="C2509" t="s">
        <v>467</v>
      </c>
      <c r="D2509" t="s">
        <v>7214</v>
      </c>
      <c r="E2509" t="s">
        <v>75</v>
      </c>
    </row>
    <row r="2510" spans="1:5" x14ac:dyDescent="0.3">
      <c r="A2510" t="s">
        <v>22</v>
      </c>
      <c r="B2510" t="s">
        <v>5319</v>
      </c>
      <c r="C2510" t="s">
        <v>460</v>
      </c>
      <c r="D2510" t="s">
        <v>7214</v>
      </c>
      <c r="E2510" t="s">
        <v>75</v>
      </c>
    </row>
    <row r="2511" spans="1:5" x14ac:dyDescent="0.3">
      <c r="A2511" t="s">
        <v>3069</v>
      </c>
      <c r="B2511" t="s">
        <v>7216</v>
      </c>
      <c r="C2511" t="s">
        <v>467</v>
      </c>
      <c r="D2511" t="s">
        <v>7215</v>
      </c>
      <c r="E2511" t="s">
        <v>75</v>
      </c>
    </row>
    <row r="2512" spans="1:5" x14ac:dyDescent="0.3">
      <c r="A2512" t="s">
        <v>195</v>
      </c>
      <c r="B2512" t="s">
        <v>7218</v>
      </c>
      <c r="C2512" t="s">
        <v>467</v>
      </c>
      <c r="D2512" t="s">
        <v>7217</v>
      </c>
      <c r="E2512" t="s">
        <v>75</v>
      </c>
    </row>
    <row r="2513" spans="1:5" x14ac:dyDescent="0.3">
      <c r="A2513" t="s">
        <v>7221</v>
      </c>
      <c r="B2513" t="s">
        <v>7222</v>
      </c>
      <c r="C2513" t="s">
        <v>467</v>
      </c>
      <c r="D2513" t="s">
        <v>7220</v>
      </c>
      <c r="E2513" t="s">
        <v>75</v>
      </c>
    </row>
    <row r="2514" spans="1:5" x14ac:dyDescent="0.3">
      <c r="A2514" t="s">
        <v>1290</v>
      </c>
      <c r="B2514" t="s">
        <v>7223</v>
      </c>
      <c r="C2514" t="s">
        <v>5076</v>
      </c>
      <c r="D2514" t="s">
        <v>7220</v>
      </c>
      <c r="E2514" t="s">
        <v>75</v>
      </c>
    </row>
    <row r="2515" spans="1:5" x14ac:dyDescent="0.3">
      <c r="A2515" t="s">
        <v>2779</v>
      </c>
      <c r="B2515" t="s">
        <v>7225</v>
      </c>
      <c r="C2515" t="s">
        <v>456</v>
      </c>
      <c r="D2515" t="s">
        <v>7224</v>
      </c>
      <c r="E2515" t="s">
        <v>75</v>
      </c>
    </row>
    <row r="2516" spans="1:5" x14ac:dyDescent="0.3">
      <c r="A2516" t="s">
        <v>7227</v>
      </c>
      <c r="B2516" t="s">
        <v>7228</v>
      </c>
      <c r="C2516" t="s">
        <v>5560</v>
      </c>
      <c r="D2516" t="s">
        <v>7224</v>
      </c>
      <c r="E2516" t="s">
        <v>75</v>
      </c>
    </row>
    <row r="2517" spans="1:5" x14ac:dyDescent="0.3">
      <c r="A2517" t="s">
        <v>68</v>
      </c>
      <c r="B2517" t="s">
        <v>4684</v>
      </c>
      <c r="C2517" t="s">
        <v>467</v>
      </c>
      <c r="D2517" t="s">
        <v>7229</v>
      </c>
      <c r="E2517" t="s">
        <v>75</v>
      </c>
    </row>
    <row r="2518" spans="1:5" x14ac:dyDescent="0.3">
      <c r="A2518" t="s">
        <v>181</v>
      </c>
      <c r="B2518" t="s">
        <v>7231</v>
      </c>
      <c r="C2518" t="s">
        <v>460</v>
      </c>
      <c r="D2518" t="s">
        <v>7230</v>
      </c>
      <c r="E2518" t="s">
        <v>75</v>
      </c>
    </row>
    <row r="2519" spans="1:5" x14ac:dyDescent="0.3">
      <c r="A2519" t="s">
        <v>1403</v>
      </c>
      <c r="B2519" t="s">
        <v>2459</v>
      </c>
      <c r="C2519" t="s">
        <v>467</v>
      </c>
      <c r="D2519" t="s">
        <v>7219</v>
      </c>
      <c r="E2519" t="s">
        <v>75</v>
      </c>
    </row>
    <row r="2520" spans="1:5" x14ac:dyDescent="0.3">
      <c r="A2520" t="s">
        <v>4794</v>
      </c>
      <c r="B2520" t="s">
        <v>7233</v>
      </c>
      <c r="C2520" t="s">
        <v>459</v>
      </c>
      <c r="D2520" t="s">
        <v>7232</v>
      </c>
      <c r="E2520" t="s">
        <v>75</v>
      </c>
    </row>
    <row r="2521" spans="1:5" x14ac:dyDescent="0.3">
      <c r="A2521" t="s">
        <v>7235</v>
      </c>
      <c r="B2521" t="s">
        <v>7236</v>
      </c>
      <c r="C2521" t="s">
        <v>467</v>
      </c>
      <c r="D2521" t="s">
        <v>7234</v>
      </c>
      <c r="E2521" t="s">
        <v>75</v>
      </c>
    </row>
    <row r="2522" spans="1:5" x14ac:dyDescent="0.3">
      <c r="A2522" t="s">
        <v>7237</v>
      </c>
      <c r="B2522" t="s">
        <v>3037</v>
      </c>
      <c r="C2522" t="s">
        <v>461</v>
      </c>
      <c r="D2522" t="s">
        <v>7234</v>
      </c>
      <c r="E2522" t="s">
        <v>75</v>
      </c>
    </row>
    <row r="2523" spans="1:5" x14ac:dyDescent="0.3">
      <c r="A2523" t="s">
        <v>860</v>
      </c>
      <c r="B2523" t="s">
        <v>7239</v>
      </c>
      <c r="C2523" t="s">
        <v>467</v>
      </c>
      <c r="D2523" t="s">
        <v>7238</v>
      </c>
      <c r="E2523" t="s">
        <v>75</v>
      </c>
    </row>
    <row r="2524" spans="1:5" x14ac:dyDescent="0.3">
      <c r="A2524" t="s">
        <v>175</v>
      </c>
      <c r="B2524" t="s">
        <v>171</v>
      </c>
      <c r="C2524" t="s">
        <v>176</v>
      </c>
      <c r="D2524" t="s">
        <v>7240</v>
      </c>
      <c r="E2524" t="s">
        <v>741</v>
      </c>
    </row>
    <row r="2525" spans="1:5" x14ac:dyDescent="0.3">
      <c r="A2525" t="s">
        <v>112</v>
      </c>
      <c r="B2525" t="s">
        <v>3074</v>
      </c>
      <c r="C2525" t="s">
        <v>467</v>
      </c>
      <c r="D2525" t="s">
        <v>7241</v>
      </c>
      <c r="E2525" t="s">
        <v>75</v>
      </c>
    </row>
    <row r="2526" spans="1:5" x14ac:dyDescent="0.3">
      <c r="A2526" t="s">
        <v>1330</v>
      </c>
      <c r="B2526" t="s">
        <v>6048</v>
      </c>
      <c r="C2526" t="s">
        <v>467</v>
      </c>
      <c r="D2526" t="s">
        <v>7243</v>
      </c>
      <c r="E2526" t="s">
        <v>75</v>
      </c>
    </row>
    <row r="2527" spans="1:5" x14ac:dyDescent="0.3">
      <c r="A2527" t="s">
        <v>1433</v>
      </c>
      <c r="B2527" t="s">
        <v>1889</v>
      </c>
      <c r="C2527" t="s">
        <v>460</v>
      </c>
      <c r="D2527" t="s">
        <v>7244</v>
      </c>
      <c r="E2527" t="s">
        <v>75</v>
      </c>
    </row>
    <row r="2528" spans="1:5" x14ac:dyDescent="0.3">
      <c r="A2528" t="s">
        <v>157</v>
      </c>
      <c r="B2528" t="s">
        <v>7246</v>
      </c>
      <c r="C2528" t="s">
        <v>457</v>
      </c>
      <c r="D2528" t="s">
        <v>7245</v>
      </c>
      <c r="E2528" t="s">
        <v>75</v>
      </c>
    </row>
    <row r="2529" spans="1:5" x14ac:dyDescent="0.3">
      <c r="A2529" t="s">
        <v>381</v>
      </c>
      <c r="B2529" t="s">
        <v>7247</v>
      </c>
      <c r="C2529" t="s">
        <v>467</v>
      </c>
      <c r="D2529" t="s">
        <v>7245</v>
      </c>
      <c r="E2529" t="s">
        <v>75</v>
      </c>
    </row>
    <row r="2530" spans="1:5" x14ac:dyDescent="0.3">
      <c r="A2530" t="s">
        <v>1364</v>
      </c>
      <c r="B2530" t="s">
        <v>7248</v>
      </c>
      <c r="C2530" t="s">
        <v>461</v>
      </c>
      <c r="D2530" t="s">
        <v>7245</v>
      </c>
      <c r="E2530" t="s">
        <v>75</v>
      </c>
    </row>
    <row r="2531" spans="1:5" x14ac:dyDescent="0.3">
      <c r="A2531" t="s">
        <v>1172</v>
      </c>
      <c r="B2531" t="s">
        <v>7250</v>
      </c>
      <c r="C2531" t="s">
        <v>7249</v>
      </c>
      <c r="D2531" t="s">
        <v>3743</v>
      </c>
      <c r="E2531" t="s">
        <v>841</v>
      </c>
    </row>
    <row r="2532" spans="1:5" x14ac:dyDescent="0.3">
      <c r="A2532" t="s">
        <v>3074</v>
      </c>
      <c r="B2532" t="s">
        <v>199</v>
      </c>
      <c r="C2532" t="s">
        <v>467</v>
      </c>
      <c r="D2532" t="s">
        <v>7251</v>
      </c>
      <c r="E2532" t="s">
        <v>75</v>
      </c>
    </row>
    <row r="2533" spans="1:5" x14ac:dyDescent="0.3">
      <c r="A2533" t="s">
        <v>266</v>
      </c>
      <c r="B2533" t="s">
        <v>5688</v>
      </c>
      <c r="C2533" t="s">
        <v>7253</v>
      </c>
      <c r="D2533" t="s">
        <v>7252</v>
      </c>
      <c r="E2533" t="s">
        <v>75</v>
      </c>
    </row>
    <row r="2534" spans="1:5" x14ac:dyDescent="0.3">
      <c r="A2534" t="s">
        <v>41</v>
      </c>
      <c r="B2534" t="s">
        <v>7255</v>
      </c>
      <c r="C2534" t="s">
        <v>461</v>
      </c>
      <c r="D2534" t="s">
        <v>7254</v>
      </c>
      <c r="E2534" t="s">
        <v>75</v>
      </c>
    </row>
    <row r="2535" spans="1:5" x14ac:dyDescent="0.3">
      <c r="A2535" t="s">
        <v>82</v>
      </c>
      <c r="B2535" t="s">
        <v>7257</v>
      </c>
      <c r="C2535" t="s">
        <v>460</v>
      </c>
      <c r="D2535" t="s">
        <v>7256</v>
      </c>
      <c r="E2535" t="s">
        <v>75</v>
      </c>
    </row>
    <row r="2536" spans="1:5" x14ac:dyDescent="0.3">
      <c r="A2536" t="s">
        <v>1018</v>
      </c>
      <c r="B2536" t="s">
        <v>7259</v>
      </c>
      <c r="C2536" t="s">
        <v>461</v>
      </c>
      <c r="D2536" t="s">
        <v>7258</v>
      </c>
      <c r="E2536" t="s">
        <v>75</v>
      </c>
    </row>
    <row r="2537" spans="1:5" x14ac:dyDescent="0.3">
      <c r="A2537" t="s">
        <v>347</v>
      </c>
      <c r="B2537" t="s">
        <v>950</v>
      </c>
      <c r="C2537" t="s">
        <v>6069</v>
      </c>
      <c r="D2537" t="s">
        <v>7260</v>
      </c>
      <c r="E2537" t="s">
        <v>75</v>
      </c>
    </row>
    <row r="2538" spans="1:5" x14ac:dyDescent="0.3">
      <c r="A2538" t="s">
        <v>2794</v>
      </c>
      <c r="B2538" t="s">
        <v>2795</v>
      </c>
      <c r="C2538" t="s">
        <v>7262</v>
      </c>
      <c r="D2538" t="s">
        <v>7261</v>
      </c>
      <c r="E2538" t="s">
        <v>75</v>
      </c>
    </row>
    <row r="2539" spans="1:5" x14ac:dyDescent="0.3">
      <c r="A2539" t="s">
        <v>7264</v>
      </c>
      <c r="B2539" t="s">
        <v>362</v>
      </c>
      <c r="C2539" t="s">
        <v>467</v>
      </c>
      <c r="D2539" t="s">
        <v>7263</v>
      </c>
      <c r="E2539" t="s">
        <v>75</v>
      </c>
    </row>
    <row r="2540" spans="1:5" x14ac:dyDescent="0.3">
      <c r="A2540" t="s">
        <v>220</v>
      </c>
      <c r="B2540" t="s">
        <v>210</v>
      </c>
      <c r="C2540" t="s">
        <v>460</v>
      </c>
      <c r="D2540" t="s">
        <v>7266</v>
      </c>
      <c r="E2540" t="s">
        <v>75</v>
      </c>
    </row>
    <row r="2541" spans="1:5" x14ac:dyDescent="0.3">
      <c r="A2541" t="s">
        <v>224</v>
      </c>
      <c r="B2541" t="s">
        <v>7268</v>
      </c>
      <c r="C2541" t="s">
        <v>467</v>
      </c>
      <c r="D2541" t="s">
        <v>7267</v>
      </c>
      <c r="E2541" t="s">
        <v>75</v>
      </c>
    </row>
    <row r="2542" spans="1:5" x14ac:dyDescent="0.3">
      <c r="A2542" t="s">
        <v>55</v>
      </c>
      <c r="B2542" t="s">
        <v>4013</v>
      </c>
      <c r="C2542" t="s">
        <v>461</v>
      </c>
    </row>
    <row r="2543" spans="1:5" x14ac:dyDescent="0.3">
      <c r="A2543" t="s">
        <v>116</v>
      </c>
      <c r="B2543" t="s">
        <v>7271</v>
      </c>
      <c r="C2543" t="s">
        <v>7270</v>
      </c>
    </row>
    <row r="2544" spans="1:5" x14ac:dyDescent="0.3">
      <c r="A2544" t="s">
        <v>3791</v>
      </c>
      <c r="B2544" t="s">
        <v>3685</v>
      </c>
      <c r="C2544" t="s">
        <v>467</v>
      </c>
    </row>
    <row r="2545" spans="1:5" x14ac:dyDescent="0.3">
      <c r="A2545" t="s">
        <v>220</v>
      </c>
      <c r="B2545" t="s">
        <v>7275</v>
      </c>
      <c r="C2545" t="s">
        <v>7274</v>
      </c>
      <c r="D2545" t="s">
        <v>7273</v>
      </c>
      <c r="E2545" t="s">
        <v>75</v>
      </c>
    </row>
    <row r="2546" spans="1:5" x14ac:dyDescent="0.3">
      <c r="A2546" t="s">
        <v>209</v>
      </c>
      <c r="B2546" t="s">
        <v>7277</v>
      </c>
      <c r="C2546" t="s">
        <v>467</v>
      </c>
      <c r="D2546" t="s">
        <v>7276</v>
      </c>
      <c r="E2546" t="s">
        <v>75</v>
      </c>
    </row>
    <row r="2547" spans="1:5" x14ac:dyDescent="0.3">
      <c r="A2547" t="s">
        <v>177</v>
      </c>
      <c r="B2547" t="s">
        <v>7278</v>
      </c>
      <c r="C2547" t="s">
        <v>467</v>
      </c>
      <c r="D2547" t="s">
        <v>7276</v>
      </c>
      <c r="E2547" t="s">
        <v>75</v>
      </c>
    </row>
    <row r="2548" spans="1:5" x14ac:dyDescent="0.3">
      <c r="A2548" t="s">
        <v>44</v>
      </c>
      <c r="B2548" t="s">
        <v>7280</v>
      </c>
      <c r="C2548" t="s">
        <v>459</v>
      </c>
      <c r="D2548" t="s">
        <v>7279</v>
      </c>
      <c r="E2548" t="s">
        <v>75</v>
      </c>
    </row>
    <row r="2549" spans="1:5" x14ac:dyDescent="0.3">
      <c r="A2549" t="s">
        <v>808</v>
      </c>
      <c r="B2549" t="s">
        <v>7283</v>
      </c>
      <c r="C2549" t="s">
        <v>7282</v>
      </c>
      <c r="D2549" t="s">
        <v>7281</v>
      </c>
      <c r="E2549" t="s">
        <v>75</v>
      </c>
    </row>
    <row r="2550" spans="1:5" x14ac:dyDescent="0.3">
      <c r="A2550" t="s">
        <v>13054</v>
      </c>
      <c r="B2550" t="s">
        <v>7286</v>
      </c>
      <c r="C2550" t="s">
        <v>467</v>
      </c>
      <c r="D2550" t="s">
        <v>7285</v>
      </c>
      <c r="E2550" t="s">
        <v>75</v>
      </c>
    </row>
    <row r="2551" spans="1:5" x14ac:dyDescent="0.3">
      <c r="A2551" t="s">
        <v>282</v>
      </c>
      <c r="B2551" t="s">
        <v>4785</v>
      </c>
      <c r="C2551" t="s">
        <v>467</v>
      </c>
      <c r="D2551" t="s">
        <v>7287</v>
      </c>
      <c r="E2551" t="s">
        <v>75</v>
      </c>
    </row>
    <row r="2552" spans="1:5" x14ac:dyDescent="0.3">
      <c r="A2552" t="s">
        <v>1455</v>
      </c>
      <c r="B2552" t="s">
        <v>7290</v>
      </c>
      <c r="C2552" t="s">
        <v>7289</v>
      </c>
      <c r="D2552" t="s">
        <v>7288</v>
      </c>
      <c r="E2552" t="s">
        <v>75</v>
      </c>
    </row>
    <row r="2553" spans="1:5" x14ac:dyDescent="0.3">
      <c r="A2553" t="s">
        <v>100</v>
      </c>
      <c r="B2553" t="s">
        <v>7292</v>
      </c>
      <c r="C2553" t="s">
        <v>5766</v>
      </c>
      <c r="D2553" t="s">
        <v>7291</v>
      </c>
      <c r="E2553" t="s">
        <v>75</v>
      </c>
    </row>
    <row r="2554" spans="1:5" x14ac:dyDescent="0.3">
      <c r="A2554" t="s">
        <v>1410</v>
      </c>
      <c r="B2554" t="s">
        <v>7294</v>
      </c>
      <c r="C2554" t="s">
        <v>467</v>
      </c>
      <c r="D2554" t="s">
        <v>7293</v>
      </c>
      <c r="E2554" t="s">
        <v>75</v>
      </c>
    </row>
    <row r="2555" spans="1:5" x14ac:dyDescent="0.3">
      <c r="A2555" t="s">
        <v>1380</v>
      </c>
      <c r="B2555" t="s">
        <v>7295</v>
      </c>
      <c r="C2555" t="s">
        <v>862</v>
      </c>
      <c r="D2555" t="s">
        <v>3133</v>
      </c>
      <c r="E2555" t="s">
        <v>75</v>
      </c>
    </row>
    <row r="2556" spans="1:5" x14ac:dyDescent="0.3">
      <c r="A2556" t="s">
        <v>4392</v>
      </c>
      <c r="B2556" t="s">
        <v>7297</v>
      </c>
      <c r="C2556" t="s">
        <v>7296</v>
      </c>
      <c r="D2556" t="s">
        <v>3133</v>
      </c>
      <c r="E2556" t="s">
        <v>75</v>
      </c>
    </row>
    <row r="2557" spans="1:5" x14ac:dyDescent="0.3">
      <c r="A2557" t="s">
        <v>7299</v>
      </c>
      <c r="B2557" t="s">
        <v>7300</v>
      </c>
      <c r="C2557" t="s">
        <v>461</v>
      </c>
      <c r="D2557" t="s">
        <v>7298</v>
      </c>
      <c r="E2557" t="s">
        <v>75</v>
      </c>
    </row>
    <row r="2558" spans="1:5" x14ac:dyDescent="0.3">
      <c r="A2558" t="s">
        <v>290</v>
      </c>
      <c r="B2558" t="s">
        <v>7301</v>
      </c>
      <c r="C2558" t="s">
        <v>461</v>
      </c>
      <c r="D2558" t="s">
        <v>1573</v>
      </c>
      <c r="E2558" t="s">
        <v>75</v>
      </c>
    </row>
    <row r="2559" spans="1:5" x14ac:dyDescent="0.3">
      <c r="A2559" t="s">
        <v>7303</v>
      </c>
      <c r="B2559" t="s">
        <v>7304</v>
      </c>
      <c r="C2559" t="s">
        <v>459</v>
      </c>
      <c r="D2559" t="s">
        <v>7302</v>
      </c>
      <c r="E2559" t="s">
        <v>75</v>
      </c>
    </row>
    <row r="2560" spans="1:5" x14ac:dyDescent="0.3">
      <c r="A2560" t="s">
        <v>1329</v>
      </c>
      <c r="B2560" t="s">
        <v>3455</v>
      </c>
      <c r="C2560" t="s">
        <v>467</v>
      </c>
      <c r="D2560" t="s">
        <v>7305</v>
      </c>
      <c r="E2560" t="s">
        <v>75</v>
      </c>
    </row>
    <row r="2561" spans="1:5" x14ac:dyDescent="0.3">
      <c r="A2561" t="s">
        <v>251</v>
      </c>
      <c r="B2561" t="s">
        <v>5098</v>
      </c>
      <c r="C2561" t="s">
        <v>461</v>
      </c>
      <c r="D2561" t="s">
        <v>7305</v>
      </c>
      <c r="E2561" t="s">
        <v>75</v>
      </c>
    </row>
    <row r="2562" spans="1:5" x14ac:dyDescent="0.3">
      <c r="A2562" t="s">
        <v>5553</v>
      </c>
      <c r="B2562" t="s">
        <v>4707</v>
      </c>
      <c r="C2562" t="s">
        <v>467</v>
      </c>
      <c r="D2562" t="s">
        <v>7306</v>
      </c>
      <c r="E2562" t="s">
        <v>75</v>
      </c>
    </row>
    <row r="2563" spans="1:5" x14ac:dyDescent="0.3">
      <c r="A2563" t="s">
        <v>3930</v>
      </c>
      <c r="B2563" t="s">
        <v>3887</v>
      </c>
      <c r="C2563" t="s">
        <v>7308</v>
      </c>
      <c r="D2563" t="s">
        <v>7307</v>
      </c>
      <c r="E2563" t="s">
        <v>75</v>
      </c>
    </row>
    <row r="2564" spans="1:5" x14ac:dyDescent="0.3">
      <c r="A2564" t="s">
        <v>3547</v>
      </c>
      <c r="B2564" t="s">
        <v>7311</v>
      </c>
      <c r="C2564" t="s">
        <v>6303</v>
      </c>
      <c r="D2564" t="s">
        <v>7310</v>
      </c>
      <c r="E2564" t="s">
        <v>741</v>
      </c>
    </row>
    <row r="2565" spans="1:5" x14ac:dyDescent="0.3">
      <c r="A2565" t="s">
        <v>755</v>
      </c>
      <c r="B2565" t="s">
        <v>4441</v>
      </c>
      <c r="C2565" t="s">
        <v>461</v>
      </c>
      <c r="D2565" t="s">
        <v>7312</v>
      </c>
      <c r="E2565" t="s">
        <v>75</v>
      </c>
    </row>
    <row r="2566" spans="1:5" x14ac:dyDescent="0.3">
      <c r="A2566" t="s">
        <v>132</v>
      </c>
      <c r="B2566" t="s">
        <v>3015</v>
      </c>
      <c r="C2566" t="s">
        <v>467</v>
      </c>
      <c r="D2566" t="s">
        <v>7313</v>
      </c>
      <c r="E2566" t="s">
        <v>75</v>
      </c>
    </row>
    <row r="2567" spans="1:5" x14ac:dyDescent="0.3">
      <c r="A2567" t="s">
        <v>2944</v>
      </c>
      <c r="B2567" t="s">
        <v>7315</v>
      </c>
      <c r="C2567" t="s">
        <v>518</v>
      </c>
      <c r="D2567" t="s">
        <v>7314</v>
      </c>
      <c r="E2567" t="s">
        <v>75</v>
      </c>
    </row>
    <row r="2568" spans="1:5" x14ac:dyDescent="0.3">
      <c r="A2568" t="s">
        <v>38</v>
      </c>
      <c r="B2568" t="s">
        <v>7317</v>
      </c>
      <c r="C2568" t="s">
        <v>2937</v>
      </c>
      <c r="D2568" t="s">
        <v>7316</v>
      </c>
      <c r="E2568" t="s">
        <v>75</v>
      </c>
    </row>
    <row r="2569" spans="1:5" x14ac:dyDescent="0.3">
      <c r="A2569" t="s">
        <v>1386</v>
      </c>
      <c r="B2569" t="s">
        <v>7318</v>
      </c>
      <c r="C2569" t="s">
        <v>467</v>
      </c>
      <c r="D2569" t="s">
        <v>7316</v>
      </c>
      <c r="E2569" t="s">
        <v>75</v>
      </c>
    </row>
    <row r="2570" spans="1:5" x14ac:dyDescent="0.3">
      <c r="A2570" t="s">
        <v>224</v>
      </c>
      <c r="B2570" t="s">
        <v>3819</v>
      </c>
      <c r="C2570" t="s">
        <v>7319</v>
      </c>
      <c r="D2570" t="s">
        <v>910</v>
      </c>
      <c r="E2570" t="s">
        <v>1</v>
      </c>
    </row>
    <row r="2571" spans="1:5" x14ac:dyDescent="0.3">
      <c r="A2571" t="s">
        <v>999</v>
      </c>
      <c r="B2571" t="s">
        <v>3787</v>
      </c>
      <c r="C2571" t="s">
        <v>7322</v>
      </c>
      <c r="D2571" t="s">
        <v>7321</v>
      </c>
      <c r="E2571" t="s">
        <v>75</v>
      </c>
    </row>
    <row r="2572" spans="1:5" x14ac:dyDescent="0.3">
      <c r="A2572" t="s">
        <v>116</v>
      </c>
      <c r="B2572" t="s">
        <v>7325</v>
      </c>
      <c r="C2572" t="s">
        <v>459</v>
      </c>
      <c r="D2572" t="s">
        <v>7323</v>
      </c>
      <c r="E2572" t="s">
        <v>75</v>
      </c>
    </row>
    <row r="2573" spans="1:5" x14ac:dyDescent="0.3">
      <c r="A2573" t="s">
        <v>177</v>
      </c>
      <c r="B2573" t="s">
        <v>7328</v>
      </c>
      <c r="C2573" t="s">
        <v>7327</v>
      </c>
      <c r="D2573" t="s">
        <v>7326</v>
      </c>
      <c r="E2573" t="s">
        <v>75</v>
      </c>
    </row>
    <row r="2574" spans="1:5" x14ac:dyDescent="0.3">
      <c r="A2574" t="s">
        <v>184</v>
      </c>
      <c r="B2574" t="s">
        <v>988</v>
      </c>
      <c r="C2574" t="s">
        <v>460</v>
      </c>
      <c r="D2574" t="s">
        <v>7329</v>
      </c>
      <c r="E2574" t="s">
        <v>75</v>
      </c>
    </row>
    <row r="2575" spans="1:5" x14ac:dyDescent="0.3">
      <c r="A2575" t="s">
        <v>3550</v>
      </c>
      <c r="B2575" t="s">
        <v>7332</v>
      </c>
      <c r="C2575" t="s">
        <v>7331</v>
      </c>
      <c r="D2575" t="s">
        <v>7330</v>
      </c>
      <c r="E2575" t="s">
        <v>75</v>
      </c>
    </row>
    <row r="2576" spans="1:5" x14ac:dyDescent="0.3">
      <c r="A2576" t="s">
        <v>20</v>
      </c>
      <c r="B2576" t="s">
        <v>6192</v>
      </c>
      <c r="C2576" t="s">
        <v>4555</v>
      </c>
      <c r="D2576" t="s">
        <v>7333</v>
      </c>
      <c r="E2576" t="s">
        <v>75</v>
      </c>
    </row>
    <row r="2577" spans="1:5" x14ac:dyDescent="0.3">
      <c r="A2577" t="s">
        <v>111</v>
      </c>
      <c r="B2577" t="s">
        <v>7335</v>
      </c>
      <c r="C2577" t="s">
        <v>461</v>
      </c>
      <c r="D2577" t="s">
        <v>7334</v>
      </c>
      <c r="E2577" t="s">
        <v>75</v>
      </c>
    </row>
    <row r="2578" spans="1:5" x14ac:dyDescent="0.3">
      <c r="A2578" t="s">
        <v>826</v>
      </c>
      <c r="B2578" t="s">
        <v>6011</v>
      </c>
      <c r="C2578" t="s">
        <v>467</v>
      </c>
      <c r="D2578" t="s">
        <v>7336</v>
      </c>
      <c r="E2578" t="s">
        <v>75</v>
      </c>
    </row>
    <row r="2579" spans="1:5" x14ac:dyDescent="0.3">
      <c r="A2579" t="s">
        <v>352</v>
      </c>
      <c r="B2579" t="s">
        <v>881</v>
      </c>
      <c r="C2579" t="s">
        <v>457</v>
      </c>
    </row>
    <row r="2580" spans="1:5" x14ac:dyDescent="0.3">
      <c r="A2580" t="s">
        <v>5774</v>
      </c>
      <c r="B2580" t="s">
        <v>7337</v>
      </c>
      <c r="C2580" t="s">
        <v>467</v>
      </c>
      <c r="D2580" t="s">
        <v>2852</v>
      </c>
      <c r="E2580" t="s">
        <v>75</v>
      </c>
    </row>
    <row r="2581" spans="1:5" x14ac:dyDescent="0.3">
      <c r="A2581" t="s">
        <v>4500</v>
      </c>
      <c r="B2581" t="s">
        <v>7339</v>
      </c>
      <c r="C2581" t="s">
        <v>467</v>
      </c>
      <c r="D2581" t="s">
        <v>7338</v>
      </c>
      <c r="E2581" t="s">
        <v>75</v>
      </c>
    </row>
    <row r="2582" spans="1:5" x14ac:dyDescent="0.3">
      <c r="A2582" t="s">
        <v>875</v>
      </c>
      <c r="B2582" t="s">
        <v>4430</v>
      </c>
      <c r="C2582" t="s">
        <v>7341</v>
      </c>
      <c r="D2582" t="s">
        <v>7340</v>
      </c>
      <c r="E2582" t="s">
        <v>75</v>
      </c>
    </row>
    <row r="2583" spans="1:5" x14ac:dyDescent="0.3">
      <c r="A2583" t="s">
        <v>41</v>
      </c>
      <c r="B2583" t="s">
        <v>6311</v>
      </c>
      <c r="C2583" t="s">
        <v>467</v>
      </c>
      <c r="D2583" t="s">
        <v>7340</v>
      </c>
      <c r="E2583" t="s">
        <v>75</v>
      </c>
    </row>
    <row r="2584" spans="1:5" x14ac:dyDescent="0.3">
      <c r="A2584" t="s">
        <v>7343</v>
      </c>
      <c r="B2584" t="s">
        <v>5352</v>
      </c>
      <c r="C2584" t="s">
        <v>459</v>
      </c>
      <c r="D2584" t="s">
        <v>7342</v>
      </c>
      <c r="E2584" t="s">
        <v>75</v>
      </c>
    </row>
    <row r="2585" spans="1:5" x14ac:dyDescent="0.3">
      <c r="A2585" t="s">
        <v>157</v>
      </c>
      <c r="B2585" t="s">
        <v>2641</v>
      </c>
      <c r="C2585" t="s">
        <v>460</v>
      </c>
      <c r="D2585" t="s">
        <v>7344</v>
      </c>
      <c r="E2585" t="s">
        <v>75</v>
      </c>
    </row>
    <row r="2586" spans="1:5" x14ac:dyDescent="0.3">
      <c r="A2586" t="s">
        <v>3616</v>
      </c>
      <c r="B2586" t="s">
        <v>3727</v>
      </c>
      <c r="C2586" t="s">
        <v>467</v>
      </c>
      <c r="D2586" t="s">
        <v>7345</v>
      </c>
      <c r="E2586" t="s">
        <v>75</v>
      </c>
    </row>
    <row r="2587" spans="1:5" x14ac:dyDescent="0.3">
      <c r="A2587" t="s">
        <v>1418</v>
      </c>
      <c r="B2587" t="s">
        <v>277</v>
      </c>
      <c r="C2587" t="s">
        <v>467</v>
      </c>
      <c r="D2587" t="s">
        <v>7346</v>
      </c>
      <c r="E2587" t="s">
        <v>75</v>
      </c>
    </row>
    <row r="2588" spans="1:5" x14ac:dyDescent="0.3">
      <c r="A2588" t="s">
        <v>209</v>
      </c>
      <c r="B2588" t="s">
        <v>3256</v>
      </c>
      <c r="C2588" t="s">
        <v>7348</v>
      </c>
      <c r="D2588" t="s">
        <v>7347</v>
      </c>
      <c r="E2588" t="s">
        <v>75</v>
      </c>
    </row>
    <row r="2589" spans="1:5" x14ac:dyDescent="0.3">
      <c r="A2589" t="s">
        <v>5609</v>
      </c>
      <c r="B2589" t="s">
        <v>3557</v>
      </c>
      <c r="C2589" t="s">
        <v>467</v>
      </c>
      <c r="D2589" t="s">
        <v>7349</v>
      </c>
      <c r="E2589" t="s">
        <v>75</v>
      </c>
    </row>
    <row r="2590" spans="1:5" x14ac:dyDescent="0.3">
      <c r="A2590" t="s">
        <v>7351</v>
      </c>
      <c r="B2590" t="s">
        <v>7352</v>
      </c>
      <c r="C2590" t="s">
        <v>461</v>
      </c>
      <c r="D2590" t="s">
        <v>7350</v>
      </c>
      <c r="E2590" t="s">
        <v>75</v>
      </c>
    </row>
    <row r="2591" spans="1:5" x14ac:dyDescent="0.3">
      <c r="A2591" t="s">
        <v>4960</v>
      </c>
      <c r="B2591" t="s">
        <v>3980</v>
      </c>
      <c r="C2591" t="s">
        <v>456</v>
      </c>
      <c r="D2591" t="s">
        <v>7353</v>
      </c>
      <c r="E2591" t="s">
        <v>75</v>
      </c>
    </row>
    <row r="2592" spans="1:5" x14ac:dyDescent="0.3">
      <c r="A2592" t="s">
        <v>7358</v>
      </c>
      <c r="B2592" t="s">
        <v>7359</v>
      </c>
      <c r="C2592" t="s">
        <v>467</v>
      </c>
      <c r="D2592" t="s">
        <v>7357</v>
      </c>
      <c r="E2592" t="s">
        <v>75</v>
      </c>
    </row>
    <row r="2593" spans="1:5" x14ac:dyDescent="0.3">
      <c r="A2593" t="s">
        <v>3220</v>
      </c>
      <c r="B2593" t="s">
        <v>4298</v>
      </c>
      <c r="C2593" t="s">
        <v>461</v>
      </c>
      <c r="D2593" t="s">
        <v>7360</v>
      </c>
      <c r="E2593" t="s">
        <v>75</v>
      </c>
    </row>
    <row r="2594" spans="1:5" x14ac:dyDescent="0.3">
      <c r="A2594" t="s">
        <v>2666</v>
      </c>
      <c r="B2594" t="s">
        <v>7361</v>
      </c>
      <c r="C2594" t="s">
        <v>467</v>
      </c>
      <c r="D2594" t="s">
        <v>7360</v>
      </c>
      <c r="E2594" t="s">
        <v>75</v>
      </c>
    </row>
    <row r="2595" spans="1:5" x14ac:dyDescent="0.3">
      <c r="A2595" t="s">
        <v>2719</v>
      </c>
      <c r="B2595" t="s">
        <v>7364</v>
      </c>
      <c r="C2595" t="s">
        <v>467</v>
      </c>
      <c r="D2595" t="s">
        <v>7363</v>
      </c>
      <c r="E2595" t="s">
        <v>75</v>
      </c>
    </row>
    <row r="2596" spans="1:5" x14ac:dyDescent="0.3">
      <c r="A2596" t="s">
        <v>4732</v>
      </c>
      <c r="B2596" t="s">
        <v>4393</v>
      </c>
      <c r="C2596" t="s">
        <v>460</v>
      </c>
      <c r="D2596" t="s">
        <v>7365</v>
      </c>
      <c r="E2596" t="s">
        <v>75</v>
      </c>
    </row>
    <row r="2597" spans="1:5" x14ac:dyDescent="0.3">
      <c r="A2597" t="s">
        <v>1793</v>
      </c>
      <c r="B2597" t="s">
        <v>7367</v>
      </c>
      <c r="C2597" t="s">
        <v>460</v>
      </c>
      <c r="D2597" t="s">
        <v>7366</v>
      </c>
      <c r="E2597" t="s">
        <v>75</v>
      </c>
    </row>
    <row r="2598" spans="1:5" x14ac:dyDescent="0.3">
      <c r="A2598" t="s">
        <v>828</v>
      </c>
      <c r="B2598" t="s">
        <v>1615</v>
      </c>
      <c r="C2598" t="s">
        <v>461</v>
      </c>
      <c r="D2598" t="s">
        <v>7368</v>
      </c>
      <c r="E2598" t="s">
        <v>75</v>
      </c>
    </row>
    <row r="2599" spans="1:5" x14ac:dyDescent="0.3">
      <c r="A2599" t="s">
        <v>262</v>
      </c>
      <c r="B2599" t="s">
        <v>3334</v>
      </c>
      <c r="C2599" t="s">
        <v>7371</v>
      </c>
      <c r="D2599" t="s">
        <v>7370</v>
      </c>
      <c r="E2599" t="s">
        <v>75</v>
      </c>
    </row>
    <row r="2600" spans="1:5" x14ac:dyDescent="0.3">
      <c r="A2600" t="s">
        <v>195</v>
      </c>
      <c r="B2600" t="s">
        <v>4063</v>
      </c>
      <c r="C2600" t="s">
        <v>460</v>
      </c>
      <c r="D2600" t="s">
        <v>7373</v>
      </c>
      <c r="E2600" t="s">
        <v>75</v>
      </c>
    </row>
    <row r="2601" spans="1:5" x14ac:dyDescent="0.3">
      <c r="A2601" t="s">
        <v>1583</v>
      </c>
      <c r="B2601" t="s">
        <v>3822</v>
      </c>
      <c r="C2601" t="s">
        <v>6069</v>
      </c>
      <c r="D2601" t="s">
        <v>7373</v>
      </c>
      <c r="E2601" t="s">
        <v>75</v>
      </c>
    </row>
    <row r="2602" spans="1:5" x14ac:dyDescent="0.3">
      <c r="A2602" t="s">
        <v>150</v>
      </c>
      <c r="B2602" t="s">
        <v>7374</v>
      </c>
      <c r="C2602" t="s">
        <v>460</v>
      </c>
      <c r="D2602" t="s">
        <v>7373</v>
      </c>
      <c r="E2602" t="s">
        <v>75</v>
      </c>
    </row>
    <row r="2603" spans="1:5" x14ac:dyDescent="0.3">
      <c r="A2603" t="s">
        <v>6571</v>
      </c>
      <c r="B2603" t="s">
        <v>7377</v>
      </c>
      <c r="C2603" t="s">
        <v>455</v>
      </c>
      <c r="D2603" t="s">
        <v>7376</v>
      </c>
      <c r="E2603" t="s">
        <v>75</v>
      </c>
    </row>
    <row r="2604" spans="1:5" x14ac:dyDescent="0.3">
      <c r="A2604" t="s">
        <v>918</v>
      </c>
      <c r="B2604" t="s">
        <v>4292</v>
      </c>
      <c r="C2604" t="s">
        <v>467</v>
      </c>
      <c r="D2604" t="s">
        <v>7378</v>
      </c>
      <c r="E2604" t="s">
        <v>75</v>
      </c>
    </row>
    <row r="2605" spans="1:5" x14ac:dyDescent="0.3">
      <c r="A2605" t="s">
        <v>224</v>
      </c>
      <c r="B2605" t="s">
        <v>4149</v>
      </c>
      <c r="C2605" t="s">
        <v>457</v>
      </c>
      <c r="D2605" t="s">
        <v>7381</v>
      </c>
      <c r="E2605" t="s">
        <v>75</v>
      </c>
    </row>
    <row r="2606" spans="1:5" x14ac:dyDescent="0.3">
      <c r="A2606" t="s">
        <v>1363</v>
      </c>
      <c r="B2606" t="s">
        <v>221</v>
      </c>
      <c r="C2606" t="s">
        <v>459</v>
      </c>
      <c r="D2606" t="s">
        <v>7381</v>
      </c>
      <c r="E2606" t="s">
        <v>75</v>
      </c>
    </row>
    <row r="2607" spans="1:5" x14ac:dyDescent="0.3">
      <c r="A2607" t="s">
        <v>184</v>
      </c>
      <c r="B2607" t="s">
        <v>7383</v>
      </c>
      <c r="C2607" t="s">
        <v>457</v>
      </c>
      <c r="D2607" t="s">
        <v>7382</v>
      </c>
      <c r="E2607" t="s">
        <v>75</v>
      </c>
    </row>
    <row r="2608" spans="1:5" x14ac:dyDescent="0.3">
      <c r="A2608" t="s">
        <v>931</v>
      </c>
      <c r="B2608" t="s">
        <v>7385</v>
      </c>
      <c r="C2608" t="s">
        <v>467</v>
      </c>
      <c r="D2608" t="s">
        <v>7384</v>
      </c>
      <c r="E2608" t="s">
        <v>75</v>
      </c>
    </row>
    <row r="2609" spans="1:5" x14ac:dyDescent="0.3">
      <c r="A2609" t="s">
        <v>2666</v>
      </c>
      <c r="B2609" t="s">
        <v>7387</v>
      </c>
      <c r="C2609" t="s">
        <v>720</v>
      </c>
      <c r="D2609" t="s">
        <v>7386</v>
      </c>
      <c r="E2609" t="s">
        <v>75</v>
      </c>
    </row>
    <row r="2610" spans="1:5" x14ac:dyDescent="0.3">
      <c r="A2610" t="s">
        <v>3789</v>
      </c>
      <c r="B2610" t="s">
        <v>221</v>
      </c>
      <c r="C2610" t="s">
        <v>467</v>
      </c>
      <c r="D2610" t="s">
        <v>7388</v>
      </c>
      <c r="E2610" t="s">
        <v>75</v>
      </c>
    </row>
    <row r="2611" spans="1:5" x14ac:dyDescent="0.3">
      <c r="A2611" t="s">
        <v>27</v>
      </c>
      <c r="B2611" t="s">
        <v>7390</v>
      </c>
      <c r="C2611" t="s">
        <v>7389</v>
      </c>
      <c r="D2611" t="s">
        <v>13055</v>
      </c>
      <c r="E2611" t="s">
        <v>75</v>
      </c>
    </row>
    <row r="2612" spans="1:5" x14ac:dyDescent="0.3">
      <c r="A2612" t="s">
        <v>7392</v>
      </c>
      <c r="B2612" t="s">
        <v>7393</v>
      </c>
      <c r="C2612" t="s">
        <v>467</v>
      </c>
      <c r="D2612" t="s">
        <v>7391</v>
      </c>
      <c r="E2612" t="s">
        <v>75</v>
      </c>
    </row>
    <row r="2613" spans="1:5" x14ac:dyDescent="0.3">
      <c r="A2613" t="s">
        <v>1515</v>
      </c>
      <c r="B2613" t="s">
        <v>7396</v>
      </c>
      <c r="C2613" t="s">
        <v>457</v>
      </c>
      <c r="D2613" t="s">
        <v>7395</v>
      </c>
      <c r="E2613" t="s">
        <v>75</v>
      </c>
    </row>
    <row r="2614" spans="1:5" x14ac:dyDescent="0.3">
      <c r="A2614" t="s">
        <v>7398</v>
      </c>
      <c r="B2614" t="s">
        <v>1467</v>
      </c>
      <c r="C2614" t="s">
        <v>461</v>
      </c>
      <c r="D2614" t="s">
        <v>7397</v>
      </c>
      <c r="E2614" t="s">
        <v>75</v>
      </c>
    </row>
    <row r="2615" spans="1:5" x14ac:dyDescent="0.3">
      <c r="A2615" t="s">
        <v>1045</v>
      </c>
      <c r="B2615" t="s">
        <v>1055</v>
      </c>
      <c r="C2615" t="s">
        <v>467</v>
      </c>
      <c r="D2615" t="s">
        <v>7399</v>
      </c>
      <c r="E2615" t="s">
        <v>75</v>
      </c>
    </row>
    <row r="2616" spans="1:5" x14ac:dyDescent="0.3">
      <c r="A2616" t="s">
        <v>44</v>
      </c>
      <c r="B2616" t="s">
        <v>108</v>
      </c>
      <c r="C2616" t="s">
        <v>467</v>
      </c>
      <c r="D2616" t="s">
        <v>7400</v>
      </c>
      <c r="E2616" t="s">
        <v>75</v>
      </c>
    </row>
    <row r="2617" spans="1:5" x14ac:dyDescent="0.3">
      <c r="A2617" t="s">
        <v>3616</v>
      </c>
      <c r="B2617" t="s">
        <v>68</v>
      </c>
      <c r="C2617" t="s">
        <v>467</v>
      </c>
      <c r="D2617" t="s">
        <v>7400</v>
      </c>
      <c r="E2617" t="s">
        <v>75</v>
      </c>
    </row>
    <row r="2618" spans="1:5" x14ac:dyDescent="0.3">
      <c r="A2618" t="s">
        <v>1822</v>
      </c>
      <c r="B2618" t="s">
        <v>2336</v>
      </c>
      <c r="C2618" t="s">
        <v>461</v>
      </c>
      <c r="D2618" t="s">
        <v>7401</v>
      </c>
      <c r="E2618" t="s">
        <v>75</v>
      </c>
    </row>
    <row r="2619" spans="1:5" x14ac:dyDescent="0.3">
      <c r="A2619" t="s">
        <v>7404</v>
      </c>
      <c r="B2619" t="s">
        <v>7405</v>
      </c>
      <c r="C2619" t="s">
        <v>467</v>
      </c>
      <c r="D2619" t="s">
        <v>7403</v>
      </c>
      <c r="E2619" t="s">
        <v>75</v>
      </c>
    </row>
    <row r="2620" spans="1:5" x14ac:dyDescent="0.3">
      <c r="A2620" t="s">
        <v>404</v>
      </c>
      <c r="B2620" t="s">
        <v>3668</v>
      </c>
      <c r="C2620" t="s">
        <v>460</v>
      </c>
      <c r="D2620" t="s">
        <v>7406</v>
      </c>
      <c r="E2620" t="s">
        <v>75</v>
      </c>
    </row>
    <row r="2621" spans="1:5" x14ac:dyDescent="0.3">
      <c r="A2621" t="s">
        <v>1587</v>
      </c>
      <c r="B2621" t="s">
        <v>2601</v>
      </c>
      <c r="C2621" t="s">
        <v>461</v>
      </c>
      <c r="D2621" t="s">
        <v>7407</v>
      </c>
      <c r="E2621" t="s">
        <v>75</v>
      </c>
    </row>
    <row r="2622" spans="1:5" x14ac:dyDescent="0.3">
      <c r="A2622" t="s">
        <v>244</v>
      </c>
      <c r="B2622" t="s">
        <v>3479</v>
      </c>
      <c r="C2622" t="s">
        <v>461</v>
      </c>
      <c r="D2622" t="s">
        <v>7410</v>
      </c>
      <c r="E2622" t="s">
        <v>75</v>
      </c>
    </row>
    <row r="2623" spans="1:5" x14ac:dyDescent="0.3">
      <c r="A2623" t="s">
        <v>66</v>
      </c>
      <c r="B2623" t="s">
        <v>4704</v>
      </c>
      <c r="C2623" t="s">
        <v>459</v>
      </c>
      <c r="D2623" t="s">
        <v>7410</v>
      </c>
      <c r="E2623" t="s">
        <v>75</v>
      </c>
    </row>
    <row r="2624" spans="1:5" x14ac:dyDescent="0.3">
      <c r="A2624" t="s">
        <v>230</v>
      </c>
      <c r="B2624" t="s">
        <v>6476</v>
      </c>
      <c r="C2624" t="s">
        <v>467</v>
      </c>
      <c r="D2624" t="s">
        <v>7411</v>
      </c>
      <c r="E2624" t="s">
        <v>75</v>
      </c>
    </row>
    <row r="2625" spans="1:5" x14ac:dyDescent="0.3">
      <c r="A2625" t="s">
        <v>146</v>
      </c>
      <c r="B2625" t="s">
        <v>7412</v>
      </c>
      <c r="C2625" t="s">
        <v>467</v>
      </c>
      <c r="D2625" t="s">
        <v>7411</v>
      </c>
      <c r="E2625" t="s">
        <v>75</v>
      </c>
    </row>
    <row r="2626" spans="1:5" x14ac:dyDescent="0.3">
      <c r="A2626" t="s">
        <v>259</v>
      </c>
      <c r="B2626" t="s">
        <v>7414</v>
      </c>
      <c r="C2626" t="s">
        <v>7413</v>
      </c>
      <c r="D2626" t="s">
        <v>7411</v>
      </c>
      <c r="E2626" t="s">
        <v>75</v>
      </c>
    </row>
    <row r="2627" spans="1:5" x14ac:dyDescent="0.3">
      <c r="A2627" t="s">
        <v>7416</v>
      </c>
      <c r="B2627" t="s">
        <v>4170</v>
      </c>
      <c r="C2627" t="s">
        <v>467</v>
      </c>
      <c r="D2627" t="s">
        <v>7415</v>
      </c>
      <c r="E2627" t="s">
        <v>75</v>
      </c>
    </row>
    <row r="2628" spans="1:5" x14ac:dyDescent="0.3">
      <c r="A2628" t="s">
        <v>5874</v>
      </c>
      <c r="B2628" t="s">
        <v>2984</v>
      </c>
      <c r="C2628" t="s">
        <v>467</v>
      </c>
      <c r="D2628" t="s">
        <v>7417</v>
      </c>
      <c r="E2628" t="s">
        <v>75</v>
      </c>
    </row>
    <row r="2629" spans="1:5" x14ac:dyDescent="0.3">
      <c r="A2629" t="s">
        <v>6792</v>
      </c>
      <c r="B2629" t="s">
        <v>7419</v>
      </c>
      <c r="C2629" t="s">
        <v>7418</v>
      </c>
      <c r="D2629" t="s">
        <v>7417</v>
      </c>
      <c r="E2629" t="s">
        <v>75</v>
      </c>
    </row>
    <row r="2630" spans="1:5" x14ac:dyDescent="0.3">
      <c r="A2630" t="s">
        <v>7420</v>
      </c>
      <c r="B2630" t="s">
        <v>1141</v>
      </c>
      <c r="C2630" t="s">
        <v>7418</v>
      </c>
      <c r="D2630" t="s">
        <v>7417</v>
      </c>
      <c r="E2630" t="s">
        <v>75</v>
      </c>
    </row>
    <row r="2631" spans="1:5" x14ac:dyDescent="0.3">
      <c r="A2631" t="s">
        <v>339</v>
      </c>
      <c r="B2631" t="s">
        <v>7422</v>
      </c>
      <c r="C2631" t="s">
        <v>467</v>
      </c>
      <c r="D2631" t="s">
        <v>7421</v>
      </c>
      <c r="E2631" t="s">
        <v>75</v>
      </c>
    </row>
    <row r="2632" spans="1:5" x14ac:dyDescent="0.3">
      <c r="A2632" t="s">
        <v>1702</v>
      </c>
      <c r="B2632" t="s">
        <v>7424</v>
      </c>
      <c r="C2632" t="s">
        <v>467</v>
      </c>
      <c r="D2632" t="s">
        <v>7423</v>
      </c>
      <c r="E2632" t="s">
        <v>75</v>
      </c>
    </row>
    <row r="2633" spans="1:5" x14ac:dyDescent="0.3">
      <c r="A2633" t="s">
        <v>3196</v>
      </c>
      <c r="B2633" t="s">
        <v>7427</v>
      </c>
      <c r="C2633" t="s">
        <v>461</v>
      </c>
      <c r="D2633" t="s">
        <v>7426</v>
      </c>
      <c r="E2633" t="s">
        <v>75</v>
      </c>
    </row>
    <row r="2634" spans="1:5" x14ac:dyDescent="0.3">
      <c r="A2634" t="s">
        <v>860</v>
      </c>
      <c r="B2634" t="s">
        <v>397</v>
      </c>
      <c r="C2634" t="s">
        <v>460</v>
      </c>
      <c r="D2634" t="s">
        <v>7428</v>
      </c>
      <c r="E2634" t="s">
        <v>75</v>
      </c>
    </row>
    <row r="2635" spans="1:5" x14ac:dyDescent="0.3">
      <c r="A2635" t="s">
        <v>331</v>
      </c>
      <c r="B2635" t="s">
        <v>1025</v>
      </c>
      <c r="C2635" t="s">
        <v>7430</v>
      </c>
      <c r="D2635" t="s">
        <v>7429</v>
      </c>
      <c r="E2635" t="s">
        <v>75</v>
      </c>
    </row>
    <row r="2636" spans="1:5" x14ac:dyDescent="0.3">
      <c r="A2636" t="s">
        <v>3409</v>
      </c>
      <c r="B2636" t="s">
        <v>1503</v>
      </c>
      <c r="C2636" t="s">
        <v>467</v>
      </c>
      <c r="D2636" t="s">
        <v>7432</v>
      </c>
      <c r="E2636" t="s">
        <v>75</v>
      </c>
    </row>
    <row r="2637" spans="1:5" x14ac:dyDescent="0.3">
      <c r="A2637" t="s">
        <v>131</v>
      </c>
      <c r="B2637" t="s">
        <v>1370</v>
      </c>
      <c r="C2637" t="s">
        <v>460</v>
      </c>
      <c r="D2637" t="s">
        <v>7433</v>
      </c>
      <c r="E2637" t="s">
        <v>75</v>
      </c>
    </row>
    <row r="2638" spans="1:5" x14ac:dyDescent="0.3">
      <c r="A2638" t="s">
        <v>1182</v>
      </c>
      <c r="B2638" t="s">
        <v>7436</v>
      </c>
      <c r="C2638" t="s">
        <v>7435</v>
      </c>
      <c r="D2638" t="s">
        <v>1295</v>
      </c>
      <c r="E2638" t="s">
        <v>743</v>
      </c>
    </row>
    <row r="2639" spans="1:5" x14ac:dyDescent="0.3">
      <c r="A2639" t="s">
        <v>251</v>
      </c>
      <c r="B2639" t="s">
        <v>7437</v>
      </c>
      <c r="C2639" t="s">
        <v>467</v>
      </c>
      <c r="D2639" t="s">
        <v>7434</v>
      </c>
      <c r="E2639" t="s">
        <v>75</v>
      </c>
    </row>
    <row r="2640" spans="1:5" x14ac:dyDescent="0.3">
      <c r="A2640" t="s">
        <v>339</v>
      </c>
      <c r="B2640" t="s">
        <v>7437</v>
      </c>
      <c r="C2640" t="s">
        <v>467</v>
      </c>
      <c r="D2640" t="s">
        <v>7434</v>
      </c>
      <c r="E2640" t="s">
        <v>75</v>
      </c>
    </row>
    <row r="2641" spans="1:5" x14ac:dyDescent="0.3">
      <c r="A2641" t="s">
        <v>44</v>
      </c>
      <c r="B2641" t="s">
        <v>2920</v>
      </c>
      <c r="C2641" t="s">
        <v>458</v>
      </c>
      <c r="D2641" t="s">
        <v>7434</v>
      </c>
      <c r="E2641" t="s">
        <v>75</v>
      </c>
    </row>
    <row r="2642" spans="1:5" x14ac:dyDescent="0.3">
      <c r="A2642" t="s">
        <v>224</v>
      </c>
      <c r="B2642" t="s">
        <v>7439</v>
      </c>
      <c r="C2642" t="s">
        <v>460</v>
      </c>
      <c r="D2642" t="s">
        <v>7438</v>
      </c>
      <c r="E2642" t="s">
        <v>75</v>
      </c>
    </row>
    <row r="2643" spans="1:5" x14ac:dyDescent="0.3">
      <c r="A2643" t="s">
        <v>3656</v>
      </c>
      <c r="B2643" t="s">
        <v>2393</v>
      </c>
      <c r="C2643" t="s">
        <v>698</v>
      </c>
      <c r="D2643" t="s">
        <v>7440</v>
      </c>
      <c r="E2643" t="s">
        <v>75</v>
      </c>
    </row>
    <row r="2644" spans="1:5" x14ac:dyDescent="0.3">
      <c r="A2644" t="s">
        <v>1045</v>
      </c>
      <c r="B2644" t="s">
        <v>3955</v>
      </c>
      <c r="C2644" t="s">
        <v>458</v>
      </c>
      <c r="D2644" t="s">
        <v>7441</v>
      </c>
      <c r="E2644" t="s">
        <v>75</v>
      </c>
    </row>
    <row r="2645" spans="1:5" x14ac:dyDescent="0.3">
      <c r="A2645" t="s">
        <v>322</v>
      </c>
      <c r="B2645" t="s">
        <v>6552</v>
      </c>
      <c r="C2645" t="s">
        <v>467</v>
      </c>
      <c r="D2645" t="s">
        <v>7442</v>
      </c>
      <c r="E2645" t="s">
        <v>75</v>
      </c>
    </row>
    <row r="2646" spans="1:5" x14ac:dyDescent="0.3">
      <c r="A2646" t="s">
        <v>185</v>
      </c>
      <c r="B2646" t="s">
        <v>2519</v>
      </c>
      <c r="C2646" t="s">
        <v>460</v>
      </c>
      <c r="D2646" t="s">
        <v>7443</v>
      </c>
      <c r="E2646" t="s">
        <v>75</v>
      </c>
    </row>
    <row r="2647" spans="1:5" x14ac:dyDescent="0.3">
      <c r="A2647" t="s">
        <v>82</v>
      </c>
      <c r="B2647" t="s">
        <v>3849</v>
      </c>
      <c r="C2647" t="s">
        <v>7289</v>
      </c>
      <c r="D2647" t="s">
        <v>7443</v>
      </c>
      <c r="E2647" t="s">
        <v>75</v>
      </c>
    </row>
    <row r="2648" spans="1:5" x14ac:dyDescent="0.3">
      <c r="A2648" t="s">
        <v>76</v>
      </c>
      <c r="B2648" t="s">
        <v>4576</v>
      </c>
      <c r="C2648" t="s">
        <v>718</v>
      </c>
      <c r="D2648" t="s">
        <v>7444</v>
      </c>
      <c r="E2648" t="s">
        <v>75</v>
      </c>
    </row>
    <row r="2649" spans="1:5" x14ac:dyDescent="0.3">
      <c r="A2649" t="s">
        <v>111</v>
      </c>
      <c r="B2649" t="s">
        <v>7445</v>
      </c>
      <c r="C2649" t="s">
        <v>862</v>
      </c>
      <c r="D2649" t="s">
        <v>7444</v>
      </c>
      <c r="E2649" t="s">
        <v>75</v>
      </c>
    </row>
    <row r="2650" spans="1:5" x14ac:dyDescent="0.3">
      <c r="A2650" t="s">
        <v>3597</v>
      </c>
      <c r="B2650" t="s">
        <v>7174</v>
      </c>
      <c r="C2650" t="s">
        <v>459</v>
      </c>
      <c r="D2650" t="s">
        <v>7444</v>
      </c>
      <c r="E2650" t="s">
        <v>75</v>
      </c>
    </row>
    <row r="2651" spans="1:5" x14ac:dyDescent="0.3">
      <c r="A2651" t="s">
        <v>3120</v>
      </c>
      <c r="B2651" t="s">
        <v>7446</v>
      </c>
      <c r="C2651" t="s">
        <v>461</v>
      </c>
      <c r="D2651" t="s">
        <v>7444</v>
      </c>
      <c r="E2651" t="s">
        <v>75</v>
      </c>
    </row>
    <row r="2652" spans="1:5" x14ac:dyDescent="0.3">
      <c r="A2652" t="s">
        <v>7449</v>
      </c>
      <c r="B2652" t="s">
        <v>7450</v>
      </c>
      <c r="C2652" t="s">
        <v>467</v>
      </c>
      <c r="D2652" t="s">
        <v>7448</v>
      </c>
      <c r="E2652" t="s">
        <v>75</v>
      </c>
    </row>
    <row r="2653" spans="1:5" x14ac:dyDescent="0.3">
      <c r="A2653" t="s">
        <v>104</v>
      </c>
      <c r="B2653" t="s">
        <v>7453</v>
      </c>
      <c r="C2653" t="s">
        <v>7452</v>
      </c>
      <c r="D2653" t="s">
        <v>7451</v>
      </c>
      <c r="E2653" t="s">
        <v>75</v>
      </c>
    </row>
    <row r="2654" spans="1:5" x14ac:dyDescent="0.3">
      <c r="A2654" t="s">
        <v>952</v>
      </c>
      <c r="B2654" t="s">
        <v>7454</v>
      </c>
      <c r="C2654" t="s">
        <v>518</v>
      </c>
      <c r="D2654" t="s">
        <v>2811</v>
      </c>
      <c r="E2654" t="s">
        <v>781</v>
      </c>
    </row>
    <row r="2655" spans="1:5" x14ac:dyDescent="0.3">
      <c r="A2655" t="s">
        <v>1386</v>
      </c>
      <c r="B2655" t="s">
        <v>7456</v>
      </c>
      <c r="C2655" t="s">
        <v>467</v>
      </c>
      <c r="D2655" t="s">
        <v>7455</v>
      </c>
      <c r="E2655" t="s">
        <v>75</v>
      </c>
    </row>
    <row r="2656" spans="1:5" x14ac:dyDescent="0.3">
      <c r="A2656" t="s">
        <v>129</v>
      </c>
      <c r="B2656" t="s">
        <v>1032</v>
      </c>
      <c r="C2656" t="s">
        <v>7458</v>
      </c>
      <c r="D2656" t="s">
        <v>7457</v>
      </c>
      <c r="E2656" t="s">
        <v>75</v>
      </c>
    </row>
    <row r="2657" spans="1:5" x14ac:dyDescent="0.3">
      <c r="A2657" t="s">
        <v>195</v>
      </c>
      <c r="B2657" t="s">
        <v>7461</v>
      </c>
      <c r="C2657" t="s">
        <v>460</v>
      </c>
      <c r="D2657" t="s">
        <v>7460</v>
      </c>
      <c r="E2657" t="s">
        <v>75</v>
      </c>
    </row>
    <row r="2658" spans="1:5" x14ac:dyDescent="0.3">
      <c r="A2658" t="s">
        <v>2388</v>
      </c>
      <c r="B2658" t="s">
        <v>7463</v>
      </c>
      <c r="C2658" t="s">
        <v>461</v>
      </c>
      <c r="D2658" t="s">
        <v>7462</v>
      </c>
      <c r="E2658" t="s">
        <v>75</v>
      </c>
    </row>
    <row r="2659" spans="1:5" x14ac:dyDescent="0.3">
      <c r="A2659" t="s">
        <v>7467</v>
      </c>
      <c r="B2659" t="s">
        <v>7468</v>
      </c>
      <c r="C2659" t="s">
        <v>698</v>
      </c>
      <c r="D2659" t="s">
        <v>7466</v>
      </c>
      <c r="E2659" t="s">
        <v>75</v>
      </c>
    </row>
    <row r="2660" spans="1:5" x14ac:dyDescent="0.3">
      <c r="A2660" t="s">
        <v>7465</v>
      </c>
      <c r="B2660" t="s">
        <v>5954</v>
      </c>
      <c r="C2660" t="s">
        <v>457</v>
      </c>
      <c r="D2660" t="s">
        <v>7472</v>
      </c>
      <c r="E2660" t="s">
        <v>75</v>
      </c>
    </row>
    <row r="2661" spans="1:5" x14ac:dyDescent="0.3">
      <c r="A2661" t="s">
        <v>1358</v>
      </c>
      <c r="B2661" t="s">
        <v>3778</v>
      </c>
      <c r="C2661" t="s">
        <v>459</v>
      </c>
      <c r="D2661" t="s">
        <v>7474</v>
      </c>
      <c r="E2661" t="s">
        <v>75</v>
      </c>
    </row>
    <row r="2662" spans="1:5" x14ac:dyDescent="0.3">
      <c r="A2662" t="s">
        <v>7470</v>
      </c>
      <c r="B2662" t="s">
        <v>7477</v>
      </c>
      <c r="C2662" t="s">
        <v>7476</v>
      </c>
      <c r="D2662" t="s">
        <v>7475</v>
      </c>
      <c r="E2662" t="s">
        <v>75</v>
      </c>
    </row>
    <row r="2663" spans="1:5" x14ac:dyDescent="0.3">
      <c r="A2663" t="s">
        <v>64</v>
      </c>
      <c r="B2663" t="s">
        <v>7479</v>
      </c>
      <c r="C2663" t="s">
        <v>461</v>
      </c>
      <c r="D2663" t="s">
        <v>7478</v>
      </c>
      <c r="E2663" t="s">
        <v>75</v>
      </c>
    </row>
    <row r="2664" spans="1:5" x14ac:dyDescent="0.3">
      <c r="A2664" t="s">
        <v>7481</v>
      </c>
      <c r="B2664" t="s">
        <v>7482</v>
      </c>
      <c r="C2664" t="s">
        <v>461</v>
      </c>
      <c r="D2664" t="s">
        <v>7480</v>
      </c>
      <c r="E2664" t="s">
        <v>774</v>
      </c>
    </row>
    <row r="2665" spans="1:5" x14ac:dyDescent="0.3">
      <c r="A2665" t="s">
        <v>154</v>
      </c>
      <c r="B2665" t="s">
        <v>155</v>
      </c>
      <c r="C2665" t="s">
        <v>156</v>
      </c>
      <c r="D2665" t="s">
        <v>7483</v>
      </c>
      <c r="E2665" t="s">
        <v>75</v>
      </c>
    </row>
    <row r="2666" spans="1:5" x14ac:dyDescent="0.3">
      <c r="A2666" t="s">
        <v>7485</v>
      </c>
      <c r="B2666" t="s">
        <v>2830</v>
      </c>
      <c r="C2666" t="s">
        <v>7486</v>
      </c>
      <c r="D2666" t="s">
        <v>7484</v>
      </c>
      <c r="E2666" t="s">
        <v>75</v>
      </c>
    </row>
    <row r="2667" spans="1:5" x14ac:dyDescent="0.3">
      <c r="A2667" t="s">
        <v>2589</v>
      </c>
      <c r="B2667" t="s">
        <v>7489</v>
      </c>
      <c r="C2667" t="s">
        <v>467</v>
      </c>
      <c r="D2667" t="s">
        <v>7488</v>
      </c>
      <c r="E2667" t="s">
        <v>75</v>
      </c>
    </row>
    <row r="2668" spans="1:5" x14ac:dyDescent="0.3">
      <c r="A2668" t="s">
        <v>77</v>
      </c>
      <c r="B2668" t="s">
        <v>6170</v>
      </c>
      <c r="C2668" t="s">
        <v>7491</v>
      </c>
      <c r="D2668" t="s">
        <v>7490</v>
      </c>
      <c r="E2668" t="s">
        <v>75</v>
      </c>
    </row>
    <row r="2669" spans="1:5" x14ac:dyDescent="0.3">
      <c r="A2669" t="s">
        <v>13056</v>
      </c>
      <c r="B2669" t="s">
        <v>5037</v>
      </c>
      <c r="C2669" t="s">
        <v>5054</v>
      </c>
      <c r="D2669" t="s">
        <v>7492</v>
      </c>
      <c r="E2669" t="s">
        <v>75</v>
      </c>
    </row>
    <row r="2670" spans="1:5" x14ac:dyDescent="0.3">
      <c r="A2670" t="s">
        <v>11197</v>
      </c>
      <c r="B2670" t="s">
        <v>7494</v>
      </c>
      <c r="C2670" t="s">
        <v>461</v>
      </c>
      <c r="D2670" t="s">
        <v>7493</v>
      </c>
      <c r="E2670" t="s">
        <v>75</v>
      </c>
    </row>
    <row r="2671" spans="1:5" x14ac:dyDescent="0.3">
      <c r="A2671" t="s">
        <v>352</v>
      </c>
      <c r="B2671" t="s">
        <v>4739</v>
      </c>
      <c r="C2671" t="s">
        <v>457</v>
      </c>
    </row>
    <row r="2672" spans="1:5" x14ac:dyDescent="0.3">
      <c r="A2672" t="s">
        <v>113</v>
      </c>
      <c r="B2672" t="s">
        <v>3471</v>
      </c>
      <c r="C2672" t="s">
        <v>460</v>
      </c>
      <c r="D2672" t="s">
        <v>7496</v>
      </c>
      <c r="E2672" t="s">
        <v>75</v>
      </c>
    </row>
    <row r="2673" spans="1:5" x14ac:dyDescent="0.3">
      <c r="A2673" t="s">
        <v>182</v>
      </c>
      <c r="B2673" t="s">
        <v>7498</v>
      </c>
      <c r="C2673" t="s">
        <v>467</v>
      </c>
      <c r="D2673" t="s">
        <v>7497</v>
      </c>
      <c r="E2673" t="s">
        <v>75</v>
      </c>
    </row>
    <row r="2674" spans="1:5" x14ac:dyDescent="0.3">
      <c r="A2674" t="s">
        <v>290</v>
      </c>
      <c r="B2674" t="s">
        <v>1142</v>
      </c>
      <c r="C2674" t="s">
        <v>459</v>
      </c>
      <c r="D2674" t="s">
        <v>7497</v>
      </c>
      <c r="E2674" t="s">
        <v>75</v>
      </c>
    </row>
    <row r="2675" spans="1:5" x14ac:dyDescent="0.3">
      <c r="A2675" t="s">
        <v>2143</v>
      </c>
      <c r="B2675" t="s">
        <v>4149</v>
      </c>
      <c r="C2675" t="s">
        <v>459</v>
      </c>
      <c r="D2675" t="s">
        <v>7499</v>
      </c>
      <c r="E2675" t="s">
        <v>75</v>
      </c>
    </row>
    <row r="2676" spans="1:5" x14ac:dyDescent="0.3">
      <c r="A2676" t="s">
        <v>4474</v>
      </c>
      <c r="B2676" t="s">
        <v>3007</v>
      </c>
      <c r="C2676" t="s">
        <v>467</v>
      </c>
      <c r="D2676" t="s">
        <v>7501</v>
      </c>
      <c r="E2676" t="s">
        <v>75</v>
      </c>
    </row>
    <row r="2677" spans="1:5" x14ac:dyDescent="0.3">
      <c r="A2677" t="s">
        <v>190</v>
      </c>
      <c r="B2677" t="s">
        <v>287</v>
      </c>
      <c r="C2677" t="s">
        <v>467</v>
      </c>
      <c r="D2677" t="s">
        <v>7503</v>
      </c>
      <c r="E2677" t="s">
        <v>75</v>
      </c>
    </row>
    <row r="2678" spans="1:5" x14ac:dyDescent="0.3">
      <c r="A2678" t="s">
        <v>7505</v>
      </c>
      <c r="B2678" t="s">
        <v>4032</v>
      </c>
      <c r="C2678" t="s">
        <v>467</v>
      </c>
      <c r="D2678" t="s">
        <v>7504</v>
      </c>
      <c r="E2678" t="s">
        <v>75</v>
      </c>
    </row>
    <row r="2679" spans="1:5" x14ac:dyDescent="0.3">
      <c r="A2679" t="s">
        <v>50</v>
      </c>
      <c r="B2679" t="s">
        <v>7507</v>
      </c>
      <c r="C2679" t="s">
        <v>467</v>
      </c>
      <c r="D2679" t="s">
        <v>7506</v>
      </c>
      <c r="E2679" t="s">
        <v>75</v>
      </c>
    </row>
    <row r="2680" spans="1:5" x14ac:dyDescent="0.3">
      <c r="A2680" t="s">
        <v>7508</v>
      </c>
      <c r="B2680" t="s">
        <v>245</v>
      </c>
      <c r="C2680" t="s">
        <v>467</v>
      </c>
      <c r="D2680" t="s">
        <v>7506</v>
      </c>
      <c r="E2680" t="s">
        <v>75</v>
      </c>
    </row>
    <row r="2681" spans="1:5" x14ac:dyDescent="0.3">
      <c r="A2681" t="s">
        <v>7510</v>
      </c>
      <c r="B2681" t="s">
        <v>3786</v>
      </c>
      <c r="C2681" t="s">
        <v>461</v>
      </c>
      <c r="D2681" t="s">
        <v>7509</v>
      </c>
      <c r="E2681" t="s">
        <v>75</v>
      </c>
    </row>
    <row r="2682" spans="1:5" x14ac:dyDescent="0.3">
      <c r="A2682" t="s">
        <v>3254</v>
      </c>
      <c r="B2682" t="s">
        <v>7512</v>
      </c>
      <c r="C2682" t="s">
        <v>5328</v>
      </c>
      <c r="D2682" t="s">
        <v>7511</v>
      </c>
      <c r="E2682" t="s">
        <v>75</v>
      </c>
    </row>
    <row r="2683" spans="1:5" x14ac:dyDescent="0.3">
      <c r="A2683" t="s">
        <v>2458</v>
      </c>
      <c r="B2683" t="s">
        <v>7514</v>
      </c>
      <c r="C2683" t="s">
        <v>467</v>
      </c>
      <c r="D2683" t="s">
        <v>7513</v>
      </c>
      <c r="E2683" t="s">
        <v>75</v>
      </c>
    </row>
    <row r="2684" spans="1:5" x14ac:dyDescent="0.3">
      <c r="A2684" t="s">
        <v>3278</v>
      </c>
      <c r="B2684" t="s">
        <v>5853</v>
      </c>
      <c r="C2684" t="s">
        <v>7516</v>
      </c>
      <c r="D2684" t="s">
        <v>7515</v>
      </c>
      <c r="E2684" t="s">
        <v>75</v>
      </c>
    </row>
    <row r="2685" spans="1:5" x14ac:dyDescent="0.3">
      <c r="A2685" t="s">
        <v>160</v>
      </c>
      <c r="B2685" t="s">
        <v>3577</v>
      </c>
      <c r="C2685" t="s">
        <v>862</v>
      </c>
      <c r="D2685" t="s">
        <v>7517</v>
      </c>
      <c r="E2685" t="s">
        <v>75</v>
      </c>
    </row>
    <row r="2686" spans="1:5" x14ac:dyDescent="0.3">
      <c r="A2686" t="s">
        <v>109</v>
      </c>
      <c r="B2686" t="s">
        <v>5618</v>
      </c>
      <c r="C2686" t="s">
        <v>7519</v>
      </c>
      <c r="D2686" t="s">
        <v>7518</v>
      </c>
      <c r="E2686" t="s">
        <v>75</v>
      </c>
    </row>
    <row r="2687" spans="1:5" x14ac:dyDescent="0.3">
      <c r="A2687" t="s">
        <v>331</v>
      </c>
      <c r="B2687" t="s">
        <v>3859</v>
      </c>
      <c r="C2687" t="s">
        <v>7521</v>
      </c>
      <c r="D2687" t="s">
        <v>7520</v>
      </c>
      <c r="E2687" t="s">
        <v>75</v>
      </c>
    </row>
    <row r="2688" spans="1:5" x14ac:dyDescent="0.3">
      <c r="A2688" t="s">
        <v>7524</v>
      </c>
      <c r="B2688" t="s">
        <v>6071</v>
      </c>
      <c r="C2688" t="s">
        <v>467</v>
      </c>
      <c r="D2688" t="s">
        <v>7523</v>
      </c>
      <c r="E2688" t="s">
        <v>75</v>
      </c>
    </row>
    <row r="2689" spans="1:5" x14ac:dyDescent="0.3">
      <c r="A2689" t="s">
        <v>225</v>
      </c>
      <c r="B2689" t="s">
        <v>3989</v>
      </c>
      <c r="C2689" t="s">
        <v>459</v>
      </c>
      <c r="D2689" t="s">
        <v>7523</v>
      </c>
      <c r="E2689" t="s">
        <v>75</v>
      </c>
    </row>
    <row r="2690" spans="1:5" x14ac:dyDescent="0.3">
      <c r="A2690" t="s">
        <v>3890</v>
      </c>
      <c r="B2690" t="s">
        <v>7526</v>
      </c>
      <c r="C2690" t="s">
        <v>457</v>
      </c>
      <c r="D2690" t="s">
        <v>7525</v>
      </c>
      <c r="E2690" t="s">
        <v>75</v>
      </c>
    </row>
    <row r="2691" spans="1:5" x14ac:dyDescent="0.3">
      <c r="A2691" t="s">
        <v>153</v>
      </c>
      <c r="B2691" t="s">
        <v>1061</v>
      </c>
      <c r="C2691" t="s">
        <v>7528</v>
      </c>
      <c r="D2691" t="s">
        <v>7527</v>
      </c>
      <c r="E2691" t="s">
        <v>75</v>
      </c>
    </row>
    <row r="2692" spans="1:5" x14ac:dyDescent="0.3">
      <c r="A2692" t="s">
        <v>65</v>
      </c>
      <c r="B2692" t="s">
        <v>4768</v>
      </c>
      <c r="C2692" t="s">
        <v>461</v>
      </c>
      <c r="D2692" t="s">
        <v>7529</v>
      </c>
      <c r="E2692" t="s">
        <v>75</v>
      </c>
    </row>
    <row r="2693" spans="1:5" x14ac:dyDescent="0.3">
      <c r="A2693" t="s">
        <v>1429</v>
      </c>
      <c r="B2693" t="s">
        <v>4526</v>
      </c>
      <c r="C2693" t="s">
        <v>467</v>
      </c>
      <c r="D2693" t="s">
        <v>7530</v>
      </c>
      <c r="E2693" t="s">
        <v>75</v>
      </c>
    </row>
    <row r="2694" spans="1:5" x14ac:dyDescent="0.3">
      <c r="A2694" t="s">
        <v>7532</v>
      </c>
      <c r="B2694" t="s">
        <v>3836</v>
      </c>
      <c r="C2694" t="s">
        <v>7533</v>
      </c>
      <c r="D2694" t="s">
        <v>7531</v>
      </c>
      <c r="E2694" t="s">
        <v>75</v>
      </c>
    </row>
    <row r="2695" spans="1:5" x14ac:dyDescent="0.3">
      <c r="A2695" t="s">
        <v>14</v>
      </c>
      <c r="B2695" t="s">
        <v>7534</v>
      </c>
      <c r="C2695" t="s">
        <v>518</v>
      </c>
      <c r="D2695" t="s">
        <v>7531</v>
      </c>
      <c r="E2695" t="s">
        <v>75</v>
      </c>
    </row>
    <row r="2696" spans="1:5" x14ac:dyDescent="0.3">
      <c r="A2696" t="s">
        <v>3760</v>
      </c>
      <c r="B2696" t="s">
        <v>7538</v>
      </c>
      <c r="C2696" t="s">
        <v>467</v>
      </c>
      <c r="D2696" t="s">
        <v>7537</v>
      </c>
      <c r="E2696" t="s">
        <v>75</v>
      </c>
    </row>
    <row r="2697" spans="1:5" x14ac:dyDescent="0.3">
      <c r="A2697" t="s">
        <v>3742</v>
      </c>
      <c r="B2697" t="s">
        <v>7540</v>
      </c>
      <c r="C2697" t="s">
        <v>461</v>
      </c>
      <c r="D2697" t="s">
        <v>7539</v>
      </c>
      <c r="E2697" t="s">
        <v>75</v>
      </c>
    </row>
    <row r="2698" spans="1:5" x14ac:dyDescent="0.3">
      <c r="A2698" t="s">
        <v>259</v>
      </c>
      <c r="B2698" t="s">
        <v>4210</v>
      </c>
      <c r="C2698" t="s">
        <v>456</v>
      </c>
      <c r="D2698" t="s">
        <v>7541</v>
      </c>
      <c r="E2698" t="s">
        <v>75</v>
      </c>
    </row>
    <row r="2699" spans="1:5" x14ac:dyDescent="0.3">
      <c r="A2699" t="s">
        <v>79</v>
      </c>
      <c r="B2699" t="s">
        <v>3834</v>
      </c>
      <c r="C2699" t="s">
        <v>457</v>
      </c>
      <c r="D2699" t="s">
        <v>7542</v>
      </c>
      <c r="E2699" t="s">
        <v>75</v>
      </c>
    </row>
    <row r="2700" spans="1:5" x14ac:dyDescent="0.3">
      <c r="A2700" t="s">
        <v>1433</v>
      </c>
      <c r="B2700" t="s">
        <v>4644</v>
      </c>
      <c r="C2700" t="s">
        <v>862</v>
      </c>
      <c r="D2700" t="s">
        <v>7542</v>
      </c>
      <c r="E2700" t="s">
        <v>75</v>
      </c>
    </row>
    <row r="2701" spans="1:5" x14ac:dyDescent="0.3">
      <c r="A2701" t="s">
        <v>130</v>
      </c>
      <c r="B2701" t="s">
        <v>3426</v>
      </c>
      <c r="C2701" t="s">
        <v>461</v>
      </c>
      <c r="D2701" t="s">
        <v>7542</v>
      </c>
      <c r="E2701" t="s">
        <v>75</v>
      </c>
    </row>
    <row r="2702" spans="1:5" x14ac:dyDescent="0.3">
      <c r="A2702" t="s">
        <v>79</v>
      </c>
      <c r="B2702" t="s">
        <v>199</v>
      </c>
      <c r="C2702" t="s">
        <v>467</v>
      </c>
      <c r="D2702" t="s">
        <v>7542</v>
      </c>
      <c r="E2702" t="s">
        <v>75</v>
      </c>
    </row>
    <row r="2703" spans="1:5" x14ac:dyDescent="0.3">
      <c r="A2703" t="s">
        <v>224</v>
      </c>
      <c r="B2703" t="s">
        <v>1146</v>
      </c>
      <c r="C2703" t="s">
        <v>7543</v>
      </c>
      <c r="D2703" t="s">
        <v>7542</v>
      </c>
      <c r="E2703" t="s">
        <v>75</v>
      </c>
    </row>
    <row r="2704" spans="1:5" x14ac:dyDescent="0.3">
      <c r="A2704" t="s">
        <v>34</v>
      </c>
      <c r="B2704" t="s">
        <v>7007</v>
      </c>
      <c r="C2704" t="s">
        <v>7545</v>
      </c>
      <c r="D2704" t="s">
        <v>7544</v>
      </c>
      <c r="E2704" t="s">
        <v>75</v>
      </c>
    </row>
    <row r="2705" spans="1:5" x14ac:dyDescent="0.3">
      <c r="A2705" t="s">
        <v>1116</v>
      </c>
      <c r="B2705" t="s">
        <v>7547</v>
      </c>
      <c r="C2705" t="s">
        <v>461</v>
      </c>
      <c r="D2705" t="s">
        <v>7546</v>
      </c>
      <c r="E2705" t="s">
        <v>75</v>
      </c>
    </row>
    <row r="2706" spans="1:5" x14ac:dyDescent="0.3">
      <c r="A2706" t="s">
        <v>59</v>
      </c>
      <c r="B2706" t="s">
        <v>7550</v>
      </c>
      <c r="C2706" t="s">
        <v>7549</v>
      </c>
      <c r="D2706" t="s">
        <v>7548</v>
      </c>
      <c r="E2706" t="s">
        <v>75</v>
      </c>
    </row>
    <row r="2707" spans="1:5" x14ac:dyDescent="0.3">
      <c r="A2707" t="s">
        <v>7552</v>
      </c>
      <c r="B2707" t="s">
        <v>3249</v>
      </c>
      <c r="C2707" t="s">
        <v>7553</v>
      </c>
      <c r="D2707" t="s">
        <v>7551</v>
      </c>
      <c r="E2707" t="s">
        <v>75</v>
      </c>
    </row>
    <row r="2708" spans="1:5" x14ac:dyDescent="0.3">
      <c r="A2708" t="s">
        <v>2599</v>
      </c>
      <c r="B2708" t="s">
        <v>7555</v>
      </c>
      <c r="C2708" t="s">
        <v>461</v>
      </c>
      <c r="D2708" t="s">
        <v>7554</v>
      </c>
      <c r="E2708" t="s">
        <v>75</v>
      </c>
    </row>
    <row r="2709" spans="1:5" x14ac:dyDescent="0.3">
      <c r="A2709" t="s">
        <v>875</v>
      </c>
      <c r="B2709" t="s">
        <v>7557</v>
      </c>
      <c r="C2709" t="s">
        <v>467</v>
      </c>
      <c r="D2709" t="s">
        <v>7556</v>
      </c>
      <c r="E2709" t="s">
        <v>75</v>
      </c>
    </row>
    <row r="2710" spans="1:5" x14ac:dyDescent="0.3">
      <c r="A2710" t="s">
        <v>22</v>
      </c>
      <c r="B2710" t="s">
        <v>7559</v>
      </c>
      <c r="C2710" t="s">
        <v>460</v>
      </c>
      <c r="D2710" t="s">
        <v>7558</v>
      </c>
      <c r="E2710" t="s">
        <v>75</v>
      </c>
    </row>
    <row r="2711" spans="1:5" x14ac:dyDescent="0.3">
      <c r="A2711" t="s">
        <v>2719</v>
      </c>
      <c r="B2711" t="s">
        <v>7364</v>
      </c>
      <c r="C2711" t="s">
        <v>467</v>
      </c>
      <c r="D2711" t="s">
        <v>7560</v>
      </c>
      <c r="E2711" t="s">
        <v>75</v>
      </c>
    </row>
    <row r="2712" spans="1:5" x14ac:dyDescent="0.3">
      <c r="A2712" t="s">
        <v>864</v>
      </c>
      <c r="B2712" t="s">
        <v>7562</v>
      </c>
      <c r="C2712" t="s">
        <v>461</v>
      </c>
      <c r="D2712" t="s">
        <v>7561</v>
      </c>
      <c r="E2712" t="s">
        <v>75</v>
      </c>
    </row>
    <row r="2713" spans="1:5" x14ac:dyDescent="0.3">
      <c r="A2713" t="s">
        <v>157</v>
      </c>
      <c r="B2713" t="s">
        <v>7564</v>
      </c>
      <c r="C2713" t="s">
        <v>467</v>
      </c>
      <c r="D2713" t="s">
        <v>7563</v>
      </c>
      <c r="E2713" t="s">
        <v>75</v>
      </c>
    </row>
    <row r="2714" spans="1:5" x14ac:dyDescent="0.3">
      <c r="A2714" t="s">
        <v>66</v>
      </c>
      <c r="B2714" t="s">
        <v>7500</v>
      </c>
      <c r="C2714" t="s">
        <v>459</v>
      </c>
      <c r="D2714" t="s">
        <v>7563</v>
      </c>
      <c r="E2714" t="s">
        <v>75</v>
      </c>
    </row>
    <row r="2715" spans="1:5" x14ac:dyDescent="0.3">
      <c r="A2715" t="s">
        <v>3325</v>
      </c>
      <c r="B2715" t="s">
        <v>2972</v>
      </c>
      <c r="C2715" t="s">
        <v>460</v>
      </c>
      <c r="D2715" t="s">
        <v>7565</v>
      </c>
      <c r="E2715" t="s">
        <v>75</v>
      </c>
    </row>
    <row r="2716" spans="1:5" x14ac:dyDescent="0.3">
      <c r="A2716" t="s">
        <v>290</v>
      </c>
      <c r="B2716" t="s">
        <v>7566</v>
      </c>
      <c r="C2716" t="s">
        <v>457</v>
      </c>
      <c r="D2716" t="s">
        <v>7502</v>
      </c>
      <c r="E2716" t="s">
        <v>75</v>
      </c>
    </row>
    <row r="2717" spans="1:5" x14ac:dyDescent="0.3">
      <c r="A2717" t="s">
        <v>1134</v>
      </c>
      <c r="B2717" t="s">
        <v>7568</v>
      </c>
      <c r="C2717" t="s">
        <v>457</v>
      </c>
      <c r="D2717" t="s">
        <v>7567</v>
      </c>
      <c r="E2717" t="s">
        <v>75</v>
      </c>
    </row>
    <row r="2718" spans="1:5" x14ac:dyDescent="0.3">
      <c r="A2718" t="s">
        <v>113</v>
      </c>
      <c r="B2718" t="s">
        <v>114</v>
      </c>
      <c r="C2718" t="s">
        <v>115</v>
      </c>
      <c r="D2718" t="s">
        <v>7569</v>
      </c>
      <c r="E2718" t="s">
        <v>75</v>
      </c>
    </row>
    <row r="2719" spans="1:5" x14ac:dyDescent="0.3">
      <c r="A2719" t="s">
        <v>1166</v>
      </c>
      <c r="B2719" t="s">
        <v>7570</v>
      </c>
      <c r="C2719" t="s">
        <v>862</v>
      </c>
      <c r="D2719" t="s">
        <v>7569</v>
      </c>
      <c r="E2719" t="s">
        <v>75</v>
      </c>
    </row>
    <row r="2720" spans="1:5" x14ac:dyDescent="0.3">
      <c r="A2720" t="s">
        <v>3614</v>
      </c>
      <c r="B2720" t="s">
        <v>7571</v>
      </c>
      <c r="C2720" t="s">
        <v>862</v>
      </c>
      <c r="D2720" t="s">
        <v>7569</v>
      </c>
      <c r="E2720" t="s">
        <v>75</v>
      </c>
    </row>
    <row r="2721" spans="1:5" x14ac:dyDescent="0.3">
      <c r="A2721" t="s">
        <v>1470</v>
      </c>
      <c r="B2721" t="s">
        <v>3249</v>
      </c>
      <c r="C2721" t="s">
        <v>7572</v>
      </c>
      <c r="D2721" t="s">
        <v>7569</v>
      </c>
      <c r="E2721" t="s">
        <v>75</v>
      </c>
    </row>
    <row r="2722" spans="1:5" x14ac:dyDescent="0.3">
      <c r="A2722" t="s">
        <v>1334</v>
      </c>
      <c r="B2722" t="s">
        <v>7573</v>
      </c>
      <c r="C2722" t="s">
        <v>5291</v>
      </c>
      <c r="D2722" t="s">
        <v>7569</v>
      </c>
      <c r="E2722" t="s">
        <v>75</v>
      </c>
    </row>
    <row r="2723" spans="1:5" x14ac:dyDescent="0.3">
      <c r="A2723" t="s">
        <v>2981</v>
      </c>
      <c r="B2723" t="s">
        <v>199</v>
      </c>
      <c r="C2723" t="s">
        <v>467</v>
      </c>
      <c r="D2723" t="s">
        <v>7575</v>
      </c>
      <c r="E2723" t="s">
        <v>75</v>
      </c>
    </row>
    <row r="2724" spans="1:5" x14ac:dyDescent="0.3">
      <c r="A2724" t="s">
        <v>931</v>
      </c>
      <c r="B2724" t="s">
        <v>3246</v>
      </c>
      <c r="C2724" t="s">
        <v>467</v>
      </c>
      <c r="D2724" t="s">
        <v>7576</v>
      </c>
      <c r="E2724" t="s">
        <v>75</v>
      </c>
    </row>
    <row r="2725" spans="1:5" x14ac:dyDescent="0.3">
      <c r="A2725" t="s">
        <v>1286</v>
      </c>
      <c r="B2725" t="s">
        <v>7577</v>
      </c>
      <c r="C2725" t="s">
        <v>467</v>
      </c>
      <c r="D2725" t="s">
        <v>6633</v>
      </c>
      <c r="E2725" t="s">
        <v>2175</v>
      </c>
    </row>
    <row r="2726" spans="1:5" x14ac:dyDescent="0.3">
      <c r="A2726" t="s">
        <v>347</v>
      </c>
      <c r="B2726" t="s">
        <v>7579</v>
      </c>
      <c r="C2726" t="s">
        <v>628</v>
      </c>
    </row>
    <row r="2727" spans="1:5" x14ac:dyDescent="0.3">
      <c r="A2727" t="s">
        <v>290</v>
      </c>
      <c r="B2727" t="s">
        <v>3672</v>
      </c>
      <c r="C2727" t="s">
        <v>460</v>
      </c>
      <c r="D2727" t="s">
        <v>835</v>
      </c>
      <c r="E2727" t="s">
        <v>75</v>
      </c>
    </row>
    <row r="2728" spans="1:5" x14ac:dyDescent="0.3">
      <c r="A2728" t="s">
        <v>7580</v>
      </c>
      <c r="B2728" t="s">
        <v>7582</v>
      </c>
      <c r="C2728" t="s">
        <v>7581</v>
      </c>
      <c r="D2728" t="s">
        <v>833</v>
      </c>
      <c r="E2728" t="s">
        <v>741</v>
      </c>
    </row>
    <row r="2729" spans="1:5" x14ac:dyDescent="0.3">
      <c r="A2729" t="s">
        <v>89</v>
      </c>
      <c r="B2729" t="s">
        <v>7583</v>
      </c>
      <c r="C2729" t="s">
        <v>460</v>
      </c>
      <c r="D2729" t="s">
        <v>837</v>
      </c>
      <c r="E2729" t="s">
        <v>75</v>
      </c>
    </row>
    <row r="2730" spans="1:5" x14ac:dyDescent="0.3">
      <c r="A2730" t="s">
        <v>331</v>
      </c>
      <c r="B2730" t="s">
        <v>7394</v>
      </c>
      <c r="C2730" t="s">
        <v>7584</v>
      </c>
      <c r="D2730" t="s">
        <v>769</v>
      </c>
      <c r="E2730" t="s">
        <v>1</v>
      </c>
    </row>
    <row r="2731" spans="1:5" x14ac:dyDescent="0.3">
      <c r="A2731" t="s">
        <v>839</v>
      </c>
      <c r="B2731" t="s">
        <v>1449</v>
      </c>
      <c r="C2731" t="s">
        <v>7585</v>
      </c>
      <c r="D2731" t="s">
        <v>769</v>
      </c>
      <c r="E2731" t="s">
        <v>1</v>
      </c>
    </row>
    <row r="2732" spans="1:5" x14ac:dyDescent="0.3">
      <c r="A2732" t="s">
        <v>7586</v>
      </c>
      <c r="B2732" t="s">
        <v>7587</v>
      </c>
      <c r="C2732" t="s">
        <v>862</v>
      </c>
      <c r="D2732" t="s">
        <v>769</v>
      </c>
      <c r="E2732" t="s">
        <v>1</v>
      </c>
    </row>
    <row r="2733" spans="1:5" x14ac:dyDescent="0.3">
      <c r="A2733" t="s">
        <v>2506</v>
      </c>
      <c r="B2733" t="s">
        <v>7588</v>
      </c>
      <c r="C2733" t="s">
        <v>460</v>
      </c>
      <c r="D2733" t="s">
        <v>878</v>
      </c>
      <c r="E2733" t="s">
        <v>75</v>
      </c>
    </row>
    <row r="2734" spans="1:5" x14ac:dyDescent="0.3">
      <c r="A2734" t="s">
        <v>150</v>
      </c>
      <c r="B2734" t="s">
        <v>7589</v>
      </c>
      <c r="C2734" t="s">
        <v>862</v>
      </c>
      <c r="D2734" t="s">
        <v>769</v>
      </c>
      <c r="E2734" t="s">
        <v>1</v>
      </c>
    </row>
    <row r="2735" spans="1:5" x14ac:dyDescent="0.3">
      <c r="A2735" t="s">
        <v>3274</v>
      </c>
      <c r="B2735" t="s">
        <v>3457</v>
      </c>
      <c r="C2735" t="s">
        <v>628</v>
      </c>
      <c r="D2735" t="s">
        <v>7593</v>
      </c>
      <c r="E2735" t="s">
        <v>75</v>
      </c>
    </row>
    <row r="2736" spans="1:5" x14ac:dyDescent="0.3">
      <c r="A2736" t="s">
        <v>64</v>
      </c>
      <c r="B2736" t="s">
        <v>7596</v>
      </c>
      <c r="C2736" t="s">
        <v>7595</v>
      </c>
      <c r="D2736" t="s">
        <v>7594</v>
      </c>
      <c r="E2736" t="s">
        <v>75</v>
      </c>
    </row>
    <row r="2737" spans="1:5" x14ac:dyDescent="0.3">
      <c r="A2737" t="s">
        <v>7598</v>
      </c>
      <c r="B2737" t="s">
        <v>5241</v>
      </c>
      <c r="C2737" t="s">
        <v>2571</v>
      </c>
      <c r="D2737" t="s">
        <v>769</v>
      </c>
      <c r="E2737" t="s">
        <v>1</v>
      </c>
    </row>
    <row r="2738" spans="1:5" x14ac:dyDescent="0.3">
      <c r="A2738" t="s">
        <v>1358</v>
      </c>
      <c r="B2738" t="s">
        <v>7600</v>
      </c>
      <c r="C2738" t="s">
        <v>7599</v>
      </c>
      <c r="D2738" t="s">
        <v>7597</v>
      </c>
      <c r="E2738" t="s">
        <v>743</v>
      </c>
    </row>
    <row r="2739" spans="1:5" x14ac:dyDescent="0.3">
      <c r="A2739" t="s">
        <v>3252</v>
      </c>
      <c r="B2739" t="s">
        <v>3873</v>
      </c>
      <c r="C2739" t="s">
        <v>461</v>
      </c>
      <c r="D2739" t="s">
        <v>1796</v>
      </c>
      <c r="E2739" t="s">
        <v>75</v>
      </c>
    </row>
    <row r="2740" spans="1:5" x14ac:dyDescent="0.3">
      <c r="A2740" t="s">
        <v>7602</v>
      </c>
      <c r="B2740" t="s">
        <v>7603</v>
      </c>
      <c r="C2740" t="s">
        <v>467</v>
      </c>
      <c r="D2740" t="s">
        <v>1854</v>
      </c>
      <c r="E2740" t="s">
        <v>75</v>
      </c>
    </row>
    <row r="2741" spans="1:5" x14ac:dyDescent="0.3">
      <c r="A2741" t="s">
        <v>366</v>
      </c>
      <c r="B2741" t="s">
        <v>7605</v>
      </c>
      <c r="C2741" t="s">
        <v>7604</v>
      </c>
      <c r="D2741" t="s">
        <v>1854</v>
      </c>
      <c r="E2741" t="s">
        <v>75</v>
      </c>
    </row>
    <row r="2742" spans="1:5" x14ac:dyDescent="0.3">
      <c r="A2742" t="s">
        <v>179</v>
      </c>
      <c r="B2742" t="s">
        <v>3799</v>
      </c>
      <c r="C2742" t="s">
        <v>457</v>
      </c>
      <c r="D2742" t="s">
        <v>3799</v>
      </c>
      <c r="E2742" t="s">
        <v>75</v>
      </c>
    </row>
    <row r="2743" spans="1:5" x14ac:dyDescent="0.3">
      <c r="A2743" t="s">
        <v>79</v>
      </c>
      <c r="B2743" t="s">
        <v>1982</v>
      </c>
      <c r="C2743" t="s">
        <v>461</v>
      </c>
      <c r="D2743" t="s">
        <v>7608</v>
      </c>
      <c r="E2743" t="s">
        <v>75</v>
      </c>
    </row>
    <row r="2744" spans="1:5" x14ac:dyDescent="0.3">
      <c r="A2744" t="s">
        <v>1190</v>
      </c>
      <c r="B2744" t="s">
        <v>7609</v>
      </c>
      <c r="C2744" t="s">
        <v>455</v>
      </c>
      <c r="D2744" t="s">
        <v>7608</v>
      </c>
      <c r="E2744" t="s">
        <v>75</v>
      </c>
    </row>
    <row r="2745" spans="1:5" x14ac:dyDescent="0.3">
      <c r="A2745" t="s">
        <v>173</v>
      </c>
      <c r="B2745" t="s">
        <v>7611</v>
      </c>
      <c r="C2745" t="s">
        <v>467</v>
      </c>
      <c r="D2745" t="s">
        <v>2161</v>
      </c>
      <c r="E2745" t="s">
        <v>75</v>
      </c>
    </row>
    <row r="2746" spans="1:5" x14ac:dyDescent="0.3">
      <c r="A2746" t="s">
        <v>7613</v>
      </c>
      <c r="B2746" t="s">
        <v>7614</v>
      </c>
      <c r="C2746" t="s">
        <v>461</v>
      </c>
      <c r="D2746" t="s">
        <v>7612</v>
      </c>
      <c r="E2746" t="s">
        <v>75</v>
      </c>
    </row>
    <row r="2747" spans="1:5" x14ac:dyDescent="0.3">
      <c r="A2747" t="s">
        <v>4015</v>
      </c>
      <c r="B2747" t="s">
        <v>4768</v>
      </c>
      <c r="C2747" t="s">
        <v>7615</v>
      </c>
      <c r="D2747" t="s">
        <v>2334</v>
      </c>
      <c r="E2747" t="s">
        <v>75</v>
      </c>
    </row>
    <row r="2748" spans="1:5" x14ac:dyDescent="0.3">
      <c r="A2748" t="s">
        <v>264</v>
      </c>
      <c r="B2748" t="s">
        <v>4529</v>
      </c>
      <c r="C2748" t="s">
        <v>467</v>
      </c>
      <c r="D2748" t="s">
        <v>794</v>
      </c>
      <c r="E2748" t="s">
        <v>75</v>
      </c>
    </row>
    <row r="2749" spans="1:5" x14ac:dyDescent="0.3">
      <c r="A2749" t="s">
        <v>14</v>
      </c>
      <c r="B2749" t="s">
        <v>7617</v>
      </c>
      <c r="C2749" t="s">
        <v>467</v>
      </c>
      <c r="D2749" t="s">
        <v>2350</v>
      </c>
      <c r="E2749" t="s">
        <v>75</v>
      </c>
    </row>
    <row r="2750" spans="1:5" x14ac:dyDescent="0.3">
      <c r="A2750" t="s">
        <v>113</v>
      </c>
      <c r="B2750" t="s">
        <v>7618</v>
      </c>
      <c r="C2750" t="s">
        <v>518</v>
      </c>
      <c r="D2750" t="s">
        <v>794</v>
      </c>
      <c r="E2750" t="s">
        <v>75</v>
      </c>
    </row>
    <row r="2751" spans="1:5" x14ac:dyDescent="0.3">
      <c r="A2751" t="s">
        <v>411</v>
      </c>
      <c r="B2751" t="s">
        <v>5200</v>
      </c>
      <c r="C2751" t="s">
        <v>7619</v>
      </c>
      <c r="D2751" t="s">
        <v>2350</v>
      </c>
      <c r="E2751" t="s">
        <v>75</v>
      </c>
    </row>
    <row r="2752" spans="1:5" x14ac:dyDescent="0.3">
      <c r="A2752" t="s">
        <v>393</v>
      </c>
      <c r="B2752" t="s">
        <v>394</v>
      </c>
      <c r="C2752" t="s">
        <v>395</v>
      </c>
      <c r="D2752" t="s">
        <v>2435</v>
      </c>
      <c r="E2752" t="s">
        <v>75</v>
      </c>
    </row>
    <row r="2753" spans="1:5" x14ac:dyDescent="0.3">
      <c r="A2753" t="s">
        <v>396</v>
      </c>
      <c r="B2753" t="s">
        <v>397</v>
      </c>
      <c r="C2753" t="s">
        <v>395</v>
      </c>
      <c r="D2753" t="s">
        <v>2435</v>
      </c>
      <c r="E2753" t="s">
        <v>75</v>
      </c>
    </row>
    <row r="2754" spans="1:5" x14ac:dyDescent="0.3">
      <c r="A2754" t="s">
        <v>220</v>
      </c>
      <c r="B2754" t="s">
        <v>4644</v>
      </c>
      <c r="C2754" t="s">
        <v>4449</v>
      </c>
      <c r="D2754" t="s">
        <v>982</v>
      </c>
      <c r="E2754" t="s">
        <v>1</v>
      </c>
    </row>
    <row r="2755" spans="1:5" x14ac:dyDescent="0.3">
      <c r="A2755" t="s">
        <v>259</v>
      </c>
      <c r="B2755" t="s">
        <v>1118</v>
      </c>
      <c r="C2755" t="s">
        <v>467</v>
      </c>
      <c r="D2755" t="s">
        <v>7621</v>
      </c>
      <c r="E2755" t="s">
        <v>75</v>
      </c>
    </row>
    <row r="2756" spans="1:5" x14ac:dyDescent="0.3">
      <c r="A2756" t="s">
        <v>224</v>
      </c>
      <c r="B2756" t="s">
        <v>4047</v>
      </c>
      <c r="C2756" t="s">
        <v>7622</v>
      </c>
    </row>
    <row r="2757" spans="1:5" x14ac:dyDescent="0.3">
      <c r="A2757" t="s">
        <v>66</v>
      </c>
      <c r="B2757" t="s">
        <v>4366</v>
      </c>
      <c r="C2757" t="s">
        <v>7623</v>
      </c>
      <c r="D2757" t="s">
        <v>982</v>
      </c>
      <c r="E2757" t="s">
        <v>1</v>
      </c>
    </row>
    <row r="2758" spans="1:5" x14ac:dyDescent="0.3">
      <c r="A2758" t="s">
        <v>2927</v>
      </c>
      <c r="B2758" t="s">
        <v>7625</v>
      </c>
      <c r="C2758" t="s">
        <v>459</v>
      </c>
      <c r="D2758" t="s">
        <v>954</v>
      </c>
      <c r="E2758" t="s">
        <v>1</v>
      </c>
    </row>
    <row r="2759" spans="1:5" x14ac:dyDescent="0.3">
      <c r="A2759" t="s">
        <v>3208</v>
      </c>
      <c r="B2759" t="s">
        <v>6093</v>
      </c>
      <c r="C2759" t="s">
        <v>460</v>
      </c>
      <c r="D2759" t="s">
        <v>2772</v>
      </c>
      <c r="E2759" t="s">
        <v>75</v>
      </c>
    </row>
    <row r="2760" spans="1:5" x14ac:dyDescent="0.3">
      <c r="A2760" t="s">
        <v>3053</v>
      </c>
      <c r="B2760" t="s">
        <v>7626</v>
      </c>
      <c r="C2760" t="s">
        <v>7308</v>
      </c>
      <c r="D2760" t="s">
        <v>2777</v>
      </c>
      <c r="E2760" t="s">
        <v>75</v>
      </c>
    </row>
    <row r="2761" spans="1:5" x14ac:dyDescent="0.3">
      <c r="A2761" t="s">
        <v>829</v>
      </c>
      <c r="B2761" t="s">
        <v>7627</v>
      </c>
      <c r="C2761" t="s">
        <v>862</v>
      </c>
      <c r="D2761" t="s">
        <v>747</v>
      </c>
      <c r="E2761" t="s">
        <v>1</v>
      </c>
    </row>
    <row r="2762" spans="1:5" x14ac:dyDescent="0.3">
      <c r="A2762" t="s">
        <v>224</v>
      </c>
      <c r="B2762" t="s">
        <v>7629</v>
      </c>
      <c r="C2762" t="s">
        <v>7628</v>
      </c>
      <c r="D2762" t="s">
        <v>747</v>
      </c>
      <c r="E2762" t="s">
        <v>1</v>
      </c>
    </row>
    <row r="2763" spans="1:5" x14ac:dyDescent="0.3">
      <c r="A2763" t="s">
        <v>50</v>
      </c>
      <c r="B2763" t="s">
        <v>199</v>
      </c>
      <c r="C2763" t="s">
        <v>467</v>
      </c>
      <c r="D2763" t="s">
        <v>2780</v>
      </c>
      <c r="E2763" t="s">
        <v>75</v>
      </c>
    </row>
    <row r="2764" spans="1:5" x14ac:dyDescent="0.3">
      <c r="A2764" t="s">
        <v>3150</v>
      </c>
      <c r="B2764" t="s">
        <v>3015</v>
      </c>
      <c r="C2764" t="s">
        <v>862</v>
      </c>
      <c r="D2764" t="s">
        <v>747</v>
      </c>
      <c r="E2764" t="s">
        <v>1</v>
      </c>
    </row>
    <row r="2765" spans="1:5" x14ac:dyDescent="0.3">
      <c r="A2765" t="s">
        <v>41</v>
      </c>
      <c r="B2765" t="s">
        <v>7632</v>
      </c>
      <c r="C2765" t="s">
        <v>7631</v>
      </c>
      <c r="D2765" t="s">
        <v>7630</v>
      </c>
      <c r="E2765" t="s">
        <v>75</v>
      </c>
    </row>
    <row r="2766" spans="1:5" x14ac:dyDescent="0.3">
      <c r="A2766" t="s">
        <v>7634</v>
      </c>
      <c r="B2766" t="s">
        <v>7636</v>
      </c>
      <c r="C2766" t="s">
        <v>7635</v>
      </c>
      <c r="D2766" t="s">
        <v>7633</v>
      </c>
      <c r="E2766" t="s">
        <v>774</v>
      </c>
    </row>
    <row r="2767" spans="1:5" x14ac:dyDescent="0.3">
      <c r="A2767" t="s">
        <v>153</v>
      </c>
      <c r="B2767" t="s">
        <v>7637</v>
      </c>
      <c r="C2767" t="s">
        <v>847</v>
      </c>
      <c r="D2767" t="s">
        <v>845</v>
      </c>
      <c r="E2767" t="s">
        <v>841</v>
      </c>
    </row>
    <row r="2768" spans="1:5" x14ac:dyDescent="0.3">
      <c r="A2768" t="s">
        <v>3322</v>
      </c>
      <c r="B2768" t="s">
        <v>7638</v>
      </c>
      <c r="C2768" t="s">
        <v>2571</v>
      </c>
      <c r="D2768" t="s">
        <v>747</v>
      </c>
      <c r="E2768" t="s">
        <v>1</v>
      </c>
    </row>
    <row r="2769" spans="1:5" x14ac:dyDescent="0.3">
      <c r="A2769" t="s">
        <v>894</v>
      </c>
      <c r="B2769" t="s">
        <v>1615</v>
      </c>
      <c r="C2769" t="s">
        <v>7639</v>
      </c>
      <c r="D2769" t="s">
        <v>6153</v>
      </c>
      <c r="E2769" t="s">
        <v>18</v>
      </c>
    </row>
    <row r="2770" spans="1:5" x14ac:dyDescent="0.3">
      <c r="A2770" t="s">
        <v>129</v>
      </c>
      <c r="B2770" t="s">
        <v>1894</v>
      </c>
      <c r="C2770" t="s">
        <v>467</v>
      </c>
      <c r="D2770" t="s">
        <v>2793</v>
      </c>
      <c r="E2770" t="s">
        <v>75</v>
      </c>
    </row>
    <row r="2771" spans="1:5" x14ac:dyDescent="0.3">
      <c r="A2771" t="s">
        <v>843</v>
      </c>
      <c r="B2771" t="s">
        <v>6903</v>
      </c>
      <c r="C2771" t="s">
        <v>457</v>
      </c>
      <c r="D2771" t="s">
        <v>2880</v>
      </c>
      <c r="E2771" t="s">
        <v>758</v>
      </c>
    </row>
    <row r="2772" spans="1:5" x14ac:dyDescent="0.3">
      <c r="A2772" t="s">
        <v>50</v>
      </c>
      <c r="B2772" t="s">
        <v>3729</v>
      </c>
      <c r="C2772" t="s">
        <v>745</v>
      </c>
      <c r="D2772" t="s">
        <v>7640</v>
      </c>
      <c r="E2772" t="s">
        <v>761</v>
      </c>
    </row>
    <row r="2773" spans="1:5" x14ac:dyDescent="0.3">
      <c r="A2773" t="s">
        <v>1153</v>
      </c>
      <c r="B2773" t="s">
        <v>1432</v>
      </c>
      <c r="C2773" t="s">
        <v>6466</v>
      </c>
      <c r="D2773" t="s">
        <v>7641</v>
      </c>
      <c r="E2773" t="s">
        <v>774</v>
      </c>
    </row>
    <row r="2774" spans="1:5" x14ac:dyDescent="0.3">
      <c r="A2774" t="s">
        <v>7643</v>
      </c>
      <c r="B2774" t="s">
        <v>7402</v>
      </c>
      <c r="C2774" t="s">
        <v>7644</v>
      </c>
      <c r="D2774" t="s">
        <v>7642</v>
      </c>
      <c r="E2774" t="s">
        <v>774</v>
      </c>
    </row>
    <row r="2775" spans="1:5" x14ac:dyDescent="0.3">
      <c r="A2775" t="s">
        <v>875</v>
      </c>
      <c r="B2775" t="s">
        <v>7645</v>
      </c>
      <c r="C2775" t="s">
        <v>2571</v>
      </c>
      <c r="D2775" t="s">
        <v>747</v>
      </c>
      <c r="E2775" t="s">
        <v>1</v>
      </c>
    </row>
    <row r="2776" spans="1:5" x14ac:dyDescent="0.3">
      <c r="A2776" t="s">
        <v>3132</v>
      </c>
      <c r="B2776" t="s">
        <v>7647</v>
      </c>
      <c r="C2776" t="s">
        <v>7646</v>
      </c>
      <c r="D2776" t="s">
        <v>1940</v>
      </c>
      <c r="E2776" t="s">
        <v>743</v>
      </c>
    </row>
    <row r="2777" spans="1:5" x14ac:dyDescent="0.3">
      <c r="A2777" t="s">
        <v>938</v>
      </c>
      <c r="B2777" t="s">
        <v>1298</v>
      </c>
      <c r="C2777" t="s">
        <v>862</v>
      </c>
      <c r="D2777" t="s">
        <v>747</v>
      </c>
      <c r="E2777" t="s">
        <v>1</v>
      </c>
    </row>
    <row r="2778" spans="1:5" x14ac:dyDescent="0.3">
      <c r="A2778" t="s">
        <v>131</v>
      </c>
      <c r="B2778" t="s">
        <v>7649</v>
      </c>
      <c r="C2778" t="s">
        <v>467</v>
      </c>
      <c r="D2778" t="s">
        <v>7648</v>
      </c>
      <c r="E2778" t="s">
        <v>75</v>
      </c>
    </row>
    <row r="2779" spans="1:5" x14ac:dyDescent="0.3">
      <c r="A2779" t="s">
        <v>311</v>
      </c>
      <c r="B2779" t="s">
        <v>7650</v>
      </c>
      <c r="C2779" t="s">
        <v>461</v>
      </c>
      <c r="D2779" t="s">
        <v>7648</v>
      </c>
      <c r="E2779" t="s">
        <v>75</v>
      </c>
    </row>
    <row r="2780" spans="1:5" x14ac:dyDescent="0.3">
      <c r="A2780" t="s">
        <v>60</v>
      </c>
      <c r="B2780" t="s">
        <v>3104</v>
      </c>
      <c r="C2780" t="s">
        <v>7651</v>
      </c>
      <c r="D2780" t="s">
        <v>747</v>
      </c>
      <c r="E2780" t="s">
        <v>1</v>
      </c>
    </row>
    <row r="2781" spans="1:5" x14ac:dyDescent="0.3">
      <c r="A2781" t="s">
        <v>5681</v>
      </c>
      <c r="B2781" t="s">
        <v>1213</v>
      </c>
      <c r="C2781" t="s">
        <v>7653</v>
      </c>
      <c r="D2781" t="s">
        <v>7652</v>
      </c>
      <c r="E2781" t="s">
        <v>774</v>
      </c>
    </row>
    <row r="2782" spans="1:5" x14ac:dyDescent="0.3">
      <c r="A2782" t="s">
        <v>50</v>
      </c>
      <c r="B2782" t="s">
        <v>7654</v>
      </c>
      <c r="C2782" t="s">
        <v>862</v>
      </c>
      <c r="D2782" t="s">
        <v>1676</v>
      </c>
      <c r="E2782" t="s">
        <v>18</v>
      </c>
    </row>
    <row r="2783" spans="1:5" x14ac:dyDescent="0.3">
      <c r="A2783" t="s">
        <v>76</v>
      </c>
      <c r="B2783" t="s">
        <v>7656</v>
      </c>
      <c r="C2783" t="s">
        <v>7655</v>
      </c>
      <c r="D2783" t="s">
        <v>747</v>
      </c>
      <c r="E2783" t="s">
        <v>1</v>
      </c>
    </row>
    <row r="2784" spans="1:5" x14ac:dyDescent="0.3">
      <c r="A2784" t="s">
        <v>342</v>
      </c>
      <c r="B2784" t="s">
        <v>3950</v>
      </c>
      <c r="C2784" t="s">
        <v>720</v>
      </c>
      <c r="D2784" t="s">
        <v>7657</v>
      </c>
      <c r="E2784" t="s">
        <v>774</v>
      </c>
    </row>
    <row r="2785" spans="1:5" x14ac:dyDescent="0.3">
      <c r="A2785" t="s">
        <v>1307</v>
      </c>
      <c r="B2785" t="s">
        <v>1426</v>
      </c>
      <c r="C2785" t="s">
        <v>2571</v>
      </c>
      <c r="D2785" t="s">
        <v>747</v>
      </c>
      <c r="E2785" t="s">
        <v>1</v>
      </c>
    </row>
    <row r="2786" spans="1:5" x14ac:dyDescent="0.3">
      <c r="A2786" t="s">
        <v>3462</v>
      </c>
      <c r="B2786" t="s">
        <v>7658</v>
      </c>
      <c r="C2786" t="s">
        <v>461</v>
      </c>
      <c r="D2786" t="s">
        <v>2835</v>
      </c>
      <c r="E2786" t="s">
        <v>75</v>
      </c>
    </row>
    <row r="2787" spans="1:5" x14ac:dyDescent="0.3">
      <c r="A2787" t="s">
        <v>5226</v>
      </c>
      <c r="B2787" t="s">
        <v>5850</v>
      </c>
      <c r="C2787" t="s">
        <v>455</v>
      </c>
      <c r="D2787" t="s">
        <v>2835</v>
      </c>
      <c r="E2787" t="s">
        <v>75</v>
      </c>
    </row>
    <row r="2788" spans="1:5" x14ac:dyDescent="0.3">
      <c r="A2788" t="s">
        <v>66</v>
      </c>
      <c r="B2788" t="s">
        <v>7662</v>
      </c>
      <c r="C2788" t="s">
        <v>7661</v>
      </c>
      <c r="D2788" t="s">
        <v>7660</v>
      </c>
      <c r="E2788" t="s">
        <v>774</v>
      </c>
    </row>
    <row r="2789" spans="1:5" x14ac:dyDescent="0.3">
      <c r="A2789" t="s">
        <v>209</v>
      </c>
      <c r="B2789" t="s">
        <v>7664</v>
      </c>
      <c r="C2789" t="s">
        <v>461</v>
      </c>
      <c r="D2789" t="s">
        <v>7663</v>
      </c>
      <c r="E2789" t="s">
        <v>75</v>
      </c>
    </row>
    <row r="2790" spans="1:5" x14ac:dyDescent="0.3">
      <c r="A2790" t="s">
        <v>3181</v>
      </c>
      <c r="B2790" t="s">
        <v>7667</v>
      </c>
      <c r="C2790" t="s">
        <v>7666</v>
      </c>
      <c r="D2790" t="s">
        <v>7665</v>
      </c>
      <c r="E2790" t="s">
        <v>774</v>
      </c>
    </row>
    <row r="2791" spans="1:5" x14ac:dyDescent="0.3">
      <c r="A2791" t="s">
        <v>271</v>
      </c>
      <c r="B2791" t="s">
        <v>7669</v>
      </c>
      <c r="C2791" t="s">
        <v>457</v>
      </c>
      <c r="D2791" t="s">
        <v>7668</v>
      </c>
      <c r="E2791" t="s">
        <v>774</v>
      </c>
    </row>
    <row r="2792" spans="1:5" x14ac:dyDescent="0.3">
      <c r="A2792" t="s">
        <v>22</v>
      </c>
      <c r="B2792" t="s">
        <v>7671</v>
      </c>
      <c r="C2792" t="s">
        <v>720</v>
      </c>
      <c r="D2792" t="s">
        <v>7670</v>
      </c>
      <c r="E2792" t="s">
        <v>774</v>
      </c>
    </row>
    <row r="2793" spans="1:5" x14ac:dyDescent="0.3">
      <c r="A2793" t="s">
        <v>291</v>
      </c>
      <c r="B2793" t="s">
        <v>4397</v>
      </c>
      <c r="C2793" t="s">
        <v>628</v>
      </c>
      <c r="D2793" t="s">
        <v>7672</v>
      </c>
      <c r="E2793" t="s">
        <v>75</v>
      </c>
    </row>
    <row r="2794" spans="1:5" x14ac:dyDescent="0.3">
      <c r="A2794" t="s">
        <v>7674</v>
      </c>
      <c r="B2794" t="s">
        <v>7675</v>
      </c>
      <c r="C2794" t="s">
        <v>460</v>
      </c>
      <c r="D2794" t="s">
        <v>7673</v>
      </c>
      <c r="E2794" t="s">
        <v>75</v>
      </c>
    </row>
    <row r="2795" spans="1:5" x14ac:dyDescent="0.3">
      <c r="A2795" t="s">
        <v>2942</v>
      </c>
      <c r="B2795" t="s">
        <v>1465</v>
      </c>
      <c r="C2795" t="s">
        <v>7678</v>
      </c>
      <c r="D2795" t="s">
        <v>7677</v>
      </c>
      <c r="E2795" t="s">
        <v>774</v>
      </c>
    </row>
    <row r="2796" spans="1:5" x14ac:dyDescent="0.3">
      <c r="A2796" t="s">
        <v>206</v>
      </c>
      <c r="B2796" t="s">
        <v>7681</v>
      </c>
      <c r="C2796" t="s">
        <v>467</v>
      </c>
      <c r="D2796" t="s">
        <v>7680</v>
      </c>
      <c r="E2796" t="s">
        <v>75</v>
      </c>
    </row>
    <row r="2797" spans="1:5" x14ac:dyDescent="0.3">
      <c r="A2797" t="s">
        <v>41</v>
      </c>
      <c r="B2797" t="s">
        <v>7683</v>
      </c>
      <c r="C2797" t="s">
        <v>698</v>
      </c>
      <c r="D2797" t="s">
        <v>2878</v>
      </c>
      <c r="E2797" t="s">
        <v>774</v>
      </c>
    </row>
    <row r="2798" spans="1:5" x14ac:dyDescent="0.3">
      <c r="A2798" t="s">
        <v>3618</v>
      </c>
      <c r="B2798" t="s">
        <v>7686</v>
      </c>
      <c r="C2798" t="s">
        <v>7685</v>
      </c>
      <c r="D2798" t="s">
        <v>7684</v>
      </c>
      <c r="E2798" t="s">
        <v>841</v>
      </c>
    </row>
    <row r="2799" spans="1:5" x14ac:dyDescent="0.3">
      <c r="A2799" t="s">
        <v>41</v>
      </c>
      <c r="B2799" t="s">
        <v>7688</v>
      </c>
      <c r="C2799" t="s">
        <v>461</v>
      </c>
      <c r="D2799" t="s">
        <v>7687</v>
      </c>
      <c r="E2799" t="s">
        <v>774</v>
      </c>
    </row>
    <row r="2800" spans="1:5" x14ac:dyDescent="0.3">
      <c r="A2800" t="s">
        <v>205</v>
      </c>
      <c r="B2800" t="s">
        <v>2116</v>
      </c>
      <c r="C2800" t="s">
        <v>457</v>
      </c>
      <c r="D2800" t="s">
        <v>7689</v>
      </c>
      <c r="E2800" t="s">
        <v>774</v>
      </c>
    </row>
    <row r="2801" spans="1:5" x14ac:dyDescent="0.3">
      <c r="A2801" t="s">
        <v>220</v>
      </c>
      <c r="B2801" t="s">
        <v>4726</v>
      </c>
      <c r="C2801" t="s">
        <v>467</v>
      </c>
      <c r="D2801" t="s">
        <v>2888</v>
      </c>
      <c r="E2801" t="s">
        <v>75</v>
      </c>
    </row>
    <row r="2802" spans="1:5" x14ac:dyDescent="0.3">
      <c r="A2802" t="s">
        <v>7691</v>
      </c>
      <c r="B2802" t="s">
        <v>7692</v>
      </c>
      <c r="C2802" t="s">
        <v>862</v>
      </c>
      <c r="D2802" t="s">
        <v>751</v>
      </c>
      <c r="E2802" t="s">
        <v>1</v>
      </c>
    </row>
    <row r="2803" spans="1:5" x14ac:dyDescent="0.3">
      <c r="A2803" t="s">
        <v>3760</v>
      </c>
      <c r="B2803" t="s">
        <v>7695</v>
      </c>
      <c r="C2803" t="s">
        <v>7694</v>
      </c>
      <c r="D2803" t="s">
        <v>845</v>
      </c>
      <c r="E2803" t="s">
        <v>841</v>
      </c>
    </row>
    <row r="2804" spans="1:5" x14ac:dyDescent="0.3">
      <c r="A2804" t="s">
        <v>888</v>
      </c>
      <c r="B2804" t="s">
        <v>3722</v>
      </c>
      <c r="C2804" t="s">
        <v>467</v>
      </c>
      <c r="D2804" t="s">
        <v>7696</v>
      </c>
      <c r="E2804" t="s">
        <v>75</v>
      </c>
    </row>
    <row r="2805" spans="1:5" x14ac:dyDescent="0.3">
      <c r="A2805" t="s">
        <v>285</v>
      </c>
      <c r="B2805" t="s">
        <v>1668</v>
      </c>
      <c r="C2805" t="s">
        <v>7697</v>
      </c>
      <c r="D2805" t="s">
        <v>2884</v>
      </c>
      <c r="E2805" t="s">
        <v>774</v>
      </c>
    </row>
    <row r="2806" spans="1:5" x14ac:dyDescent="0.3">
      <c r="A2806" t="s">
        <v>50</v>
      </c>
      <c r="B2806" t="s">
        <v>1742</v>
      </c>
      <c r="C2806" t="s">
        <v>7701</v>
      </c>
      <c r="D2806" t="s">
        <v>7699</v>
      </c>
      <c r="E2806" t="s">
        <v>897</v>
      </c>
    </row>
    <row r="2807" spans="1:5" x14ac:dyDescent="0.3">
      <c r="A2807" t="s">
        <v>4001</v>
      </c>
      <c r="B2807" t="s">
        <v>7703</v>
      </c>
      <c r="C2807" t="s">
        <v>7702</v>
      </c>
      <c r="D2807" t="s">
        <v>845</v>
      </c>
      <c r="E2807" t="s">
        <v>841</v>
      </c>
    </row>
    <row r="2808" spans="1:5" x14ac:dyDescent="0.3">
      <c r="A2808" t="s">
        <v>7704</v>
      </c>
      <c r="B2808" t="s">
        <v>7706</v>
      </c>
      <c r="C2808" t="s">
        <v>7705</v>
      </c>
      <c r="D2808" t="s">
        <v>2912</v>
      </c>
      <c r="E2808" t="s">
        <v>75</v>
      </c>
    </row>
    <row r="2809" spans="1:5" x14ac:dyDescent="0.3">
      <c r="A2809" t="s">
        <v>7707</v>
      </c>
      <c r="B2809" t="s">
        <v>6281</v>
      </c>
      <c r="C2809" t="s">
        <v>7708</v>
      </c>
    </row>
    <row r="2810" spans="1:5" x14ac:dyDescent="0.3">
      <c r="A2810" t="s">
        <v>7710</v>
      </c>
      <c r="B2810" t="s">
        <v>2434</v>
      </c>
      <c r="C2810" t="s">
        <v>7711</v>
      </c>
      <c r="D2810" t="s">
        <v>7709</v>
      </c>
      <c r="E2810" t="s">
        <v>774</v>
      </c>
    </row>
    <row r="2811" spans="1:5" x14ac:dyDescent="0.3">
      <c r="A2811" t="s">
        <v>1081</v>
      </c>
      <c r="B2811" t="s">
        <v>6058</v>
      </c>
      <c r="C2811" t="s">
        <v>7712</v>
      </c>
      <c r="D2811" t="s">
        <v>5877</v>
      </c>
      <c r="E2811" t="s">
        <v>774</v>
      </c>
    </row>
    <row r="2812" spans="1:5" x14ac:dyDescent="0.3">
      <c r="A2812" t="s">
        <v>132</v>
      </c>
      <c r="B2812" t="s">
        <v>3793</v>
      </c>
      <c r="C2812" t="s">
        <v>7713</v>
      </c>
      <c r="D2812" t="s">
        <v>2940</v>
      </c>
      <c r="E2812" t="s">
        <v>75</v>
      </c>
    </row>
    <row r="2813" spans="1:5" x14ac:dyDescent="0.3">
      <c r="A2813" t="s">
        <v>5780</v>
      </c>
      <c r="B2813" t="s">
        <v>7715</v>
      </c>
      <c r="C2813" t="s">
        <v>7714</v>
      </c>
      <c r="D2813" t="s">
        <v>2228</v>
      </c>
      <c r="E2813" t="s">
        <v>1</v>
      </c>
    </row>
    <row r="2814" spans="1:5" x14ac:dyDescent="0.3">
      <c r="A2814" t="s">
        <v>7717</v>
      </c>
      <c r="B2814" t="s">
        <v>7719</v>
      </c>
      <c r="C2814" t="s">
        <v>7718</v>
      </c>
      <c r="D2814" t="s">
        <v>7716</v>
      </c>
      <c r="E2814" t="s">
        <v>774</v>
      </c>
    </row>
    <row r="2815" spans="1:5" x14ac:dyDescent="0.3">
      <c r="A2815" t="s">
        <v>224</v>
      </c>
      <c r="B2815" t="s">
        <v>830</v>
      </c>
      <c r="C2815" t="s">
        <v>7721</v>
      </c>
      <c r="D2815" t="s">
        <v>7720</v>
      </c>
      <c r="E2815" t="s">
        <v>774</v>
      </c>
    </row>
    <row r="2816" spans="1:5" x14ac:dyDescent="0.3">
      <c r="A2816" t="s">
        <v>3537</v>
      </c>
      <c r="B2816" t="s">
        <v>896</v>
      </c>
      <c r="C2816" t="s">
        <v>7722</v>
      </c>
      <c r="D2816" t="s">
        <v>2884</v>
      </c>
      <c r="E2816" t="s">
        <v>774</v>
      </c>
    </row>
    <row r="2817" spans="1:5" x14ac:dyDescent="0.3">
      <c r="A2817" t="s">
        <v>2639</v>
      </c>
      <c r="B2817" t="s">
        <v>7724</v>
      </c>
      <c r="C2817" t="s">
        <v>7723</v>
      </c>
      <c r="D2817" t="s">
        <v>2884</v>
      </c>
      <c r="E2817" t="s">
        <v>774</v>
      </c>
    </row>
    <row r="2818" spans="1:5" x14ac:dyDescent="0.3">
      <c r="A2818" t="s">
        <v>7726</v>
      </c>
      <c r="B2818" t="s">
        <v>7727</v>
      </c>
      <c r="C2818" t="s">
        <v>461</v>
      </c>
      <c r="D2818" t="s">
        <v>7725</v>
      </c>
      <c r="E2818" t="s">
        <v>75</v>
      </c>
    </row>
    <row r="2819" spans="1:5" x14ac:dyDescent="0.3">
      <c r="A2819" t="s">
        <v>1243</v>
      </c>
      <c r="B2819" t="s">
        <v>2546</v>
      </c>
      <c r="C2819" t="s">
        <v>467</v>
      </c>
      <c r="D2819" t="s">
        <v>7728</v>
      </c>
      <c r="E2819" t="s">
        <v>75</v>
      </c>
    </row>
    <row r="2820" spans="1:5" x14ac:dyDescent="0.3">
      <c r="A2820" t="s">
        <v>206</v>
      </c>
      <c r="B2820" t="s">
        <v>5426</v>
      </c>
      <c r="C2820" t="s">
        <v>4309</v>
      </c>
      <c r="D2820" t="s">
        <v>7729</v>
      </c>
      <c r="E2820" t="s">
        <v>75</v>
      </c>
    </row>
    <row r="2821" spans="1:5" x14ac:dyDescent="0.3">
      <c r="A2821" t="s">
        <v>7730</v>
      </c>
      <c r="B2821" t="s">
        <v>7732</v>
      </c>
      <c r="C2821" t="s">
        <v>7731</v>
      </c>
      <c r="D2821" t="s">
        <v>2884</v>
      </c>
      <c r="E2821" t="s">
        <v>774</v>
      </c>
    </row>
    <row r="2822" spans="1:5" x14ac:dyDescent="0.3">
      <c r="A2822" t="s">
        <v>3415</v>
      </c>
      <c r="B2822" t="s">
        <v>7324</v>
      </c>
      <c r="C2822" t="s">
        <v>457</v>
      </c>
      <c r="D2822" t="s">
        <v>7734</v>
      </c>
      <c r="E2822" t="s">
        <v>774</v>
      </c>
    </row>
    <row r="2823" spans="1:5" x14ac:dyDescent="0.3">
      <c r="A2823" t="s">
        <v>3670</v>
      </c>
      <c r="B2823" t="s">
        <v>287</v>
      </c>
      <c r="C2823" t="s">
        <v>7735</v>
      </c>
      <c r="D2823" t="s">
        <v>982</v>
      </c>
      <c r="E2823" t="s">
        <v>1</v>
      </c>
    </row>
    <row r="2824" spans="1:5" x14ac:dyDescent="0.3">
      <c r="A2824" t="s">
        <v>184</v>
      </c>
      <c r="B2824" t="s">
        <v>7265</v>
      </c>
      <c r="C2824" t="s">
        <v>6466</v>
      </c>
      <c r="D2824" t="s">
        <v>7736</v>
      </c>
      <c r="E2824" t="s">
        <v>774</v>
      </c>
    </row>
    <row r="2825" spans="1:5" x14ac:dyDescent="0.3">
      <c r="A2825" t="s">
        <v>41</v>
      </c>
      <c r="B2825" t="s">
        <v>3275</v>
      </c>
      <c r="C2825" t="s">
        <v>460</v>
      </c>
      <c r="D2825" t="s">
        <v>7737</v>
      </c>
      <c r="E2825" t="s">
        <v>75</v>
      </c>
    </row>
    <row r="2826" spans="1:5" x14ac:dyDescent="0.3">
      <c r="A2826" t="s">
        <v>7739</v>
      </c>
      <c r="B2826" t="s">
        <v>4956</v>
      </c>
      <c r="C2826" t="s">
        <v>862</v>
      </c>
      <c r="D2826" t="s">
        <v>7738</v>
      </c>
      <c r="E2826" t="s">
        <v>774</v>
      </c>
    </row>
    <row r="2827" spans="1:5" x14ac:dyDescent="0.3">
      <c r="A2827" t="s">
        <v>224</v>
      </c>
      <c r="B2827" t="s">
        <v>7742</v>
      </c>
      <c r="C2827" t="s">
        <v>7741</v>
      </c>
    </row>
    <row r="2828" spans="1:5" x14ac:dyDescent="0.3">
      <c r="A2828" t="s">
        <v>2849</v>
      </c>
      <c r="B2828" t="s">
        <v>5704</v>
      </c>
      <c r="C2828" t="s">
        <v>7744</v>
      </c>
      <c r="D2828" t="s">
        <v>4303</v>
      </c>
      <c r="E2828" t="s">
        <v>774</v>
      </c>
    </row>
    <row r="2829" spans="1:5" x14ac:dyDescent="0.3">
      <c r="A2829" t="s">
        <v>1606</v>
      </c>
      <c r="B2829" t="s">
        <v>7746</v>
      </c>
      <c r="C2829" t="s">
        <v>7745</v>
      </c>
      <c r="D2829" t="s">
        <v>5718</v>
      </c>
      <c r="E2829" t="s">
        <v>761</v>
      </c>
    </row>
    <row r="2830" spans="1:5" x14ac:dyDescent="0.3">
      <c r="A2830" t="s">
        <v>160</v>
      </c>
      <c r="B2830" t="s">
        <v>7747</v>
      </c>
      <c r="C2830" t="s">
        <v>457</v>
      </c>
      <c r="D2830" t="s">
        <v>7743</v>
      </c>
      <c r="E2830" t="s">
        <v>75</v>
      </c>
    </row>
    <row r="2831" spans="1:5" x14ac:dyDescent="0.3">
      <c r="A2831" t="s">
        <v>6929</v>
      </c>
      <c r="B2831" t="s">
        <v>7750</v>
      </c>
      <c r="C2831" t="s">
        <v>7749</v>
      </c>
      <c r="D2831" t="s">
        <v>7748</v>
      </c>
      <c r="E2831" t="s">
        <v>774</v>
      </c>
    </row>
    <row r="2832" spans="1:5" x14ac:dyDescent="0.3">
      <c r="A2832" t="s">
        <v>209</v>
      </c>
      <c r="B2832" t="s">
        <v>7752</v>
      </c>
      <c r="C2832" t="s">
        <v>467</v>
      </c>
      <c r="D2832" t="s">
        <v>7751</v>
      </c>
      <c r="E2832" t="s">
        <v>75</v>
      </c>
    </row>
    <row r="2833" spans="1:5" x14ac:dyDescent="0.3">
      <c r="A2833" t="s">
        <v>2611</v>
      </c>
      <c r="B2833" t="s">
        <v>3042</v>
      </c>
      <c r="C2833" t="s">
        <v>467</v>
      </c>
      <c r="D2833" t="s">
        <v>7753</v>
      </c>
      <c r="E2833" t="s">
        <v>75</v>
      </c>
    </row>
    <row r="2834" spans="1:5" x14ac:dyDescent="0.3">
      <c r="A2834" t="s">
        <v>3150</v>
      </c>
      <c r="B2834" t="s">
        <v>7754</v>
      </c>
      <c r="C2834" t="s">
        <v>461</v>
      </c>
      <c r="D2834" t="s">
        <v>7753</v>
      </c>
      <c r="E2834" t="s">
        <v>75</v>
      </c>
    </row>
    <row r="2835" spans="1:5" x14ac:dyDescent="0.3">
      <c r="A2835" t="s">
        <v>331</v>
      </c>
      <c r="B2835" t="s">
        <v>4749</v>
      </c>
      <c r="C2835" t="s">
        <v>862</v>
      </c>
      <c r="D2835" t="s">
        <v>769</v>
      </c>
      <c r="E2835" t="s">
        <v>1</v>
      </c>
    </row>
    <row r="2836" spans="1:5" x14ac:dyDescent="0.3">
      <c r="A2836" t="s">
        <v>209</v>
      </c>
      <c r="B2836" t="s">
        <v>7756</v>
      </c>
      <c r="C2836" t="s">
        <v>460</v>
      </c>
      <c r="D2836" t="s">
        <v>7755</v>
      </c>
      <c r="E2836" t="s">
        <v>75</v>
      </c>
    </row>
    <row r="2837" spans="1:5" x14ac:dyDescent="0.3">
      <c r="A2837" t="s">
        <v>1405</v>
      </c>
      <c r="B2837" t="s">
        <v>7757</v>
      </c>
      <c r="C2837" t="s">
        <v>3109</v>
      </c>
      <c r="D2837" t="s">
        <v>5317</v>
      </c>
      <c r="E2837" t="s">
        <v>75</v>
      </c>
    </row>
    <row r="2838" spans="1:5" x14ac:dyDescent="0.3">
      <c r="A2838" t="s">
        <v>1479</v>
      </c>
      <c r="B2838" t="s">
        <v>7758</v>
      </c>
      <c r="C2838" t="s">
        <v>459</v>
      </c>
      <c r="D2838" t="s">
        <v>5317</v>
      </c>
      <c r="E2838" t="s">
        <v>75</v>
      </c>
    </row>
    <row r="2839" spans="1:5" x14ac:dyDescent="0.3">
      <c r="A2839" t="s">
        <v>795</v>
      </c>
      <c r="B2839" t="s">
        <v>1021</v>
      </c>
      <c r="C2839" t="s">
        <v>460</v>
      </c>
      <c r="D2839" t="s">
        <v>7759</v>
      </c>
      <c r="E2839" t="s">
        <v>75</v>
      </c>
    </row>
    <row r="2840" spans="1:5" x14ac:dyDescent="0.3">
      <c r="A2840" t="s">
        <v>387</v>
      </c>
      <c r="B2840" t="s">
        <v>7760</v>
      </c>
      <c r="C2840" t="s">
        <v>460</v>
      </c>
      <c r="D2840" t="s">
        <v>7759</v>
      </c>
      <c r="E2840" t="s">
        <v>75</v>
      </c>
    </row>
    <row r="2841" spans="1:5" x14ac:dyDescent="0.3">
      <c r="A2841" t="s">
        <v>1330</v>
      </c>
      <c r="B2841" t="s">
        <v>303</v>
      </c>
      <c r="C2841" t="s">
        <v>7762</v>
      </c>
      <c r="D2841" t="s">
        <v>7759</v>
      </c>
      <c r="E2841" t="s">
        <v>75</v>
      </c>
    </row>
    <row r="2842" spans="1:5" x14ac:dyDescent="0.3">
      <c r="A2842" t="s">
        <v>342</v>
      </c>
      <c r="B2842" t="s">
        <v>7764</v>
      </c>
      <c r="C2842" t="s">
        <v>461</v>
      </c>
      <c r="D2842" t="s">
        <v>7763</v>
      </c>
      <c r="E2842" t="s">
        <v>75</v>
      </c>
    </row>
    <row r="2843" spans="1:5" x14ac:dyDescent="0.3">
      <c r="A2843" t="s">
        <v>50</v>
      </c>
      <c r="B2843" t="s">
        <v>7766</v>
      </c>
      <c r="C2843" t="s">
        <v>467</v>
      </c>
      <c r="D2843" t="s">
        <v>5317</v>
      </c>
      <c r="E2843" t="s">
        <v>75</v>
      </c>
    </row>
    <row r="2844" spans="1:5" x14ac:dyDescent="0.3">
      <c r="A2844" t="s">
        <v>160</v>
      </c>
      <c r="B2844" t="s">
        <v>7768</v>
      </c>
      <c r="C2844" t="s">
        <v>467</v>
      </c>
      <c r="D2844" t="s">
        <v>7767</v>
      </c>
      <c r="E2844" t="s">
        <v>75</v>
      </c>
    </row>
    <row r="2845" spans="1:5" x14ac:dyDescent="0.3">
      <c r="A2845" t="s">
        <v>7471</v>
      </c>
      <c r="B2845" t="s">
        <v>7770</v>
      </c>
      <c r="C2845" t="s">
        <v>628</v>
      </c>
      <c r="D2845" t="s">
        <v>7769</v>
      </c>
      <c r="E2845" t="s">
        <v>75</v>
      </c>
    </row>
    <row r="2846" spans="1:5" x14ac:dyDescent="0.3">
      <c r="A2846" t="s">
        <v>2670</v>
      </c>
      <c r="B2846" t="s">
        <v>2982</v>
      </c>
      <c r="C2846" t="s">
        <v>628</v>
      </c>
      <c r="D2846" t="s">
        <v>7771</v>
      </c>
      <c r="E2846" t="s">
        <v>75</v>
      </c>
    </row>
    <row r="2847" spans="1:5" x14ac:dyDescent="0.3">
      <c r="A2847" t="s">
        <v>345</v>
      </c>
      <c r="B2847" t="s">
        <v>7773</v>
      </c>
      <c r="C2847" t="s">
        <v>460</v>
      </c>
      <c r="D2847" t="s">
        <v>7772</v>
      </c>
      <c r="E2847" t="s">
        <v>75</v>
      </c>
    </row>
    <row r="2848" spans="1:5" x14ac:dyDescent="0.3">
      <c r="A2848" t="s">
        <v>50</v>
      </c>
      <c r="B2848" t="s">
        <v>290</v>
      </c>
      <c r="C2848" t="s">
        <v>467</v>
      </c>
      <c r="D2848" t="s">
        <v>7774</v>
      </c>
      <c r="E2848" t="s">
        <v>75</v>
      </c>
    </row>
    <row r="2849" spans="1:5" x14ac:dyDescent="0.3">
      <c r="A2849" t="s">
        <v>740</v>
      </c>
      <c r="B2849" t="s">
        <v>7776</v>
      </c>
      <c r="C2849" t="s">
        <v>862</v>
      </c>
      <c r="D2849" t="s">
        <v>747</v>
      </c>
      <c r="E2849" t="s">
        <v>1</v>
      </c>
    </row>
    <row r="2850" spans="1:5" x14ac:dyDescent="0.3">
      <c r="A2850" t="s">
        <v>6312</v>
      </c>
      <c r="B2850" t="s">
        <v>7778</v>
      </c>
      <c r="C2850" t="s">
        <v>467</v>
      </c>
      <c r="D2850" t="s">
        <v>7777</v>
      </c>
      <c r="E2850" t="s">
        <v>75</v>
      </c>
    </row>
    <row r="2851" spans="1:5" x14ac:dyDescent="0.3">
      <c r="A2851" t="s">
        <v>129</v>
      </c>
      <c r="B2851" t="s">
        <v>174</v>
      </c>
      <c r="C2851" t="s">
        <v>460</v>
      </c>
      <c r="D2851" t="s">
        <v>7779</v>
      </c>
      <c r="E2851" t="s">
        <v>75</v>
      </c>
    </row>
    <row r="2852" spans="1:5" x14ac:dyDescent="0.3">
      <c r="A2852" t="s">
        <v>3464</v>
      </c>
      <c r="B2852" t="s">
        <v>5283</v>
      </c>
      <c r="C2852" t="s">
        <v>6069</v>
      </c>
      <c r="D2852" t="s">
        <v>7780</v>
      </c>
      <c r="E2852" t="s">
        <v>75</v>
      </c>
    </row>
    <row r="2853" spans="1:5" x14ac:dyDescent="0.3">
      <c r="A2853" t="s">
        <v>116</v>
      </c>
      <c r="B2853" t="s">
        <v>3997</v>
      </c>
      <c r="C2853" t="s">
        <v>467</v>
      </c>
    </row>
    <row r="2854" spans="1:5" x14ac:dyDescent="0.3">
      <c r="A2854" t="s">
        <v>7782</v>
      </c>
      <c r="B2854" t="s">
        <v>7783</v>
      </c>
      <c r="C2854" t="s">
        <v>459</v>
      </c>
      <c r="D2854" t="s">
        <v>7781</v>
      </c>
      <c r="E2854" t="s">
        <v>75</v>
      </c>
    </row>
    <row r="2855" spans="1:5" x14ac:dyDescent="0.3">
      <c r="A2855" t="s">
        <v>173</v>
      </c>
      <c r="B2855" t="s">
        <v>7786</v>
      </c>
      <c r="C2855" t="s">
        <v>7785</v>
      </c>
      <c r="D2855" t="s">
        <v>7784</v>
      </c>
      <c r="E2855" t="s">
        <v>75</v>
      </c>
    </row>
    <row r="2856" spans="1:5" x14ac:dyDescent="0.3">
      <c r="A2856" t="s">
        <v>7788</v>
      </c>
      <c r="B2856" t="s">
        <v>7789</v>
      </c>
      <c r="C2856" t="s">
        <v>451</v>
      </c>
      <c r="D2856" t="s">
        <v>7787</v>
      </c>
      <c r="E2856" t="s">
        <v>75</v>
      </c>
    </row>
    <row r="2857" spans="1:5" x14ac:dyDescent="0.3">
      <c r="A2857" t="s">
        <v>808</v>
      </c>
      <c r="B2857" t="s">
        <v>4029</v>
      </c>
      <c r="C2857" t="s">
        <v>467</v>
      </c>
      <c r="D2857" t="s">
        <v>7787</v>
      </c>
      <c r="E2857" t="s">
        <v>75</v>
      </c>
    </row>
    <row r="2858" spans="1:5" x14ac:dyDescent="0.3">
      <c r="A2858" t="s">
        <v>190</v>
      </c>
      <c r="B2858" t="s">
        <v>2351</v>
      </c>
      <c r="C2858" t="s">
        <v>467</v>
      </c>
      <c r="D2858" t="s">
        <v>7791</v>
      </c>
      <c r="E2858" t="s">
        <v>75</v>
      </c>
    </row>
    <row r="2859" spans="1:5" x14ac:dyDescent="0.3">
      <c r="A2859" t="s">
        <v>79</v>
      </c>
      <c r="B2859" t="s">
        <v>3873</v>
      </c>
      <c r="C2859" t="s">
        <v>7792</v>
      </c>
      <c r="D2859" t="s">
        <v>6561</v>
      </c>
      <c r="E2859" t="s">
        <v>75</v>
      </c>
    </row>
    <row r="2860" spans="1:5" x14ac:dyDescent="0.3">
      <c r="A2860" t="s">
        <v>5922</v>
      </c>
      <c r="B2860" t="s">
        <v>5012</v>
      </c>
      <c r="C2860" t="s">
        <v>698</v>
      </c>
      <c r="D2860" t="s">
        <v>7793</v>
      </c>
      <c r="E2860" t="s">
        <v>75</v>
      </c>
    </row>
    <row r="2861" spans="1:5" x14ac:dyDescent="0.3">
      <c r="A2861" t="s">
        <v>77</v>
      </c>
      <c r="B2861" t="s">
        <v>7795</v>
      </c>
      <c r="C2861" t="s">
        <v>460</v>
      </c>
    </row>
    <row r="2862" spans="1:5" x14ac:dyDescent="0.3">
      <c r="A2862" t="s">
        <v>107</v>
      </c>
      <c r="B2862" t="s">
        <v>7797</v>
      </c>
      <c r="C2862" t="s">
        <v>467</v>
      </c>
      <c r="D2862" t="s">
        <v>7796</v>
      </c>
      <c r="E2862" t="s">
        <v>75</v>
      </c>
    </row>
    <row r="2863" spans="1:5" x14ac:dyDescent="0.3">
      <c r="A2863" t="s">
        <v>130</v>
      </c>
      <c r="B2863" t="s">
        <v>148</v>
      </c>
      <c r="C2863" t="s">
        <v>451</v>
      </c>
      <c r="D2863" t="s">
        <v>7800</v>
      </c>
      <c r="E2863" t="s">
        <v>75</v>
      </c>
    </row>
    <row r="2864" spans="1:5" x14ac:dyDescent="0.3">
      <c r="A2864" t="s">
        <v>100</v>
      </c>
      <c r="B2864" t="s">
        <v>2982</v>
      </c>
      <c r="C2864" t="s">
        <v>5858</v>
      </c>
      <c r="D2864" t="s">
        <v>7800</v>
      </c>
      <c r="E2864" t="s">
        <v>75</v>
      </c>
    </row>
    <row r="2865" spans="1:5" x14ac:dyDescent="0.3">
      <c r="A2865" t="s">
        <v>131</v>
      </c>
      <c r="B2865" t="s">
        <v>5334</v>
      </c>
      <c r="C2865" t="s">
        <v>467</v>
      </c>
      <c r="D2865" t="s">
        <v>7801</v>
      </c>
      <c r="E2865" t="s">
        <v>75</v>
      </c>
    </row>
    <row r="2866" spans="1:5" x14ac:dyDescent="0.3">
      <c r="A2866" t="s">
        <v>160</v>
      </c>
      <c r="B2866" t="s">
        <v>1925</v>
      </c>
      <c r="C2866" t="s">
        <v>7802</v>
      </c>
      <c r="D2866" t="s">
        <v>7801</v>
      </c>
      <c r="E2866" t="s">
        <v>75</v>
      </c>
    </row>
    <row r="2867" spans="1:5" x14ac:dyDescent="0.3">
      <c r="A2867" t="s">
        <v>77</v>
      </c>
      <c r="B2867" t="s">
        <v>7803</v>
      </c>
      <c r="C2867" t="s">
        <v>628</v>
      </c>
      <c r="D2867" t="s">
        <v>7801</v>
      </c>
      <c r="E2867" t="s">
        <v>75</v>
      </c>
    </row>
    <row r="2868" spans="1:5" x14ac:dyDescent="0.3">
      <c r="A2868" t="s">
        <v>130</v>
      </c>
      <c r="B2868" t="s">
        <v>4444</v>
      </c>
      <c r="C2868" t="s">
        <v>454</v>
      </c>
      <c r="D2868" t="s">
        <v>7801</v>
      </c>
      <c r="E2868" t="s">
        <v>75</v>
      </c>
    </row>
    <row r="2869" spans="1:5" x14ac:dyDescent="0.3">
      <c r="A2869" t="s">
        <v>1580</v>
      </c>
      <c r="B2869" t="s">
        <v>5652</v>
      </c>
      <c r="C2869" t="s">
        <v>698</v>
      </c>
      <c r="D2869" t="s">
        <v>7801</v>
      </c>
      <c r="E2869" t="s">
        <v>75</v>
      </c>
    </row>
    <row r="2870" spans="1:5" x14ac:dyDescent="0.3">
      <c r="A2870" t="s">
        <v>77</v>
      </c>
      <c r="B2870" t="s">
        <v>2389</v>
      </c>
      <c r="C2870" t="s">
        <v>461</v>
      </c>
      <c r="D2870" t="s">
        <v>7806</v>
      </c>
      <c r="E2870" t="s">
        <v>75</v>
      </c>
    </row>
    <row r="2871" spans="1:5" x14ac:dyDescent="0.3">
      <c r="A2871" t="s">
        <v>82</v>
      </c>
      <c r="B2871" t="s">
        <v>4217</v>
      </c>
      <c r="C2871" t="s">
        <v>461</v>
      </c>
      <c r="D2871" t="s">
        <v>7808</v>
      </c>
      <c r="E2871" t="s">
        <v>75</v>
      </c>
    </row>
    <row r="2872" spans="1:5" x14ac:dyDescent="0.3">
      <c r="A2872" t="s">
        <v>150</v>
      </c>
      <c r="B2872" t="s">
        <v>7810</v>
      </c>
      <c r="C2872" t="s">
        <v>457</v>
      </c>
      <c r="D2872" t="s">
        <v>7809</v>
      </c>
      <c r="E2872" t="s">
        <v>75</v>
      </c>
    </row>
    <row r="2873" spans="1:5" x14ac:dyDescent="0.3">
      <c r="A2873" t="s">
        <v>1339</v>
      </c>
      <c r="B2873" t="s">
        <v>3697</v>
      </c>
      <c r="C2873" t="s">
        <v>467</v>
      </c>
      <c r="D2873" t="s">
        <v>7811</v>
      </c>
      <c r="E2873" t="s">
        <v>75</v>
      </c>
    </row>
    <row r="2874" spans="1:5" x14ac:dyDescent="0.3">
      <c r="A2874" t="s">
        <v>3714</v>
      </c>
      <c r="B2874" t="s">
        <v>7813</v>
      </c>
      <c r="C2874" t="s">
        <v>467</v>
      </c>
      <c r="D2874" t="s">
        <v>7812</v>
      </c>
      <c r="E2874" t="s">
        <v>75</v>
      </c>
    </row>
    <row r="2875" spans="1:5" x14ac:dyDescent="0.3">
      <c r="A2875" t="s">
        <v>130</v>
      </c>
      <c r="B2875" t="s">
        <v>4544</v>
      </c>
      <c r="C2875" t="s">
        <v>467</v>
      </c>
      <c r="D2875" t="s">
        <v>7814</v>
      </c>
      <c r="E2875" t="s">
        <v>75</v>
      </c>
    </row>
    <row r="2876" spans="1:5" x14ac:dyDescent="0.3">
      <c r="A2876" t="s">
        <v>3954</v>
      </c>
      <c r="B2876" t="s">
        <v>179</v>
      </c>
      <c r="C2876" t="s">
        <v>518</v>
      </c>
      <c r="D2876" t="s">
        <v>1434</v>
      </c>
      <c r="E2876" t="s">
        <v>774</v>
      </c>
    </row>
    <row r="2877" spans="1:5" x14ac:dyDescent="0.3">
      <c r="A2877" t="s">
        <v>4934</v>
      </c>
      <c r="B2877" t="s">
        <v>7817</v>
      </c>
      <c r="C2877" t="s">
        <v>7816</v>
      </c>
      <c r="D2877" t="s">
        <v>7815</v>
      </c>
      <c r="E2877" t="s">
        <v>1</v>
      </c>
    </row>
    <row r="2878" spans="1:5" x14ac:dyDescent="0.3">
      <c r="A2878" t="s">
        <v>65</v>
      </c>
      <c r="B2878" t="s">
        <v>7820</v>
      </c>
      <c r="C2878" t="s">
        <v>862</v>
      </c>
      <c r="D2878" t="s">
        <v>3853</v>
      </c>
      <c r="E2878" t="s">
        <v>75</v>
      </c>
    </row>
    <row r="2879" spans="1:5" x14ac:dyDescent="0.3">
      <c r="A2879" t="s">
        <v>219</v>
      </c>
      <c r="B2879" t="s">
        <v>7822</v>
      </c>
      <c r="C2879" t="s">
        <v>467</v>
      </c>
      <c r="D2879" t="s">
        <v>7821</v>
      </c>
      <c r="E2879" t="s">
        <v>75</v>
      </c>
    </row>
    <row r="2880" spans="1:5" x14ac:dyDescent="0.3">
      <c r="A2880" t="s">
        <v>2890</v>
      </c>
      <c r="B2880" t="s">
        <v>1478</v>
      </c>
      <c r="C2880" t="s">
        <v>459</v>
      </c>
      <c r="D2880" t="s">
        <v>7823</v>
      </c>
      <c r="E2880" t="s">
        <v>75</v>
      </c>
    </row>
    <row r="2881" spans="1:5" x14ac:dyDescent="0.3">
      <c r="A2881" t="s">
        <v>1393</v>
      </c>
      <c r="B2881" t="s">
        <v>2502</v>
      </c>
      <c r="C2881" t="s">
        <v>7825</v>
      </c>
      <c r="D2881" t="s">
        <v>7824</v>
      </c>
      <c r="E2881" t="s">
        <v>75</v>
      </c>
    </row>
    <row r="2882" spans="1:5" x14ac:dyDescent="0.3">
      <c r="A2882" t="s">
        <v>3161</v>
      </c>
      <c r="B2882" t="s">
        <v>1420</v>
      </c>
      <c r="C2882" t="s">
        <v>7826</v>
      </c>
      <c r="D2882" t="s">
        <v>3937</v>
      </c>
      <c r="E2882" t="s">
        <v>75</v>
      </c>
    </row>
    <row r="2883" spans="1:5" x14ac:dyDescent="0.3">
      <c r="A2883" t="s">
        <v>4824</v>
      </c>
      <c r="B2883" t="s">
        <v>1049</v>
      </c>
      <c r="C2883" t="s">
        <v>628</v>
      </c>
      <c r="D2883" t="s">
        <v>3937</v>
      </c>
      <c r="E2883" t="s">
        <v>75</v>
      </c>
    </row>
    <row r="2884" spans="1:5" x14ac:dyDescent="0.3">
      <c r="A2884" t="s">
        <v>1278</v>
      </c>
      <c r="B2884" t="s">
        <v>681</v>
      </c>
      <c r="C2884" t="s">
        <v>467</v>
      </c>
      <c r="D2884" t="s">
        <v>3937</v>
      </c>
      <c r="E2884" t="s">
        <v>75</v>
      </c>
    </row>
    <row r="2885" spans="1:5" x14ac:dyDescent="0.3">
      <c r="A2885" t="s">
        <v>229</v>
      </c>
      <c r="B2885" t="s">
        <v>7829</v>
      </c>
      <c r="C2885" t="s">
        <v>7828</v>
      </c>
      <c r="D2885" t="s">
        <v>7827</v>
      </c>
      <c r="E2885" t="s">
        <v>75</v>
      </c>
    </row>
    <row r="2886" spans="1:5" x14ac:dyDescent="0.3">
      <c r="A2886" t="s">
        <v>1433</v>
      </c>
      <c r="B2886" t="s">
        <v>7831</v>
      </c>
      <c r="C2886" t="s">
        <v>6069</v>
      </c>
      <c r="D2886" t="s">
        <v>7830</v>
      </c>
      <c r="E2886" t="s">
        <v>75</v>
      </c>
    </row>
    <row r="2887" spans="1:5" x14ac:dyDescent="0.3">
      <c r="A2887" t="s">
        <v>160</v>
      </c>
      <c r="B2887" t="s">
        <v>956</v>
      </c>
      <c r="C2887" t="s">
        <v>7833</v>
      </c>
      <c r="D2887" t="s">
        <v>7832</v>
      </c>
      <c r="E2887" t="s">
        <v>75</v>
      </c>
    </row>
    <row r="2888" spans="1:5" x14ac:dyDescent="0.3">
      <c r="A2888" t="s">
        <v>50</v>
      </c>
      <c r="B2888" t="s">
        <v>1204</v>
      </c>
      <c r="C2888" t="s">
        <v>461</v>
      </c>
      <c r="D2888" t="s">
        <v>7834</v>
      </c>
      <c r="E2888" t="s">
        <v>75</v>
      </c>
    </row>
    <row r="2889" spans="1:5" x14ac:dyDescent="0.3">
      <c r="A2889" t="s">
        <v>1018</v>
      </c>
      <c r="B2889" t="s">
        <v>7835</v>
      </c>
      <c r="C2889" t="s">
        <v>467</v>
      </c>
      <c r="D2889" t="s">
        <v>7834</v>
      </c>
      <c r="E2889" t="s">
        <v>75</v>
      </c>
    </row>
    <row r="2890" spans="1:5" x14ac:dyDescent="0.3">
      <c r="A2890" t="s">
        <v>153</v>
      </c>
      <c r="B2890" t="s">
        <v>210</v>
      </c>
      <c r="C2890" t="s">
        <v>460</v>
      </c>
      <c r="D2890" t="s">
        <v>7836</v>
      </c>
      <c r="E2890" t="s">
        <v>75</v>
      </c>
    </row>
    <row r="2891" spans="1:5" x14ac:dyDescent="0.3">
      <c r="A2891" t="s">
        <v>82</v>
      </c>
      <c r="B2891" t="s">
        <v>7837</v>
      </c>
      <c r="C2891" t="s">
        <v>459</v>
      </c>
      <c r="D2891" t="s">
        <v>7836</v>
      </c>
      <c r="E2891" t="s">
        <v>75</v>
      </c>
    </row>
    <row r="2892" spans="1:5" x14ac:dyDescent="0.3">
      <c r="A2892" t="s">
        <v>1475</v>
      </c>
      <c r="B2892" t="s">
        <v>5999</v>
      </c>
      <c r="C2892" t="s">
        <v>467</v>
      </c>
    </row>
    <row r="2893" spans="1:5" x14ac:dyDescent="0.3">
      <c r="A2893" t="s">
        <v>2695</v>
      </c>
      <c r="B2893" t="s">
        <v>7839</v>
      </c>
      <c r="C2893" t="s">
        <v>5766</v>
      </c>
      <c r="D2893" t="s">
        <v>7838</v>
      </c>
      <c r="E2893" t="s">
        <v>75</v>
      </c>
    </row>
    <row r="2894" spans="1:5" x14ac:dyDescent="0.3">
      <c r="A2894" t="s">
        <v>230</v>
      </c>
      <c r="B2894" t="s">
        <v>7841</v>
      </c>
      <c r="C2894" t="s">
        <v>459</v>
      </c>
      <c r="D2894" t="s">
        <v>7840</v>
      </c>
      <c r="E2894" t="s">
        <v>75</v>
      </c>
    </row>
    <row r="2895" spans="1:5" x14ac:dyDescent="0.3">
      <c r="A2895" t="s">
        <v>79</v>
      </c>
      <c r="B2895" t="s">
        <v>6127</v>
      </c>
      <c r="C2895" t="s">
        <v>460</v>
      </c>
      <c r="D2895" t="s">
        <v>7844</v>
      </c>
      <c r="E2895" t="s">
        <v>75</v>
      </c>
    </row>
    <row r="2896" spans="1:5" x14ac:dyDescent="0.3">
      <c r="A2896" t="s">
        <v>352</v>
      </c>
      <c r="B2896" t="s">
        <v>7845</v>
      </c>
      <c r="C2896" t="s">
        <v>457</v>
      </c>
      <c r="D2896" t="s">
        <v>4041</v>
      </c>
      <c r="E2896" t="s">
        <v>75</v>
      </c>
    </row>
    <row r="2897" spans="1:5" x14ac:dyDescent="0.3">
      <c r="A2897" t="s">
        <v>352</v>
      </c>
      <c r="B2897" t="s">
        <v>7846</v>
      </c>
      <c r="C2897" t="s">
        <v>862</v>
      </c>
      <c r="D2897" t="s">
        <v>747</v>
      </c>
      <c r="E2897" t="s">
        <v>1</v>
      </c>
    </row>
    <row r="2898" spans="1:5" x14ac:dyDescent="0.3">
      <c r="A2898" t="s">
        <v>1045</v>
      </c>
      <c r="B2898" t="s">
        <v>2702</v>
      </c>
      <c r="C2898" t="s">
        <v>460</v>
      </c>
      <c r="D2898" t="s">
        <v>7847</v>
      </c>
      <c r="E2898" t="s">
        <v>75</v>
      </c>
    </row>
    <row r="2899" spans="1:5" x14ac:dyDescent="0.3">
      <c r="A2899" t="s">
        <v>220</v>
      </c>
      <c r="B2899" t="s">
        <v>5561</v>
      </c>
      <c r="C2899" t="s">
        <v>458</v>
      </c>
      <c r="D2899" t="s">
        <v>7848</v>
      </c>
      <c r="E2899" t="s">
        <v>75</v>
      </c>
    </row>
    <row r="2900" spans="1:5" x14ac:dyDescent="0.3">
      <c r="A2900" t="s">
        <v>7849</v>
      </c>
      <c r="B2900" t="s">
        <v>824</v>
      </c>
      <c r="C2900" t="s">
        <v>2571</v>
      </c>
      <c r="D2900" t="s">
        <v>747</v>
      </c>
      <c r="E2900" t="s">
        <v>1</v>
      </c>
    </row>
    <row r="2901" spans="1:5" x14ac:dyDescent="0.3">
      <c r="A2901" t="s">
        <v>7850</v>
      </c>
      <c r="B2901" t="s">
        <v>7851</v>
      </c>
      <c r="C2901" t="s">
        <v>467</v>
      </c>
      <c r="D2901" t="s">
        <v>1186</v>
      </c>
      <c r="E2901" t="s">
        <v>841</v>
      </c>
    </row>
    <row r="2902" spans="1:5" x14ac:dyDescent="0.3">
      <c r="A2902" t="s">
        <v>190</v>
      </c>
      <c r="B2902" t="s">
        <v>216</v>
      </c>
      <c r="C2902" t="s">
        <v>862</v>
      </c>
      <c r="D2902" t="s">
        <v>1509</v>
      </c>
      <c r="E2902" t="s">
        <v>781</v>
      </c>
    </row>
    <row r="2903" spans="1:5" x14ac:dyDescent="0.3">
      <c r="A2903" t="s">
        <v>64</v>
      </c>
      <c r="B2903" t="s">
        <v>7852</v>
      </c>
      <c r="C2903" t="s">
        <v>461</v>
      </c>
      <c r="D2903" t="s">
        <v>2784</v>
      </c>
      <c r="E2903" t="s">
        <v>75</v>
      </c>
    </row>
    <row r="2904" spans="1:5" x14ac:dyDescent="0.3">
      <c r="A2904" t="s">
        <v>445</v>
      </c>
      <c r="B2904" t="s">
        <v>7856</v>
      </c>
      <c r="C2904" t="s">
        <v>7855</v>
      </c>
      <c r="D2904" t="s">
        <v>7854</v>
      </c>
      <c r="E2904" t="s">
        <v>75</v>
      </c>
    </row>
    <row r="2905" spans="1:5" x14ac:dyDescent="0.3">
      <c r="A2905" t="s">
        <v>3033</v>
      </c>
      <c r="B2905" t="s">
        <v>7858</v>
      </c>
      <c r="C2905" t="s">
        <v>467</v>
      </c>
      <c r="D2905" t="s">
        <v>7857</v>
      </c>
      <c r="E2905" t="s">
        <v>75</v>
      </c>
    </row>
    <row r="2906" spans="1:5" x14ac:dyDescent="0.3">
      <c r="A2906" t="s">
        <v>295</v>
      </c>
      <c r="B2906" t="s">
        <v>433</v>
      </c>
      <c r="C2906" t="s">
        <v>518</v>
      </c>
      <c r="D2906" t="s">
        <v>1509</v>
      </c>
      <c r="E2906" t="s">
        <v>781</v>
      </c>
    </row>
    <row r="2907" spans="1:5" x14ac:dyDescent="0.3">
      <c r="A2907" t="s">
        <v>4902</v>
      </c>
      <c r="B2907" t="s">
        <v>4027</v>
      </c>
      <c r="C2907" t="s">
        <v>467</v>
      </c>
      <c r="D2907" t="s">
        <v>1509</v>
      </c>
      <c r="E2907" t="s">
        <v>781</v>
      </c>
    </row>
    <row r="2908" spans="1:5" x14ac:dyDescent="0.3">
      <c r="A2908" t="s">
        <v>146</v>
      </c>
      <c r="B2908" t="s">
        <v>834</v>
      </c>
      <c r="C2908" t="s">
        <v>459</v>
      </c>
      <c r="D2908" t="s">
        <v>1509</v>
      </c>
      <c r="E2908" t="s">
        <v>781</v>
      </c>
    </row>
    <row r="2909" spans="1:5" x14ac:dyDescent="0.3">
      <c r="A2909" t="s">
        <v>195</v>
      </c>
      <c r="B2909" t="s">
        <v>7859</v>
      </c>
      <c r="C2909" t="s">
        <v>3299</v>
      </c>
      <c r="D2909" t="s">
        <v>1509</v>
      </c>
      <c r="E2909" t="s">
        <v>781</v>
      </c>
    </row>
    <row r="2910" spans="1:5" x14ac:dyDescent="0.3">
      <c r="A2910" t="s">
        <v>220</v>
      </c>
      <c r="B2910" t="s">
        <v>2208</v>
      </c>
      <c r="C2910" t="s">
        <v>456</v>
      </c>
      <c r="D2910" t="s">
        <v>1509</v>
      </c>
      <c r="E2910" t="s">
        <v>781</v>
      </c>
    </row>
    <row r="2911" spans="1:5" x14ac:dyDescent="0.3">
      <c r="A2911" t="s">
        <v>68</v>
      </c>
      <c r="B2911" t="s">
        <v>992</v>
      </c>
      <c r="C2911" t="s">
        <v>518</v>
      </c>
      <c r="D2911" t="s">
        <v>1509</v>
      </c>
      <c r="E2911" t="s">
        <v>781</v>
      </c>
    </row>
    <row r="2912" spans="1:5" x14ac:dyDescent="0.3">
      <c r="A2912" t="s">
        <v>4790</v>
      </c>
      <c r="B2912" t="s">
        <v>7861</v>
      </c>
      <c r="C2912" t="s">
        <v>467</v>
      </c>
      <c r="D2912" t="s">
        <v>7860</v>
      </c>
      <c r="E2912" t="s">
        <v>75</v>
      </c>
    </row>
    <row r="2913" spans="1:5" x14ac:dyDescent="0.3">
      <c r="A2913" t="s">
        <v>428</v>
      </c>
      <c r="B2913" t="s">
        <v>3831</v>
      </c>
      <c r="C2913" t="s">
        <v>862</v>
      </c>
      <c r="D2913" t="s">
        <v>1509</v>
      </c>
      <c r="E2913" t="s">
        <v>781</v>
      </c>
    </row>
    <row r="2914" spans="1:5" x14ac:dyDescent="0.3">
      <c r="A2914" t="s">
        <v>111</v>
      </c>
      <c r="B2914" t="s">
        <v>7863</v>
      </c>
      <c r="C2914" t="s">
        <v>7862</v>
      </c>
      <c r="D2914" t="s">
        <v>1509</v>
      </c>
      <c r="E2914" t="s">
        <v>781</v>
      </c>
    </row>
    <row r="2915" spans="1:5" x14ac:dyDescent="0.3">
      <c r="A2915" t="s">
        <v>298</v>
      </c>
      <c r="B2915" t="s">
        <v>7865</v>
      </c>
      <c r="C2915" t="s">
        <v>862</v>
      </c>
      <c r="D2915" t="s">
        <v>7864</v>
      </c>
      <c r="E2915" t="s">
        <v>781</v>
      </c>
    </row>
    <row r="2916" spans="1:5" x14ac:dyDescent="0.3">
      <c r="A2916" t="s">
        <v>7601</v>
      </c>
      <c r="B2916" t="s">
        <v>7866</v>
      </c>
      <c r="C2916" t="s">
        <v>461</v>
      </c>
      <c r="D2916" t="s">
        <v>7864</v>
      </c>
      <c r="E2916" t="s">
        <v>781</v>
      </c>
    </row>
    <row r="2917" spans="1:5" x14ac:dyDescent="0.3">
      <c r="A2917" t="s">
        <v>5873</v>
      </c>
      <c r="B2917" t="s">
        <v>7868</v>
      </c>
      <c r="C2917" t="s">
        <v>862</v>
      </c>
      <c r="D2917" t="s">
        <v>902</v>
      </c>
      <c r="E2917" t="s">
        <v>1</v>
      </c>
    </row>
    <row r="2918" spans="1:5" x14ac:dyDescent="0.3">
      <c r="A2918" t="s">
        <v>411</v>
      </c>
      <c r="B2918" t="s">
        <v>7870</v>
      </c>
      <c r="C2918" t="s">
        <v>7869</v>
      </c>
      <c r="D2918" t="s">
        <v>902</v>
      </c>
      <c r="E2918" t="s">
        <v>1</v>
      </c>
    </row>
    <row r="2919" spans="1:5" x14ac:dyDescent="0.3">
      <c r="A2919" t="s">
        <v>3449</v>
      </c>
      <c r="B2919" t="s">
        <v>7872</v>
      </c>
      <c r="C2919" t="s">
        <v>7871</v>
      </c>
      <c r="D2919" t="s">
        <v>4259</v>
      </c>
      <c r="E2919" t="s">
        <v>75</v>
      </c>
    </row>
    <row r="2920" spans="1:5" x14ac:dyDescent="0.3">
      <c r="A2920" t="s">
        <v>2423</v>
      </c>
      <c r="B2920" t="s">
        <v>5376</v>
      </c>
      <c r="C2920" t="s">
        <v>457</v>
      </c>
      <c r="D2920" t="s">
        <v>7873</v>
      </c>
      <c r="E2920" t="s">
        <v>75</v>
      </c>
    </row>
    <row r="2921" spans="1:5" x14ac:dyDescent="0.3">
      <c r="A2921" t="s">
        <v>2462</v>
      </c>
      <c r="B2921" t="s">
        <v>7875</v>
      </c>
      <c r="C2921" t="s">
        <v>7874</v>
      </c>
      <c r="D2921" t="s">
        <v>4259</v>
      </c>
      <c r="E2921" t="s">
        <v>75</v>
      </c>
    </row>
    <row r="2922" spans="1:5" x14ac:dyDescent="0.3">
      <c r="A2922" t="s">
        <v>404</v>
      </c>
      <c r="B2922" t="s">
        <v>7876</v>
      </c>
      <c r="C2922" t="s">
        <v>458</v>
      </c>
      <c r="D2922" t="s">
        <v>4259</v>
      </c>
      <c r="E2922" t="s">
        <v>75</v>
      </c>
    </row>
    <row r="2923" spans="1:5" x14ac:dyDescent="0.3">
      <c r="A2923" t="s">
        <v>1182</v>
      </c>
      <c r="B2923" t="s">
        <v>1825</v>
      </c>
      <c r="C2923" t="s">
        <v>7877</v>
      </c>
      <c r="D2923" t="s">
        <v>4259</v>
      </c>
      <c r="E2923" t="s">
        <v>75</v>
      </c>
    </row>
    <row r="2924" spans="1:5" x14ac:dyDescent="0.3">
      <c r="A2924" t="s">
        <v>41</v>
      </c>
      <c r="B2924" t="s">
        <v>123</v>
      </c>
      <c r="C2924" t="s">
        <v>461</v>
      </c>
      <c r="D2924" t="s">
        <v>4276</v>
      </c>
      <c r="E2924" t="s">
        <v>75</v>
      </c>
    </row>
    <row r="2925" spans="1:5" x14ac:dyDescent="0.3">
      <c r="A2925" t="s">
        <v>68</v>
      </c>
      <c r="B2925" t="s">
        <v>139</v>
      </c>
      <c r="C2925" t="s">
        <v>457</v>
      </c>
    </row>
    <row r="2926" spans="1:5" x14ac:dyDescent="0.3">
      <c r="A2926" t="s">
        <v>7878</v>
      </c>
      <c r="B2926" t="s">
        <v>7879</v>
      </c>
      <c r="C2926" t="s">
        <v>518</v>
      </c>
      <c r="D2926" t="s">
        <v>1509</v>
      </c>
      <c r="E2926" t="s">
        <v>781</v>
      </c>
    </row>
    <row r="2927" spans="1:5" x14ac:dyDescent="0.3">
      <c r="A2927" t="s">
        <v>29</v>
      </c>
      <c r="B2927" t="s">
        <v>6088</v>
      </c>
      <c r="C2927" t="s">
        <v>862</v>
      </c>
      <c r="D2927" t="s">
        <v>4315</v>
      </c>
      <c r="E2927" t="s">
        <v>75</v>
      </c>
    </row>
    <row r="2928" spans="1:5" x14ac:dyDescent="0.3">
      <c r="A2928" t="s">
        <v>184</v>
      </c>
      <c r="B2928" t="s">
        <v>5775</v>
      </c>
      <c r="C2928" t="s">
        <v>457</v>
      </c>
    </row>
    <row r="2929" spans="1:5" x14ac:dyDescent="0.3">
      <c r="A2929" t="s">
        <v>59</v>
      </c>
      <c r="B2929" t="s">
        <v>7884</v>
      </c>
      <c r="C2929" t="s">
        <v>457</v>
      </c>
      <c r="D2929" t="s">
        <v>4337</v>
      </c>
      <c r="E2929" t="s">
        <v>75</v>
      </c>
    </row>
    <row r="2930" spans="1:5" x14ac:dyDescent="0.3">
      <c r="A2930" t="s">
        <v>224</v>
      </c>
      <c r="B2930" t="s">
        <v>991</v>
      </c>
      <c r="C2930" t="s">
        <v>467</v>
      </c>
      <c r="D2930" t="s">
        <v>4355</v>
      </c>
      <c r="E2930" t="s">
        <v>75</v>
      </c>
    </row>
    <row r="2931" spans="1:5" x14ac:dyDescent="0.3">
      <c r="A2931" t="s">
        <v>2941</v>
      </c>
      <c r="B2931" t="s">
        <v>7885</v>
      </c>
      <c r="C2931" t="s">
        <v>455</v>
      </c>
    </row>
    <row r="2932" spans="1:5" x14ac:dyDescent="0.3">
      <c r="A2932" t="s">
        <v>1808</v>
      </c>
      <c r="B2932" t="s">
        <v>7887</v>
      </c>
      <c r="C2932" t="s">
        <v>7886</v>
      </c>
      <c r="D2932" t="s">
        <v>3192</v>
      </c>
      <c r="E2932" t="s">
        <v>743</v>
      </c>
    </row>
    <row r="2933" spans="1:5" x14ac:dyDescent="0.3">
      <c r="A2933" t="s">
        <v>3231</v>
      </c>
      <c r="B2933" t="s">
        <v>7888</v>
      </c>
      <c r="C2933" t="s">
        <v>5906</v>
      </c>
    </row>
    <row r="2934" spans="1:5" x14ac:dyDescent="0.3">
      <c r="A2934" t="s">
        <v>1243</v>
      </c>
      <c r="B2934" t="s">
        <v>7889</v>
      </c>
      <c r="C2934" t="s">
        <v>461</v>
      </c>
    </row>
    <row r="2935" spans="1:5" x14ac:dyDescent="0.3">
      <c r="A2935" t="s">
        <v>184</v>
      </c>
      <c r="B2935" t="s">
        <v>7891</v>
      </c>
      <c r="C2935" t="s">
        <v>7890</v>
      </c>
      <c r="D2935" t="s">
        <v>2668</v>
      </c>
      <c r="E2935" t="s">
        <v>75</v>
      </c>
    </row>
    <row r="2936" spans="1:5" x14ac:dyDescent="0.3">
      <c r="A2936" t="s">
        <v>7892</v>
      </c>
      <c r="B2936" t="s">
        <v>1477</v>
      </c>
      <c r="C2936" t="s">
        <v>7893</v>
      </c>
    </row>
    <row r="2937" spans="1:5" x14ac:dyDescent="0.3">
      <c r="A2937" t="s">
        <v>438</v>
      </c>
      <c r="B2937" t="s">
        <v>287</v>
      </c>
      <c r="C2937" t="s">
        <v>7894</v>
      </c>
      <c r="D2937" t="s">
        <v>4377</v>
      </c>
      <c r="E2937" t="s">
        <v>75</v>
      </c>
    </row>
    <row r="2938" spans="1:5" x14ac:dyDescent="0.3">
      <c r="A2938" t="s">
        <v>7895</v>
      </c>
      <c r="B2938" t="s">
        <v>2813</v>
      </c>
      <c r="C2938" t="s">
        <v>7896</v>
      </c>
      <c r="D2938" t="s">
        <v>887</v>
      </c>
      <c r="E2938" t="s">
        <v>781</v>
      </c>
    </row>
    <row r="2939" spans="1:5" x14ac:dyDescent="0.3">
      <c r="A2939" t="s">
        <v>100</v>
      </c>
      <c r="B2939" t="s">
        <v>7898</v>
      </c>
      <c r="C2939" t="s">
        <v>7897</v>
      </c>
      <c r="D2939" t="s">
        <v>2829</v>
      </c>
      <c r="E2939" t="s">
        <v>774</v>
      </c>
    </row>
    <row r="2940" spans="1:5" x14ac:dyDescent="0.3">
      <c r="A2940" t="s">
        <v>2858</v>
      </c>
      <c r="B2940" t="s">
        <v>7900</v>
      </c>
      <c r="C2940" t="s">
        <v>698</v>
      </c>
      <c r="D2940" t="s">
        <v>7899</v>
      </c>
      <c r="E2940" t="s">
        <v>75</v>
      </c>
    </row>
    <row r="2941" spans="1:5" x14ac:dyDescent="0.3">
      <c r="A2941" t="s">
        <v>206</v>
      </c>
      <c r="B2941" t="s">
        <v>139</v>
      </c>
      <c r="C2941" t="s">
        <v>862</v>
      </c>
      <c r="D2941" t="s">
        <v>7899</v>
      </c>
      <c r="E2941" t="s">
        <v>75</v>
      </c>
    </row>
    <row r="2942" spans="1:5" x14ac:dyDescent="0.3">
      <c r="A2942" t="s">
        <v>772</v>
      </c>
      <c r="B2942" t="s">
        <v>7903</v>
      </c>
      <c r="C2942" t="s">
        <v>7902</v>
      </c>
      <c r="D2942" t="s">
        <v>887</v>
      </c>
      <c r="E2942" t="s">
        <v>781</v>
      </c>
    </row>
    <row r="2943" spans="1:5" x14ac:dyDescent="0.3">
      <c r="A2943" t="s">
        <v>864</v>
      </c>
      <c r="B2943" t="s">
        <v>5005</v>
      </c>
      <c r="C2943" t="s">
        <v>6931</v>
      </c>
      <c r="D2943" t="s">
        <v>910</v>
      </c>
      <c r="E2943" t="s">
        <v>1</v>
      </c>
    </row>
    <row r="2944" spans="1:5" x14ac:dyDescent="0.3">
      <c r="A2944" t="s">
        <v>4260</v>
      </c>
      <c r="B2944" t="s">
        <v>7906</v>
      </c>
      <c r="C2944" t="s">
        <v>7905</v>
      </c>
      <c r="D2944" t="s">
        <v>4411</v>
      </c>
      <c r="E2944" t="s">
        <v>75</v>
      </c>
    </row>
    <row r="2945" spans="1:5" x14ac:dyDescent="0.3">
      <c r="A2945" t="s">
        <v>1988</v>
      </c>
      <c r="B2945" t="s">
        <v>2009</v>
      </c>
      <c r="C2945" t="s">
        <v>7907</v>
      </c>
      <c r="D2945" t="s">
        <v>4411</v>
      </c>
      <c r="E2945" t="s">
        <v>75</v>
      </c>
    </row>
    <row r="2946" spans="1:5" x14ac:dyDescent="0.3">
      <c r="A2946" t="s">
        <v>116</v>
      </c>
      <c r="B2946" t="s">
        <v>7909</v>
      </c>
      <c r="C2946" t="s">
        <v>7908</v>
      </c>
    </row>
    <row r="2947" spans="1:5" x14ac:dyDescent="0.3">
      <c r="A2947" t="s">
        <v>351</v>
      </c>
      <c r="B2947" t="s">
        <v>4322</v>
      </c>
      <c r="C2947" t="s">
        <v>461</v>
      </c>
      <c r="D2947" t="s">
        <v>7910</v>
      </c>
      <c r="E2947" t="s">
        <v>761</v>
      </c>
    </row>
    <row r="2948" spans="1:5" x14ac:dyDescent="0.3">
      <c r="A2948" t="s">
        <v>864</v>
      </c>
      <c r="B2948" t="s">
        <v>4425</v>
      </c>
      <c r="C2948" t="s">
        <v>862</v>
      </c>
      <c r="D2948" t="s">
        <v>4411</v>
      </c>
      <c r="E2948" t="s">
        <v>75</v>
      </c>
    </row>
    <row r="2949" spans="1:5" x14ac:dyDescent="0.3">
      <c r="A2949" t="s">
        <v>130</v>
      </c>
      <c r="B2949" t="s">
        <v>1206</v>
      </c>
      <c r="C2949" t="s">
        <v>862</v>
      </c>
      <c r="D2949" t="s">
        <v>4411</v>
      </c>
      <c r="E2949" t="s">
        <v>75</v>
      </c>
    </row>
    <row r="2950" spans="1:5" x14ac:dyDescent="0.3">
      <c r="A2950" t="s">
        <v>177</v>
      </c>
      <c r="B2950" t="s">
        <v>7912</v>
      </c>
      <c r="C2950" t="s">
        <v>451</v>
      </c>
      <c r="D2950" t="s">
        <v>7911</v>
      </c>
      <c r="E2950" t="s">
        <v>75</v>
      </c>
    </row>
    <row r="2951" spans="1:5" x14ac:dyDescent="0.3">
      <c r="A2951" t="s">
        <v>1822</v>
      </c>
      <c r="B2951" t="s">
        <v>434</v>
      </c>
      <c r="C2951" t="s">
        <v>7913</v>
      </c>
    </row>
    <row r="2952" spans="1:5" x14ac:dyDescent="0.3">
      <c r="A2952" t="s">
        <v>7914</v>
      </c>
      <c r="B2952" t="s">
        <v>7916</v>
      </c>
      <c r="C2952" t="s">
        <v>7915</v>
      </c>
      <c r="D2952" t="s">
        <v>5302</v>
      </c>
      <c r="E2952" t="s">
        <v>774</v>
      </c>
    </row>
    <row r="2953" spans="1:5" x14ac:dyDescent="0.3">
      <c r="A2953" t="s">
        <v>1172</v>
      </c>
      <c r="B2953" t="s">
        <v>3233</v>
      </c>
      <c r="C2953" t="s">
        <v>461</v>
      </c>
      <c r="D2953" t="s">
        <v>4388</v>
      </c>
      <c r="E2953" t="s">
        <v>75</v>
      </c>
    </row>
    <row r="2954" spans="1:5" x14ac:dyDescent="0.3">
      <c r="A2954" t="s">
        <v>66</v>
      </c>
      <c r="B2954" t="s">
        <v>7917</v>
      </c>
      <c r="C2954" t="s">
        <v>862</v>
      </c>
      <c r="D2954" t="s">
        <v>4475</v>
      </c>
      <c r="E2954" t="s">
        <v>75</v>
      </c>
    </row>
    <row r="2955" spans="1:5" x14ac:dyDescent="0.3">
      <c r="A2955" t="s">
        <v>41</v>
      </c>
      <c r="B2955" t="s">
        <v>7919</v>
      </c>
      <c r="C2955" t="s">
        <v>7918</v>
      </c>
      <c r="D2955" t="s">
        <v>4475</v>
      </c>
      <c r="E2955" t="s">
        <v>75</v>
      </c>
    </row>
    <row r="2956" spans="1:5" x14ac:dyDescent="0.3">
      <c r="A2956" t="s">
        <v>160</v>
      </c>
      <c r="B2956" t="s">
        <v>896</v>
      </c>
      <c r="C2956" t="s">
        <v>7920</v>
      </c>
      <c r="D2956" t="s">
        <v>4475</v>
      </c>
      <c r="E2956" t="s">
        <v>75</v>
      </c>
    </row>
    <row r="2957" spans="1:5" x14ac:dyDescent="0.3">
      <c r="A2957" t="s">
        <v>7921</v>
      </c>
      <c r="B2957" t="s">
        <v>7922</v>
      </c>
      <c r="C2957" t="s">
        <v>5906</v>
      </c>
    </row>
    <row r="2958" spans="1:5" x14ac:dyDescent="0.3">
      <c r="A2958" t="s">
        <v>7923</v>
      </c>
      <c r="B2958" t="s">
        <v>7925</v>
      </c>
      <c r="C2958" t="s">
        <v>7924</v>
      </c>
      <c r="D2958" t="s">
        <v>3225</v>
      </c>
      <c r="E2958" t="s">
        <v>841</v>
      </c>
    </row>
    <row r="2959" spans="1:5" x14ac:dyDescent="0.3">
      <c r="A2959" t="s">
        <v>5929</v>
      </c>
      <c r="B2959" t="s">
        <v>148</v>
      </c>
      <c r="C2959" t="s">
        <v>467</v>
      </c>
      <c r="D2959" t="s">
        <v>7926</v>
      </c>
      <c r="E2959" t="s">
        <v>75</v>
      </c>
    </row>
    <row r="2960" spans="1:5" x14ac:dyDescent="0.3">
      <c r="A2960" t="s">
        <v>3182</v>
      </c>
      <c r="B2960" t="s">
        <v>7928</v>
      </c>
      <c r="C2960" t="s">
        <v>7927</v>
      </c>
    </row>
    <row r="2961" spans="1:5" x14ac:dyDescent="0.3">
      <c r="A2961" t="s">
        <v>3090</v>
      </c>
      <c r="B2961" t="s">
        <v>4677</v>
      </c>
      <c r="C2961" t="s">
        <v>698</v>
      </c>
    </row>
    <row r="2962" spans="1:5" x14ac:dyDescent="0.3">
      <c r="A2962" t="s">
        <v>3676</v>
      </c>
      <c r="B2962" t="s">
        <v>7931</v>
      </c>
      <c r="C2962" t="s">
        <v>7930</v>
      </c>
    </row>
    <row r="2963" spans="1:5" x14ac:dyDescent="0.3">
      <c r="A2963" t="s">
        <v>7932</v>
      </c>
      <c r="B2963" t="s">
        <v>1824</v>
      </c>
      <c r="C2963" t="s">
        <v>862</v>
      </c>
      <c r="D2963" t="s">
        <v>4528</v>
      </c>
      <c r="E2963" t="s">
        <v>75</v>
      </c>
    </row>
    <row r="2964" spans="1:5" x14ac:dyDescent="0.3">
      <c r="A2964" t="s">
        <v>63</v>
      </c>
      <c r="B2964" t="s">
        <v>7933</v>
      </c>
      <c r="C2964" t="s">
        <v>718</v>
      </c>
      <c r="D2964" t="s">
        <v>3225</v>
      </c>
      <c r="E2964" t="s">
        <v>841</v>
      </c>
    </row>
    <row r="2965" spans="1:5" x14ac:dyDescent="0.3">
      <c r="A2965" t="s">
        <v>334</v>
      </c>
      <c r="B2965" t="s">
        <v>7934</v>
      </c>
      <c r="C2965" t="s">
        <v>698</v>
      </c>
      <c r="D2965" t="s">
        <v>5215</v>
      </c>
      <c r="E2965" t="s">
        <v>75</v>
      </c>
    </row>
    <row r="2966" spans="1:5" x14ac:dyDescent="0.3">
      <c r="A2966" t="s">
        <v>50</v>
      </c>
      <c r="B2966" t="s">
        <v>4462</v>
      </c>
      <c r="C2966" t="s">
        <v>862</v>
      </c>
      <c r="D2966" t="s">
        <v>1246</v>
      </c>
      <c r="E2966" t="s">
        <v>1</v>
      </c>
    </row>
    <row r="2967" spans="1:5" x14ac:dyDescent="0.3">
      <c r="A2967" t="s">
        <v>3088</v>
      </c>
      <c r="B2967" t="s">
        <v>123</v>
      </c>
      <c r="C2967" t="s">
        <v>7936</v>
      </c>
      <c r="D2967" t="s">
        <v>7935</v>
      </c>
      <c r="E2967" t="s">
        <v>774</v>
      </c>
    </row>
    <row r="2968" spans="1:5" x14ac:dyDescent="0.3">
      <c r="A2968" t="s">
        <v>1135</v>
      </c>
      <c r="B2968" t="s">
        <v>7937</v>
      </c>
      <c r="C2968" t="s">
        <v>518</v>
      </c>
      <c r="D2968" t="s">
        <v>763</v>
      </c>
      <c r="E2968" t="s">
        <v>1</v>
      </c>
    </row>
    <row r="2969" spans="1:5" x14ac:dyDescent="0.3">
      <c r="A2969" t="s">
        <v>1943</v>
      </c>
      <c r="B2969" t="s">
        <v>197</v>
      </c>
      <c r="C2969" t="s">
        <v>7938</v>
      </c>
      <c r="D2969" t="s">
        <v>4570</v>
      </c>
      <c r="E2969" t="s">
        <v>75</v>
      </c>
    </row>
    <row r="2970" spans="1:5" x14ac:dyDescent="0.3">
      <c r="A2970" t="s">
        <v>259</v>
      </c>
      <c r="B2970" t="s">
        <v>1426</v>
      </c>
      <c r="C2970" t="s">
        <v>461</v>
      </c>
      <c r="D2970" t="s">
        <v>3623</v>
      </c>
      <c r="E2970" t="s">
        <v>761</v>
      </c>
    </row>
    <row r="2971" spans="1:5" x14ac:dyDescent="0.3">
      <c r="A2971" t="s">
        <v>41</v>
      </c>
      <c r="B2971" t="s">
        <v>2737</v>
      </c>
      <c r="C2971" t="s">
        <v>698</v>
      </c>
    </row>
    <row r="2972" spans="1:5" x14ac:dyDescent="0.3">
      <c r="A2972" t="s">
        <v>7940</v>
      </c>
      <c r="B2972" t="s">
        <v>7941</v>
      </c>
      <c r="C2972" t="s">
        <v>461</v>
      </c>
    </row>
    <row r="2973" spans="1:5" x14ac:dyDescent="0.3">
      <c r="A2973" t="s">
        <v>66</v>
      </c>
      <c r="B2973" t="s">
        <v>750</v>
      </c>
      <c r="C2973" t="s">
        <v>7942</v>
      </c>
    </row>
    <row r="2974" spans="1:5" x14ac:dyDescent="0.3">
      <c r="A2974" t="s">
        <v>1182</v>
      </c>
      <c r="B2974" t="s">
        <v>7943</v>
      </c>
      <c r="C2974" t="s">
        <v>4318</v>
      </c>
    </row>
    <row r="2975" spans="1:5" x14ac:dyDescent="0.3">
      <c r="A2975" t="s">
        <v>111</v>
      </c>
      <c r="B2975" t="s">
        <v>1296</v>
      </c>
      <c r="C2975" t="s">
        <v>7944</v>
      </c>
      <c r="D2975" t="s">
        <v>2831</v>
      </c>
      <c r="E2975" t="s">
        <v>75</v>
      </c>
    </row>
    <row r="2976" spans="1:5" x14ac:dyDescent="0.3">
      <c r="A2976" t="s">
        <v>3692</v>
      </c>
      <c r="B2976" t="s">
        <v>1052</v>
      </c>
      <c r="C2976" t="s">
        <v>7947</v>
      </c>
      <c r="D2976" t="s">
        <v>910</v>
      </c>
      <c r="E2976" t="s">
        <v>1</v>
      </c>
    </row>
    <row r="2977" spans="1:5" x14ac:dyDescent="0.3">
      <c r="A2977" t="s">
        <v>1485</v>
      </c>
      <c r="B2977" t="s">
        <v>7949</v>
      </c>
      <c r="C2977" t="s">
        <v>7948</v>
      </c>
      <c r="D2977" t="s">
        <v>1042</v>
      </c>
      <c r="E2977" t="s">
        <v>761</v>
      </c>
    </row>
    <row r="2978" spans="1:5" x14ac:dyDescent="0.3">
      <c r="A2978" t="s">
        <v>6143</v>
      </c>
      <c r="B2978" t="s">
        <v>3495</v>
      </c>
      <c r="C2978" t="s">
        <v>7951</v>
      </c>
      <c r="D2978" t="s">
        <v>7950</v>
      </c>
      <c r="E2978" t="s">
        <v>75</v>
      </c>
    </row>
    <row r="2979" spans="1:5" x14ac:dyDescent="0.3">
      <c r="A2979" t="s">
        <v>20</v>
      </c>
      <c r="B2979" t="s">
        <v>196</v>
      </c>
      <c r="C2979" t="s">
        <v>467</v>
      </c>
      <c r="D2979" t="s">
        <v>4672</v>
      </c>
      <c r="E2979" t="s">
        <v>75</v>
      </c>
    </row>
    <row r="2980" spans="1:5" x14ac:dyDescent="0.3">
      <c r="A2980" t="s">
        <v>374</v>
      </c>
      <c r="B2980" t="s">
        <v>375</v>
      </c>
      <c r="C2980" t="s">
        <v>376</v>
      </c>
      <c r="D2980" t="s">
        <v>4672</v>
      </c>
      <c r="E2980" t="s">
        <v>75</v>
      </c>
    </row>
    <row r="2981" spans="1:5" x14ac:dyDescent="0.3">
      <c r="A2981" t="s">
        <v>195</v>
      </c>
      <c r="B2981" t="s">
        <v>2621</v>
      </c>
      <c r="C2981" t="s">
        <v>7954</v>
      </c>
    </row>
    <row r="2982" spans="1:5" x14ac:dyDescent="0.3">
      <c r="A2982" t="s">
        <v>123</v>
      </c>
      <c r="B2982" t="s">
        <v>6762</v>
      </c>
      <c r="C2982" t="s">
        <v>459</v>
      </c>
      <c r="D2982" t="s">
        <v>7955</v>
      </c>
      <c r="E2982" t="s">
        <v>75</v>
      </c>
    </row>
    <row r="2983" spans="1:5" x14ac:dyDescent="0.3">
      <c r="A2983" t="s">
        <v>5129</v>
      </c>
      <c r="B2983" t="s">
        <v>7956</v>
      </c>
      <c r="C2983" t="s">
        <v>467</v>
      </c>
      <c r="D2983" t="s">
        <v>7955</v>
      </c>
      <c r="E2983" t="s">
        <v>75</v>
      </c>
    </row>
    <row r="2984" spans="1:5" x14ac:dyDescent="0.3">
      <c r="A2984" t="s">
        <v>77</v>
      </c>
      <c r="B2984" t="s">
        <v>7957</v>
      </c>
      <c r="C2984" t="s">
        <v>862</v>
      </c>
      <c r="D2984" t="s">
        <v>4711</v>
      </c>
      <c r="E2984" t="s">
        <v>743</v>
      </c>
    </row>
    <row r="2985" spans="1:5" x14ac:dyDescent="0.3">
      <c r="A2985" t="s">
        <v>298</v>
      </c>
      <c r="B2985" t="s">
        <v>5354</v>
      </c>
      <c r="C2985" t="s">
        <v>7960</v>
      </c>
      <c r="D2985" t="s">
        <v>7959</v>
      </c>
      <c r="E2985" t="s">
        <v>75</v>
      </c>
    </row>
    <row r="2986" spans="1:5" x14ac:dyDescent="0.3">
      <c r="A2986" t="s">
        <v>846</v>
      </c>
      <c r="B2986" t="s">
        <v>7962</v>
      </c>
      <c r="C2986" t="s">
        <v>7961</v>
      </c>
    </row>
    <row r="2987" spans="1:5" x14ac:dyDescent="0.3">
      <c r="A2987" t="s">
        <v>3574</v>
      </c>
      <c r="B2987" t="s">
        <v>7964</v>
      </c>
      <c r="C2987" t="s">
        <v>7963</v>
      </c>
      <c r="D2987" t="s">
        <v>4769</v>
      </c>
      <c r="E2987" t="s">
        <v>75</v>
      </c>
    </row>
    <row r="2988" spans="1:5" x14ac:dyDescent="0.3">
      <c r="A2988" t="s">
        <v>29</v>
      </c>
      <c r="B2988" t="s">
        <v>857</v>
      </c>
      <c r="C2988" t="s">
        <v>7965</v>
      </c>
    </row>
    <row r="2989" spans="1:5" x14ac:dyDescent="0.3">
      <c r="A2989" t="s">
        <v>7966</v>
      </c>
      <c r="B2989" t="s">
        <v>1293</v>
      </c>
      <c r="C2989" t="s">
        <v>7967</v>
      </c>
      <c r="D2989" t="s">
        <v>5635</v>
      </c>
      <c r="E2989" t="s">
        <v>774</v>
      </c>
    </row>
    <row r="2990" spans="1:5" x14ac:dyDescent="0.3">
      <c r="A2990" t="s">
        <v>997</v>
      </c>
      <c r="B2990" t="s">
        <v>7970</v>
      </c>
      <c r="C2990" t="s">
        <v>461</v>
      </c>
      <c r="D2990" t="s">
        <v>7969</v>
      </c>
      <c r="E2990" t="s">
        <v>75</v>
      </c>
    </row>
    <row r="2991" spans="1:5" x14ac:dyDescent="0.3">
      <c r="A2991" t="s">
        <v>1317</v>
      </c>
      <c r="B2991" t="s">
        <v>3171</v>
      </c>
      <c r="C2991" t="s">
        <v>467</v>
      </c>
      <c r="D2991" t="s">
        <v>7971</v>
      </c>
      <c r="E2991" t="s">
        <v>75</v>
      </c>
    </row>
    <row r="2992" spans="1:5" x14ac:dyDescent="0.3">
      <c r="A2992" t="s">
        <v>851</v>
      </c>
      <c r="B2992" t="s">
        <v>7972</v>
      </c>
      <c r="C2992" t="s">
        <v>461</v>
      </c>
      <c r="D2992" t="s">
        <v>4736</v>
      </c>
      <c r="E2992" t="s">
        <v>75</v>
      </c>
    </row>
    <row r="2993" spans="1:5" x14ac:dyDescent="0.3">
      <c r="A2993" t="s">
        <v>1556</v>
      </c>
      <c r="B2993" t="s">
        <v>7975</v>
      </c>
      <c r="C2993" t="s">
        <v>7974</v>
      </c>
      <c r="D2993" t="s">
        <v>7973</v>
      </c>
      <c r="E2993" t="s">
        <v>75</v>
      </c>
    </row>
    <row r="2994" spans="1:5" x14ac:dyDescent="0.3">
      <c r="A2994" t="s">
        <v>7977</v>
      </c>
      <c r="B2994" t="s">
        <v>7979</v>
      </c>
      <c r="C2994" t="s">
        <v>7978</v>
      </c>
      <c r="D2994" t="s">
        <v>7976</v>
      </c>
      <c r="E2994" t="s">
        <v>75</v>
      </c>
    </row>
    <row r="2995" spans="1:5" x14ac:dyDescent="0.3">
      <c r="A2995" t="s">
        <v>291</v>
      </c>
      <c r="B2995" t="s">
        <v>7980</v>
      </c>
      <c r="C2995" t="s">
        <v>455</v>
      </c>
      <c r="D2995" t="s">
        <v>3167</v>
      </c>
      <c r="E2995" t="s">
        <v>75</v>
      </c>
    </row>
    <row r="2996" spans="1:5" x14ac:dyDescent="0.3">
      <c r="A2996" t="s">
        <v>842</v>
      </c>
      <c r="B2996" t="s">
        <v>7981</v>
      </c>
      <c r="C2996" t="s">
        <v>461</v>
      </c>
      <c r="D2996" t="s">
        <v>7958</v>
      </c>
      <c r="E2996" t="s">
        <v>75</v>
      </c>
    </row>
    <row r="2997" spans="1:5" x14ac:dyDescent="0.3">
      <c r="A2997" t="s">
        <v>2370</v>
      </c>
      <c r="B2997" t="s">
        <v>7982</v>
      </c>
      <c r="C2997" t="s">
        <v>4645</v>
      </c>
    </row>
    <row r="2998" spans="1:5" x14ac:dyDescent="0.3">
      <c r="A2998" t="s">
        <v>50</v>
      </c>
      <c r="B2998" t="s">
        <v>4033</v>
      </c>
      <c r="C2998" t="s">
        <v>5858</v>
      </c>
      <c r="D2998" t="s">
        <v>787</v>
      </c>
      <c r="E2998" t="s">
        <v>1</v>
      </c>
    </row>
    <row r="2999" spans="1:5" x14ac:dyDescent="0.3">
      <c r="A2999" t="s">
        <v>41</v>
      </c>
      <c r="B2999" t="s">
        <v>7984</v>
      </c>
      <c r="C2999" t="s">
        <v>7983</v>
      </c>
      <c r="D2999" t="s">
        <v>787</v>
      </c>
      <c r="E2999" t="s">
        <v>1</v>
      </c>
    </row>
    <row r="3000" spans="1:5" x14ac:dyDescent="0.3">
      <c r="A3000" t="s">
        <v>1169</v>
      </c>
      <c r="B3000" t="s">
        <v>4173</v>
      </c>
      <c r="C3000" t="s">
        <v>628</v>
      </c>
      <c r="D3000" t="s">
        <v>787</v>
      </c>
      <c r="E3000" t="s">
        <v>1</v>
      </c>
    </row>
    <row r="3001" spans="1:5" x14ac:dyDescent="0.3">
      <c r="A3001" t="s">
        <v>3182</v>
      </c>
      <c r="B3001" t="s">
        <v>7986</v>
      </c>
      <c r="C3001" t="s">
        <v>7985</v>
      </c>
      <c r="D3001" t="s">
        <v>4636</v>
      </c>
      <c r="E3001" t="s">
        <v>774</v>
      </c>
    </row>
    <row r="3002" spans="1:5" x14ac:dyDescent="0.3">
      <c r="A3002" t="s">
        <v>63</v>
      </c>
      <c r="B3002" t="s">
        <v>7988</v>
      </c>
      <c r="C3002" t="s">
        <v>698</v>
      </c>
      <c r="D3002" t="s">
        <v>7987</v>
      </c>
      <c r="E3002" t="s">
        <v>781</v>
      </c>
    </row>
    <row r="3003" spans="1:5" x14ac:dyDescent="0.3">
      <c r="A3003" t="s">
        <v>224</v>
      </c>
      <c r="B3003" t="s">
        <v>3990</v>
      </c>
      <c r="C3003" t="s">
        <v>7961</v>
      </c>
      <c r="D3003" t="s">
        <v>7989</v>
      </c>
      <c r="E3003" t="s">
        <v>18</v>
      </c>
    </row>
    <row r="3004" spans="1:5" x14ac:dyDescent="0.3">
      <c r="A3004" t="s">
        <v>744</v>
      </c>
      <c r="B3004" t="s">
        <v>7991</v>
      </c>
      <c r="C3004" t="s">
        <v>7990</v>
      </c>
      <c r="D3004" t="s">
        <v>895</v>
      </c>
      <c r="E3004" t="s">
        <v>897</v>
      </c>
    </row>
    <row r="3005" spans="1:5" x14ac:dyDescent="0.3">
      <c r="A3005" t="s">
        <v>851</v>
      </c>
      <c r="B3005" t="s">
        <v>5482</v>
      </c>
      <c r="C3005" t="s">
        <v>467</v>
      </c>
      <c r="D3005" t="s">
        <v>7993</v>
      </c>
      <c r="E3005" t="s">
        <v>75</v>
      </c>
    </row>
    <row r="3006" spans="1:5" x14ac:dyDescent="0.3">
      <c r="A3006" t="s">
        <v>7995</v>
      </c>
      <c r="B3006" t="s">
        <v>7995</v>
      </c>
      <c r="C3006" t="s">
        <v>467</v>
      </c>
      <c r="D3006" t="s">
        <v>7994</v>
      </c>
      <c r="E3006" t="s">
        <v>75</v>
      </c>
    </row>
    <row r="3007" spans="1:5" x14ac:dyDescent="0.3">
      <c r="A3007" t="s">
        <v>4291</v>
      </c>
      <c r="B3007" t="s">
        <v>7997</v>
      </c>
      <c r="C3007" t="s">
        <v>3555</v>
      </c>
      <c r="D3007" t="s">
        <v>7996</v>
      </c>
      <c r="E3007" t="s">
        <v>774</v>
      </c>
    </row>
    <row r="3008" spans="1:5" x14ac:dyDescent="0.3">
      <c r="A3008" t="s">
        <v>195</v>
      </c>
      <c r="B3008" t="s">
        <v>7999</v>
      </c>
      <c r="C3008" t="s">
        <v>7998</v>
      </c>
    </row>
    <row r="3009" spans="1:5" x14ac:dyDescent="0.3">
      <c r="A3009" t="s">
        <v>772</v>
      </c>
      <c r="B3009" t="s">
        <v>8000</v>
      </c>
      <c r="C3009" t="s">
        <v>698</v>
      </c>
    </row>
    <row r="3010" spans="1:5" x14ac:dyDescent="0.3">
      <c r="A3010" t="s">
        <v>27</v>
      </c>
      <c r="B3010" t="s">
        <v>8003</v>
      </c>
      <c r="C3010" t="s">
        <v>8002</v>
      </c>
      <c r="D3010" t="s">
        <v>8001</v>
      </c>
      <c r="E3010" t="s">
        <v>774</v>
      </c>
    </row>
    <row r="3011" spans="1:5" x14ac:dyDescent="0.3">
      <c r="A3011" t="s">
        <v>894</v>
      </c>
      <c r="B3011" t="s">
        <v>3000</v>
      </c>
      <c r="C3011" t="s">
        <v>8004</v>
      </c>
      <c r="D3011" t="s">
        <v>739</v>
      </c>
      <c r="E3011" t="s">
        <v>741</v>
      </c>
    </row>
    <row r="3012" spans="1:5" x14ac:dyDescent="0.3">
      <c r="A3012" t="s">
        <v>4111</v>
      </c>
      <c r="B3012" t="s">
        <v>1430</v>
      </c>
      <c r="C3012" t="s">
        <v>8006</v>
      </c>
      <c r="D3012" t="s">
        <v>8005</v>
      </c>
      <c r="E3012" t="s">
        <v>774</v>
      </c>
    </row>
    <row r="3013" spans="1:5" x14ac:dyDescent="0.3">
      <c r="A3013" t="s">
        <v>4406</v>
      </c>
      <c r="B3013" t="s">
        <v>8008</v>
      </c>
      <c r="C3013" t="s">
        <v>8007</v>
      </c>
      <c r="D3013" t="s">
        <v>5075</v>
      </c>
      <c r="E3013" t="s">
        <v>781</v>
      </c>
    </row>
    <row r="3014" spans="1:5" x14ac:dyDescent="0.3">
      <c r="A3014" t="s">
        <v>864</v>
      </c>
      <c r="B3014" t="s">
        <v>1825</v>
      </c>
      <c r="C3014" t="s">
        <v>3555</v>
      </c>
      <c r="D3014" t="s">
        <v>2856</v>
      </c>
      <c r="E3014" t="s">
        <v>761</v>
      </c>
    </row>
    <row r="3015" spans="1:5" x14ac:dyDescent="0.3">
      <c r="A3015" t="s">
        <v>195</v>
      </c>
      <c r="B3015" t="s">
        <v>3819</v>
      </c>
      <c r="C3015" t="s">
        <v>8009</v>
      </c>
      <c r="D3015" t="s">
        <v>3870</v>
      </c>
      <c r="E3015" t="s">
        <v>897</v>
      </c>
    </row>
    <row r="3016" spans="1:5" x14ac:dyDescent="0.3">
      <c r="A3016" t="s">
        <v>7707</v>
      </c>
      <c r="B3016" t="s">
        <v>2111</v>
      </c>
      <c r="C3016" t="s">
        <v>745</v>
      </c>
      <c r="D3016" t="s">
        <v>8011</v>
      </c>
      <c r="E3016" t="s">
        <v>774</v>
      </c>
    </row>
    <row r="3017" spans="1:5" x14ac:dyDescent="0.3">
      <c r="A3017" t="s">
        <v>3456</v>
      </c>
      <c r="B3017" t="s">
        <v>4646</v>
      </c>
      <c r="C3017" t="s">
        <v>455</v>
      </c>
      <c r="D3017" t="s">
        <v>8013</v>
      </c>
      <c r="E3017" t="s">
        <v>774</v>
      </c>
    </row>
    <row r="3018" spans="1:5" x14ac:dyDescent="0.3">
      <c r="A3018" t="s">
        <v>50</v>
      </c>
      <c r="B3018" t="s">
        <v>8014</v>
      </c>
      <c r="C3018" t="s">
        <v>718</v>
      </c>
      <c r="D3018" t="s">
        <v>6736</v>
      </c>
      <c r="E3018" t="s">
        <v>75</v>
      </c>
    </row>
    <row r="3019" spans="1:5" x14ac:dyDescent="0.3">
      <c r="A3019" t="s">
        <v>5144</v>
      </c>
      <c r="B3019" t="s">
        <v>8016</v>
      </c>
      <c r="C3019" t="s">
        <v>8015</v>
      </c>
      <c r="D3019" t="s">
        <v>2919</v>
      </c>
      <c r="E3019" t="s">
        <v>75</v>
      </c>
    </row>
    <row r="3020" spans="1:5" x14ac:dyDescent="0.3">
      <c r="A3020" t="s">
        <v>820</v>
      </c>
      <c r="B3020" t="s">
        <v>3558</v>
      </c>
      <c r="C3020" t="s">
        <v>7253</v>
      </c>
      <c r="D3020" t="s">
        <v>8017</v>
      </c>
      <c r="E3020" t="s">
        <v>75</v>
      </c>
    </row>
    <row r="3021" spans="1:5" x14ac:dyDescent="0.3">
      <c r="A3021" t="s">
        <v>1433</v>
      </c>
      <c r="B3021" t="s">
        <v>3558</v>
      </c>
      <c r="C3021" t="s">
        <v>458</v>
      </c>
      <c r="D3021" t="s">
        <v>8017</v>
      </c>
      <c r="E3021" t="s">
        <v>75</v>
      </c>
    </row>
    <row r="3022" spans="1:5" x14ac:dyDescent="0.3">
      <c r="A3022" t="s">
        <v>130</v>
      </c>
      <c r="B3022" t="s">
        <v>8018</v>
      </c>
      <c r="C3022" t="s">
        <v>460</v>
      </c>
      <c r="D3022" t="s">
        <v>8017</v>
      </c>
      <c r="E3022" t="s">
        <v>75</v>
      </c>
    </row>
    <row r="3023" spans="1:5" x14ac:dyDescent="0.3">
      <c r="A3023" t="s">
        <v>2468</v>
      </c>
      <c r="B3023" t="s">
        <v>822</v>
      </c>
      <c r="C3023" t="s">
        <v>7413</v>
      </c>
      <c r="D3023" t="s">
        <v>8017</v>
      </c>
      <c r="E3023" t="s">
        <v>75</v>
      </c>
    </row>
    <row r="3024" spans="1:5" x14ac:dyDescent="0.3">
      <c r="A3024" t="s">
        <v>8019</v>
      </c>
      <c r="B3024" t="s">
        <v>8020</v>
      </c>
      <c r="C3024" t="s">
        <v>5328</v>
      </c>
    </row>
    <row r="3025" spans="1:5" x14ac:dyDescent="0.3">
      <c r="A3025" t="s">
        <v>2489</v>
      </c>
      <c r="B3025" t="s">
        <v>8021</v>
      </c>
      <c r="C3025" t="s">
        <v>467</v>
      </c>
      <c r="D3025" t="s">
        <v>13057</v>
      </c>
      <c r="E3025" t="s">
        <v>75</v>
      </c>
    </row>
    <row r="3026" spans="1:5" x14ac:dyDescent="0.3">
      <c r="A3026" t="s">
        <v>5470</v>
      </c>
      <c r="B3026" t="s">
        <v>8022</v>
      </c>
      <c r="C3026" t="s">
        <v>698</v>
      </c>
    </row>
    <row r="3027" spans="1:5" x14ac:dyDescent="0.3">
      <c r="A3027" t="s">
        <v>7968</v>
      </c>
      <c r="B3027" t="s">
        <v>3200</v>
      </c>
      <c r="C3027" t="s">
        <v>628</v>
      </c>
      <c r="D3027" t="s">
        <v>3743</v>
      </c>
      <c r="E3027" t="s">
        <v>841</v>
      </c>
    </row>
    <row r="3028" spans="1:5" x14ac:dyDescent="0.3">
      <c r="A3028" t="s">
        <v>2620</v>
      </c>
      <c r="B3028" t="s">
        <v>8025</v>
      </c>
      <c r="C3028" t="s">
        <v>8024</v>
      </c>
    </row>
    <row r="3029" spans="1:5" x14ac:dyDescent="0.3">
      <c r="A3029" t="s">
        <v>224</v>
      </c>
      <c r="B3029" t="s">
        <v>5310</v>
      </c>
      <c r="C3029" t="s">
        <v>461</v>
      </c>
      <c r="D3029" t="s">
        <v>6186</v>
      </c>
      <c r="E3029" t="s">
        <v>75</v>
      </c>
    </row>
    <row r="3030" spans="1:5" x14ac:dyDescent="0.3">
      <c r="A3030" t="s">
        <v>41</v>
      </c>
      <c r="B3030" t="s">
        <v>254</v>
      </c>
      <c r="C3030" t="s">
        <v>8026</v>
      </c>
    </row>
    <row r="3031" spans="1:5" x14ac:dyDescent="0.3">
      <c r="A3031" t="s">
        <v>826</v>
      </c>
      <c r="B3031" t="s">
        <v>8027</v>
      </c>
      <c r="C3031" t="s">
        <v>862</v>
      </c>
    </row>
    <row r="3032" spans="1:5" x14ac:dyDescent="0.3">
      <c r="A3032" t="s">
        <v>3497</v>
      </c>
      <c r="B3032" t="s">
        <v>4541</v>
      </c>
      <c r="C3032" t="s">
        <v>461</v>
      </c>
      <c r="D3032" t="s">
        <v>8028</v>
      </c>
      <c r="E3032" t="s">
        <v>75</v>
      </c>
    </row>
    <row r="3033" spans="1:5" x14ac:dyDescent="0.3">
      <c r="A3033" t="s">
        <v>41</v>
      </c>
      <c r="B3033" t="s">
        <v>1419</v>
      </c>
      <c r="C3033" t="s">
        <v>460</v>
      </c>
      <c r="D3033" t="s">
        <v>6450</v>
      </c>
      <c r="E3033" t="s">
        <v>75</v>
      </c>
    </row>
    <row r="3034" spans="1:5" x14ac:dyDescent="0.3">
      <c r="A3034" t="s">
        <v>1606</v>
      </c>
      <c r="B3034" t="s">
        <v>8031</v>
      </c>
      <c r="C3034" t="s">
        <v>8030</v>
      </c>
      <c r="D3034" t="s">
        <v>8029</v>
      </c>
      <c r="E3034" t="s">
        <v>75</v>
      </c>
    </row>
    <row r="3035" spans="1:5" x14ac:dyDescent="0.3">
      <c r="A3035" t="s">
        <v>1632</v>
      </c>
      <c r="B3035" t="s">
        <v>2996</v>
      </c>
      <c r="C3035" t="s">
        <v>862</v>
      </c>
      <c r="D3035" t="s">
        <v>883</v>
      </c>
      <c r="E3035" t="s">
        <v>1</v>
      </c>
    </row>
    <row r="3036" spans="1:5" x14ac:dyDescent="0.3">
      <c r="A3036" t="s">
        <v>2096</v>
      </c>
      <c r="B3036" t="s">
        <v>414</v>
      </c>
      <c r="C3036" t="s">
        <v>5265</v>
      </c>
      <c r="D3036" t="s">
        <v>5075</v>
      </c>
      <c r="E3036" t="s">
        <v>781</v>
      </c>
    </row>
    <row r="3037" spans="1:5" x14ac:dyDescent="0.3">
      <c r="A3037" t="s">
        <v>8034</v>
      </c>
      <c r="B3037" t="s">
        <v>5588</v>
      </c>
      <c r="C3037" t="s">
        <v>7942</v>
      </c>
      <c r="D3037" t="s">
        <v>8033</v>
      </c>
      <c r="E3037" t="s">
        <v>774</v>
      </c>
    </row>
    <row r="3038" spans="1:5" x14ac:dyDescent="0.3">
      <c r="A3038" t="s">
        <v>3728</v>
      </c>
      <c r="B3038" t="s">
        <v>7807</v>
      </c>
      <c r="C3038" t="s">
        <v>457</v>
      </c>
      <c r="D3038" t="s">
        <v>8035</v>
      </c>
      <c r="E3038" t="s">
        <v>18</v>
      </c>
    </row>
    <row r="3039" spans="1:5" x14ac:dyDescent="0.3">
      <c r="A3039" t="s">
        <v>3093</v>
      </c>
      <c r="B3039" t="s">
        <v>8037</v>
      </c>
      <c r="C3039" t="s">
        <v>8036</v>
      </c>
      <c r="D3039" t="s">
        <v>919</v>
      </c>
      <c r="E3039" t="s">
        <v>1</v>
      </c>
    </row>
    <row r="3040" spans="1:5" x14ac:dyDescent="0.3">
      <c r="A3040" t="s">
        <v>8038</v>
      </c>
      <c r="B3040" t="s">
        <v>2062</v>
      </c>
      <c r="C3040" t="s">
        <v>8039</v>
      </c>
    </row>
    <row r="3041" spans="1:5" x14ac:dyDescent="0.3">
      <c r="A3041" t="s">
        <v>41</v>
      </c>
      <c r="B3041" t="s">
        <v>4553</v>
      </c>
      <c r="C3041" t="s">
        <v>698</v>
      </c>
      <c r="D3041" t="s">
        <v>8040</v>
      </c>
      <c r="E3041" t="s">
        <v>774</v>
      </c>
    </row>
    <row r="3042" spans="1:5" x14ac:dyDescent="0.3">
      <c r="A3042" t="s">
        <v>1251</v>
      </c>
      <c r="B3042" t="s">
        <v>2232</v>
      </c>
      <c r="C3042" t="s">
        <v>8041</v>
      </c>
      <c r="D3042" t="s">
        <v>919</v>
      </c>
      <c r="E3042" t="s">
        <v>1</v>
      </c>
    </row>
    <row r="3043" spans="1:5" x14ac:dyDescent="0.3">
      <c r="A3043" t="s">
        <v>22</v>
      </c>
      <c r="B3043" t="s">
        <v>8043</v>
      </c>
      <c r="C3043" t="s">
        <v>455</v>
      </c>
      <c r="D3043" t="s">
        <v>8042</v>
      </c>
      <c r="E3043" t="s">
        <v>741</v>
      </c>
    </row>
    <row r="3044" spans="1:5" x14ac:dyDescent="0.3">
      <c r="A3044" t="s">
        <v>2696</v>
      </c>
      <c r="B3044" t="s">
        <v>3804</v>
      </c>
      <c r="C3044" t="s">
        <v>467</v>
      </c>
      <c r="D3044" t="s">
        <v>8044</v>
      </c>
      <c r="E3044" t="s">
        <v>75</v>
      </c>
    </row>
    <row r="3045" spans="1:5" x14ac:dyDescent="0.3">
      <c r="A3045" t="s">
        <v>3340</v>
      </c>
      <c r="B3045" t="s">
        <v>4414</v>
      </c>
      <c r="C3045" t="s">
        <v>8045</v>
      </c>
      <c r="D3045" t="s">
        <v>739</v>
      </c>
      <c r="E3045" t="s">
        <v>741</v>
      </c>
    </row>
    <row r="3046" spans="1:5" x14ac:dyDescent="0.3">
      <c r="A3046" t="s">
        <v>65</v>
      </c>
      <c r="B3046" t="s">
        <v>8047</v>
      </c>
      <c r="C3046" t="s">
        <v>8046</v>
      </c>
      <c r="D3046" t="s">
        <v>2436</v>
      </c>
      <c r="E3046" t="s">
        <v>761</v>
      </c>
    </row>
    <row r="3047" spans="1:5" x14ac:dyDescent="0.3">
      <c r="A3047" t="s">
        <v>860</v>
      </c>
      <c r="B3047" t="s">
        <v>8048</v>
      </c>
      <c r="C3047" t="s">
        <v>4555</v>
      </c>
      <c r="D3047" t="s">
        <v>5078</v>
      </c>
      <c r="E3047" t="s">
        <v>75</v>
      </c>
    </row>
    <row r="3048" spans="1:5" x14ac:dyDescent="0.3">
      <c r="A3048" t="s">
        <v>50</v>
      </c>
      <c r="B3048" t="s">
        <v>2201</v>
      </c>
      <c r="C3048" t="s">
        <v>8050</v>
      </c>
      <c r="D3048" t="s">
        <v>6186</v>
      </c>
      <c r="E3048" t="s">
        <v>75</v>
      </c>
    </row>
    <row r="3049" spans="1:5" x14ac:dyDescent="0.3">
      <c r="A3049" t="s">
        <v>8051</v>
      </c>
      <c r="B3049" t="s">
        <v>823</v>
      </c>
      <c r="C3049" t="s">
        <v>2571</v>
      </c>
      <c r="D3049" t="s">
        <v>833</v>
      </c>
      <c r="E3049" t="s">
        <v>741</v>
      </c>
    </row>
    <row r="3050" spans="1:5" x14ac:dyDescent="0.3">
      <c r="A3050" t="s">
        <v>1182</v>
      </c>
      <c r="B3050" t="s">
        <v>182</v>
      </c>
      <c r="C3050" t="s">
        <v>457</v>
      </c>
      <c r="D3050" t="s">
        <v>8052</v>
      </c>
      <c r="E3050" t="s">
        <v>75</v>
      </c>
    </row>
    <row r="3051" spans="1:5" x14ac:dyDescent="0.3">
      <c r="A3051" t="s">
        <v>2943</v>
      </c>
      <c r="B3051" t="s">
        <v>8054</v>
      </c>
      <c r="C3051" t="s">
        <v>8053</v>
      </c>
    </row>
    <row r="3052" spans="1:5" x14ac:dyDescent="0.3">
      <c r="A3052" t="s">
        <v>8057</v>
      </c>
      <c r="B3052" t="s">
        <v>8058</v>
      </c>
      <c r="C3052" t="s">
        <v>457</v>
      </c>
      <c r="D3052" t="s">
        <v>8056</v>
      </c>
      <c r="E3052" t="s">
        <v>774</v>
      </c>
    </row>
    <row r="3053" spans="1:5" x14ac:dyDescent="0.3">
      <c r="A3053" t="s">
        <v>1240</v>
      </c>
      <c r="B3053" t="s">
        <v>998</v>
      </c>
      <c r="C3053" t="s">
        <v>456</v>
      </c>
      <c r="D3053" t="s">
        <v>5104</v>
      </c>
      <c r="E3053" t="s">
        <v>774</v>
      </c>
    </row>
    <row r="3054" spans="1:5" x14ac:dyDescent="0.3">
      <c r="A3054" t="s">
        <v>153</v>
      </c>
      <c r="B3054" t="s">
        <v>3549</v>
      </c>
      <c r="C3054" t="s">
        <v>8059</v>
      </c>
      <c r="D3054" t="s">
        <v>811</v>
      </c>
      <c r="E3054" t="s">
        <v>761</v>
      </c>
    </row>
    <row r="3055" spans="1:5" x14ac:dyDescent="0.3">
      <c r="A3055" t="s">
        <v>826</v>
      </c>
      <c r="B3055" t="s">
        <v>2208</v>
      </c>
      <c r="C3055" t="s">
        <v>698</v>
      </c>
      <c r="D3055" t="s">
        <v>8060</v>
      </c>
      <c r="E3055" t="s">
        <v>774</v>
      </c>
    </row>
    <row r="3056" spans="1:5" x14ac:dyDescent="0.3">
      <c r="A3056" t="s">
        <v>195</v>
      </c>
      <c r="B3056" t="s">
        <v>4467</v>
      </c>
      <c r="C3056" t="s">
        <v>698</v>
      </c>
    </row>
    <row r="3057" spans="1:5" x14ac:dyDescent="0.3">
      <c r="A3057" t="s">
        <v>435</v>
      </c>
      <c r="B3057" t="s">
        <v>436</v>
      </c>
      <c r="C3057" t="s">
        <v>437</v>
      </c>
      <c r="D3057" t="s">
        <v>739</v>
      </c>
      <c r="E3057" t="s">
        <v>741</v>
      </c>
    </row>
    <row r="3058" spans="1:5" x14ac:dyDescent="0.3">
      <c r="A3058" t="s">
        <v>132</v>
      </c>
      <c r="B3058" t="s">
        <v>7620</v>
      </c>
      <c r="C3058" t="s">
        <v>8061</v>
      </c>
      <c r="D3058" t="s">
        <v>769</v>
      </c>
      <c r="E3058" t="s">
        <v>1</v>
      </c>
    </row>
    <row r="3059" spans="1:5" x14ac:dyDescent="0.3">
      <c r="A3059" t="s">
        <v>199</v>
      </c>
      <c r="B3059" t="s">
        <v>6749</v>
      </c>
      <c r="C3059" t="s">
        <v>8063</v>
      </c>
      <c r="D3059" t="s">
        <v>8062</v>
      </c>
      <c r="E3059" t="s">
        <v>774</v>
      </c>
    </row>
    <row r="3060" spans="1:5" x14ac:dyDescent="0.3">
      <c r="A3060" t="s">
        <v>8065</v>
      </c>
      <c r="B3060" t="s">
        <v>8067</v>
      </c>
      <c r="C3060" t="s">
        <v>8066</v>
      </c>
      <c r="D3060" t="s">
        <v>8064</v>
      </c>
      <c r="E3060" t="s">
        <v>741</v>
      </c>
    </row>
    <row r="3061" spans="1:5" x14ac:dyDescent="0.3">
      <c r="A3061" t="s">
        <v>8068</v>
      </c>
      <c r="B3061" t="s">
        <v>8070</v>
      </c>
      <c r="C3061" t="s">
        <v>8069</v>
      </c>
      <c r="D3061" t="s">
        <v>754</v>
      </c>
      <c r="E3061" t="s">
        <v>741</v>
      </c>
    </row>
    <row r="3062" spans="1:5" x14ac:dyDescent="0.3">
      <c r="A3062" t="s">
        <v>1402</v>
      </c>
      <c r="B3062" t="s">
        <v>8071</v>
      </c>
      <c r="C3062" t="s">
        <v>4645</v>
      </c>
      <c r="D3062" t="s">
        <v>5140</v>
      </c>
      <c r="E3062" t="s">
        <v>18</v>
      </c>
    </row>
    <row r="3063" spans="1:5" x14ac:dyDescent="0.3">
      <c r="A3063" t="s">
        <v>8072</v>
      </c>
      <c r="B3063" t="s">
        <v>5209</v>
      </c>
      <c r="C3063" t="s">
        <v>862</v>
      </c>
      <c r="D3063" t="s">
        <v>968</v>
      </c>
      <c r="E3063" t="s">
        <v>781</v>
      </c>
    </row>
    <row r="3064" spans="1:5" x14ac:dyDescent="0.3">
      <c r="A3064" t="s">
        <v>66</v>
      </c>
      <c r="B3064" t="s">
        <v>2081</v>
      </c>
      <c r="C3064" t="s">
        <v>456</v>
      </c>
      <c r="D3064" t="s">
        <v>4745</v>
      </c>
      <c r="E3064" t="s">
        <v>743</v>
      </c>
    </row>
    <row r="3065" spans="1:5" x14ac:dyDescent="0.3">
      <c r="A3065" t="s">
        <v>1243</v>
      </c>
      <c r="B3065" t="s">
        <v>2546</v>
      </c>
      <c r="C3065" t="s">
        <v>467</v>
      </c>
      <c r="D3065" t="s">
        <v>7728</v>
      </c>
      <c r="E3065" t="s">
        <v>75</v>
      </c>
    </row>
    <row r="3066" spans="1:5" x14ac:dyDescent="0.3">
      <c r="A3066" t="s">
        <v>3580</v>
      </c>
      <c r="B3066" t="s">
        <v>3230</v>
      </c>
      <c r="C3066" t="s">
        <v>862</v>
      </c>
      <c r="D3066" t="s">
        <v>769</v>
      </c>
      <c r="E3066" t="s">
        <v>1</v>
      </c>
    </row>
    <row r="3067" spans="1:5" x14ac:dyDescent="0.3">
      <c r="A3067" t="s">
        <v>66</v>
      </c>
      <c r="B3067" t="s">
        <v>8074</v>
      </c>
      <c r="C3067" t="s">
        <v>457</v>
      </c>
      <c r="D3067" t="s">
        <v>8073</v>
      </c>
      <c r="E3067" t="s">
        <v>774</v>
      </c>
    </row>
    <row r="3068" spans="1:5" x14ac:dyDescent="0.3">
      <c r="A3068" t="s">
        <v>27</v>
      </c>
      <c r="B3068" t="s">
        <v>2527</v>
      </c>
      <c r="C3068" t="s">
        <v>8076</v>
      </c>
      <c r="D3068" t="s">
        <v>8075</v>
      </c>
      <c r="E3068" t="s">
        <v>774</v>
      </c>
    </row>
    <row r="3069" spans="1:5" x14ac:dyDescent="0.3">
      <c r="A3069" t="s">
        <v>8077</v>
      </c>
      <c r="B3069" t="s">
        <v>201</v>
      </c>
      <c r="C3069" t="s">
        <v>8078</v>
      </c>
      <c r="D3069" t="s">
        <v>919</v>
      </c>
      <c r="E3069" t="s">
        <v>1</v>
      </c>
    </row>
    <row r="3070" spans="1:5" x14ac:dyDescent="0.3">
      <c r="A3070" t="s">
        <v>4822</v>
      </c>
      <c r="B3070" t="s">
        <v>8081</v>
      </c>
      <c r="C3070" t="s">
        <v>8080</v>
      </c>
      <c r="D3070" t="s">
        <v>8079</v>
      </c>
      <c r="E3070" t="s">
        <v>774</v>
      </c>
    </row>
    <row r="3071" spans="1:5" x14ac:dyDescent="0.3">
      <c r="A3071" t="s">
        <v>66</v>
      </c>
      <c r="B3071" t="s">
        <v>8083</v>
      </c>
      <c r="C3071" t="s">
        <v>8082</v>
      </c>
      <c r="D3071" t="s">
        <v>982</v>
      </c>
      <c r="E3071" t="s">
        <v>1</v>
      </c>
    </row>
    <row r="3072" spans="1:5" x14ac:dyDescent="0.3">
      <c r="A3072" t="s">
        <v>5411</v>
      </c>
      <c r="B3072" t="s">
        <v>8085</v>
      </c>
      <c r="C3072" t="s">
        <v>6230</v>
      </c>
      <c r="D3072" t="s">
        <v>8084</v>
      </c>
      <c r="E3072" t="s">
        <v>774</v>
      </c>
    </row>
    <row r="3073" spans="1:5" x14ac:dyDescent="0.3">
      <c r="A3073" t="s">
        <v>404</v>
      </c>
      <c r="B3073" t="s">
        <v>8087</v>
      </c>
      <c r="C3073" t="s">
        <v>8086</v>
      </c>
      <c r="D3073" t="s">
        <v>8001</v>
      </c>
      <c r="E3073" t="s">
        <v>774</v>
      </c>
    </row>
    <row r="3074" spans="1:5" x14ac:dyDescent="0.3">
      <c r="A3074" t="s">
        <v>740</v>
      </c>
      <c r="B3074" t="s">
        <v>3729</v>
      </c>
      <c r="C3074" t="s">
        <v>8088</v>
      </c>
    </row>
    <row r="3075" spans="1:5" x14ac:dyDescent="0.3">
      <c r="A3075" t="s">
        <v>2602</v>
      </c>
      <c r="B3075" t="s">
        <v>6005</v>
      </c>
      <c r="C3075" t="s">
        <v>456</v>
      </c>
      <c r="D3075" t="s">
        <v>3003</v>
      </c>
      <c r="E3075" t="s">
        <v>2175</v>
      </c>
    </row>
    <row r="3076" spans="1:5" x14ac:dyDescent="0.3">
      <c r="A3076" t="s">
        <v>1167</v>
      </c>
      <c r="B3076" t="s">
        <v>8089</v>
      </c>
      <c r="C3076" t="s">
        <v>461</v>
      </c>
    </row>
    <row r="3077" spans="1:5" x14ac:dyDescent="0.3">
      <c r="A3077" t="s">
        <v>1513</v>
      </c>
      <c r="B3077" t="s">
        <v>8090</v>
      </c>
      <c r="C3077" t="s">
        <v>628</v>
      </c>
      <c r="D3077" t="s">
        <v>770</v>
      </c>
      <c r="E3077" t="s">
        <v>758</v>
      </c>
    </row>
    <row r="3078" spans="1:5" x14ac:dyDescent="0.3">
      <c r="A3078" t="s">
        <v>8091</v>
      </c>
      <c r="B3078" t="s">
        <v>8092</v>
      </c>
      <c r="C3078" t="s">
        <v>461</v>
      </c>
      <c r="D3078" t="s">
        <v>5146</v>
      </c>
      <c r="E3078" t="s">
        <v>75</v>
      </c>
    </row>
    <row r="3079" spans="1:5" x14ac:dyDescent="0.3">
      <c r="A3079" t="s">
        <v>3365</v>
      </c>
      <c r="B3079" t="s">
        <v>3366</v>
      </c>
      <c r="C3079" t="s">
        <v>862</v>
      </c>
      <c r="D3079" t="s">
        <v>769</v>
      </c>
      <c r="E3079" t="s">
        <v>1</v>
      </c>
    </row>
    <row r="3080" spans="1:5" x14ac:dyDescent="0.3">
      <c r="A3080" t="s">
        <v>1591</v>
      </c>
      <c r="B3080" t="s">
        <v>6220</v>
      </c>
      <c r="C3080" t="s">
        <v>457</v>
      </c>
      <c r="D3080" t="s">
        <v>5562</v>
      </c>
      <c r="E3080" t="s">
        <v>2175</v>
      </c>
    </row>
    <row r="3081" spans="1:5" x14ac:dyDescent="0.3">
      <c r="A3081" t="s">
        <v>132</v>
      </c>
      <c r="B3081" t="s">
        <v>8094</v>
      </c>
      <c r="C3081" t="s">
        <v>461</v>
      </c>
      <c r="D3081" t="s">
        <v>5259</v>
      </c>
      <c r="E3081" t="s">
        <v>75</v>
      </c>
    </row>
    <row r="3082" spans="1:5" x14ac:dyDescent="0.3">
      <c r="A3082" t="s">
        <v>1979</v>
      </c>
      <c r="B3082" t="s">
        <v>8096</v>
      </c>
      <c r="C3082" t="s">
        <v>720</v>
      </c>
      <c r="D3082" t="s">
        <v>8095</v>
      </c>
      <c r="E3082" t="s">
        <v>774</v>
      </c>
    </row>
    <row r="3083" spans="1:5" x14ac:dyDescent="0.3">
      <c r="A3083" t="s">
        <v>3493</v>
      </c>
      <c r="B3083" t="s">
        <v>823</v>
      </c>
      <c r="C3083" t="s">
        <v>8097</v>
      </c>
      <c r="D3083" t="s">
        <v>763</v>
      </c>
      <c r="E3083" t="s">
        <v>1</v>
      </c>
    </row>
    <row r="3084" spans="1:5" x14ac:dyDescent="0.3">
      <c r="A3084" t="s">
        <v>1410</v>
      </c>
      <c r="B3084" t="s">
        <v>8100</v>
      </c>
      <c r="C3084" t="s">
        <v>8099</v>
      </c>
      <c r="D3084" t="s">
        <v>951</v>
      </c>
      <c r="E3084" t="s">
        <v>1</v>
      </c>
    </row>
    <row r="3085" spans="1:5" x14ac:dyDescent="0.3">
      <c r="A3085" t="s">
        <v>22</v>
      </c>
      <c r="B3085" t="s">
        <v>1291</v>
      </c>
      <c r="C3085" t="s">
        <v>460</v>
      </c>
      <c r="D3085" t="s">
        <v>5279</v>
      </c>
      <c r="E3085" t="s">
        <v>75</v>
      </c>
    </row>
    <row r="3086" spans="1:5" x14ac:dyDescent="0.3">
      <c r="A3086" t="s">
        <v>8102</v>
      </c>
      <c r="B3086" t="s">
        <v>205</v>
      </c>
      <c r="C3086" t="s">
        <v>698</v>
      </c>
      <c r="D3086" t="s">
        <v>8101</v>
      </c>
      <c r="E3086" t="s">
        <v>774</v>
      </c>
    </row>
    <row r="3087" spans="1:5" x14ac:dyDescent="0.3">
      <c r="A3087" t="s">
        <v>1620</v>
      </c>
      <c r="B3087" t="s">
        <v>8104</v>
      </c>
      <c r="C3087" t="s">
        <v>8103</v>
      </c>
      <c r="D3087" t="s">
        <v>4000</v>
      </c>
      <c r="E3087" t="s">
        <v>743</v>
      </c>
    </row>
    <row r="3088" spans="1:5" x14ac:dyDescent="0.3">
      <c r="A3088" t="s">
        <v>828</v>
      </c>
      <c r="B3088" t="s">
        <v>8106</v>
      </c>
      <c r="C3088" t="s">
        <v>862</v>
      </c>
      <c r="D3088" t="s">
        <v>919</v>
      </c>
      <c r="E3088" t="s">
        <v>1</v>
      </c>
    </row>
    <row r="3089" spans="1:5" x14ac:dyDescent="0.3">
      <c r="A3089" t="s">
        <v>3074</v>
      </c>
      <c r="B3089" t="s">
        <v>67</v>
      </c>
      <c r="C3089" t="s">
        <v>461</v>
      </c>
      <c r="D3089" t="s">
        <v>8108</v>
      </c>
      <c r="E3089" t="s">
        <v>75</v>
      </c>
    </row>
    <row r="3090" spans="1:5" x14ac:dyDescent="0.3">
      <c r="A3090" t="s">
        <v>1358</v>
      </c>
      <c r="B3090" t="s">
        <v>8111</v>
      </c>
      <c r="C3090" t="s">
        <v>461</v>
      </c>
      <c r="D3090" t="s">
        <v>2831</v>
      </c>
      <c r="E3090" t="s">
        <v>75</v>
      </c>
    </row>
    <row r="3091" spans="1:5" x14ac:dyDescent="0.3">
      <c r="A3091" t="s">
        <v>2388</v>
      </c>
      <c r="B3091" t="s">
        <v>3909</v>
      </c>
      <c r="C3091" t="s">
        <v>8112</v>
      </c>
    </row>
    <row r="3092" spans="1:5" x14ac:dyDescent="0.3">
      <c r="A3092" t="s">
        <v>4521</v>
      </c>
      <c r="B3092" t="s">
        <v>8113</v>
      </c>
      <c r="C3092" t="s">
        <v>7961</v>
      </c>
      <c r="D3092" t="s">
        <v>6550</v>
      </c>
      <c r="E3092" t="s">
        <v>18</v>
      </c>
    </row>
    <row r="3093" spans="1:5" x14ac:dyDescent="0.3">
      <c r="A3093" t="s">
        <v>2651</v>
      </c>
      <c r="B3093" t="s">
        <v>2613</v>
      </c>
      <c r="C3093" t="s">
        <v>461</v>
      </c>
      <c r="D3093" t="s">
        <v>8114</v>
      </c>
      <c r="E3093" t="s">
        <v>897</v>
      </c>
    </row>
    <row r="3094" spans="1:5" x14ac:dyDescent="0.3">
      <c r="A3094" t="s">
        <v>1278</v>
      </c>
      <c r="B3094" t="s">
        <v>8116</v>
      </c>
      <c r="C3094" t="s">
        <v>8115</v>
      </c>
      <c r="D3094" t="s">
        <v>751</v>
      </c>
      <c r="E3094" t="s">
        <v>1</v>
      </c>
    </row>
    <row r="3095" spans="1:5" x14ac:dyDescent="0.3">
      <c r="A3095" t="s">
        <v>8118</v>
      </c>
      <c r="B3095" t="s">
        <v>1533</v>
      </c>
      <c r="C3095" t="s">
        <v>8119</v>
      </c>
      <c r="D3095" t="s">
        <v>8117</v>
      </c>
      <c r="E3095" t="s">
        <v>75</v>
      </c>
    </row>
    <row r="3096" spans="1:5" x14ac:dyDescent="0.3">
      <c r="A3096" t="s">
        <v>160</v>
      </c>
      <c r="B3096" t="s">
        <v>8120</v>
      </c>
      <c r="C3096" t="s">
        <v>6466</v>
      </c>
      <c r="D3096" t="s">
        <v>8032</v>
      </c>
      <c r="E3096" t="s">
        <v>18</v>
      </c>
    </row>
    <row r="3097" spans="1:5" x14ac:dyDescent="0.3">
      <c r="A3097" t="s">
        <v>1140</v>
      </c>
      <c r="B3097" t="s">
        <v>5828</v>
      </c>
      <c r="C3097" t="s">
        <v>8122</v>
      </c>
      <c r="D3097" t="s">
        <v>8121</v>
      </c>
      <c r="E3097" t="s">
        <v>75</v>
      </c>
    </row>
    <row r="3098" spans="1:5" x14ac:dyDescent="0.3">
      <c r="A3098" t="s">
        <v>22</v>
      </c>
      <c r="B3098" t="s">
        <v>7559</v>
      </c>
      <c r="C3098" t="s">
        <v>7516</v>
      </c>
      <c r="D3098" t="s">
        <v>8123</v>
      </c>
      <c r="E3098" t="s">
        <v>75</v>
      </c>
    </row>
    <row r="3099" spans="1:5" x14ac:dyDescent="0.3">
      <c r="A3099" t="s">
        <v>3182</v>
      </c>
      <c r="B3099" t="s">
        <v>8124</v>
      </c>
      <c r="C3099" t="s">
        <v>461</v>
      </c>
    </row>
    <row r="3100" spans="1:5" x14ac:dyDescent="0.3">
      <c r="A3100" t="s">
        <v>2941</v>
      </c>
      <c r="B3100" t="s">
        <v>3193</v>
      </c>
      <c r="C3100" t="s">
        <v>8125</v>
      </c>
    </row>
    <row r="3101" spans="1:5" x14ac:dyDescent="0.3">
      <c r="A3101" t="s">
        <v>5939</v>
      </c>
      <c r="B3101" t="s">
        <v>8129</v>
      </c>
      <c r="C3101" t="s">
        <v>8128</v>
      </c>
      <c r="D3101" t="s">
        <v>8127</v>
      </c>
      <c r="E3101" t="s">
        <v>758</v>
      </c>
    </row>
    <row r="3102" spans="1:5" x14ac:dyDescent="0.3">
      <c r="A3102" t="s">
        <v>4470</v>
      </c>
      <c r="B3102" t="s">
        <v>433</v>
      </c>
      <c r="C3102" t="s">
        <v>8131</v>
      </c>
      <c r="D3102" t="s">
        <v>8130</v>
      </c>
      <c r="E3102" t="s">
        <v>774</v>
      </c>
    </row>
    <row r="3103" spans="1:5" x14ac:dyDescent="0.3">
      <c r="A3103" t="s">
        <v>342</v>
      </c>
      <c r="B3103" t="s">
        <v>107</v>
      </c>
      <c r="C3103" t="s">
        <v>460</v>
      </c>
      <c r="D3103" t="s">
        <v>8132</v>
      </c>
      <c r="E3103" t="s">
        <v>75</v>
      </c>
    </row>
    <row r="3104" spans="1:5" x14ac:dyDescent="0.3">
      <c r="A3104" t="s">
        <v>59</v>
      </c>
      <c r="B3104" t="s">
        <v>2693</v>
      </c>
      <c r="C3104" t="s">
        <v>467</v>
      </c>
      <c r="D3104" t="s">
        <v>8133</v>
      </c>
      <c r="E3104" t="s">
        <v>75</v>
      </c>
    </row>
    <row r="3105" spans="1:5" x14ac:dyDescent="0.3">
      <c r="A3105" t="s">
        <v>41</v>
      </c>
      <c r="B3105" t="s">
        <v>1125</v>
      </c>
      <c r="C3105" t="s">
        <v>8134</v>
      </c>
    </row>
    <row r="3106" spans="1:5" x14ac:dyDescent="0.3">
      <c r="A3106" t="s">
        <v>1037</v>
      </c>
      <c r="B3106" t="s">
        <v>4108</v>
      </c>
      <c r="C3106" t="s">
        <v>7961</v>
      </c>
      <c r="D3106" t="s">
        <v>8135</v>
      </c>
      <c r="E3106" t="s">
        <v>774</v>
      </c>
    </row>
    <row r="3107" spans="1:5" x14ac:dyDescent="0.3">
      <c r="A3107" t="s">
        <v>826</v>
      </c>
      <c r="B3107" t="s">
        <v>8137</v>
      </c>
      <c r="C3107" t="s">
        <v>8136</v>
      </c>
      <c r="D3107" t="s">
        <v>6119</v>
      </c>
      <c r="E3107" t="s">
        <v>774</v>
      </c>
    </row>
    <row r="3108" spans="1:5" x14ac:dyDescent="0.3">
      <c r="A3108" t="s">
        <v>92</v>
      </c>
      <c r="B3108" t="s">
        <v>6382</v>
      </c>
      <c r="C3108" t="s">
        <v>459</v>
      </c>
      <c r="D3108" t="s">
        <v>8138</v>
      </c>
      <c r="E3108" t="s">
        <v>75</v>
      </c>
    </row>
    <row r="3109" spans="1:5" x14ac:dyDescent="0.3">
      <c r="A3109" t="s">
        <v>4840</v>
      </c>
      <c r="B3109" t="s">
        <v>2731</v>
      </c>
      <c r="C3109" t="s">
        <v>8139</v>
      </c>
      <c r="D3109" t="s">
        <v>982</v>
      </c>
      <c r="E3109" t="s">
        <v>1</v>
      </c>
    </row>
    <row r="3110" spans="1:5" x14ac:dyDescent="0.3">
      <c r="A3110" t="s">
        <v>5102</v>
      </c>
      <c r="B3110" t="s">
        <v>8141</v>
      </c>
      <c r="C3110" t="s">
        <v>8140</v>
      </c>
      <c r="D3110" t="s">
        <v>874</v>
      </c>
      <c r="E3110" t="s">
        <v>741</v>
      </c>
    </row>
    <row r="3111" spans="1:5" x14ac:dyDescent="0.3">
      <c r="A3111" t="s">
        <v>8144</v>
      </c>
      <c r="B3111" t="s">
        <v>8145</v>
      </c>
      <c r="C3111" t="s">
        <v>7253</v>
      </c>
      <c r="D3111" t="s">
        <v>8143</v>
      </c>
      <c r="E3111" t="s">
        <v>774</v>
      </c>
    </row>
    <row r="3112" spans="1:5" x14ac:dyDescent="0.3">
      <c r="A3112" t="s">
        <v>331</v>
      </c>
      <c r="B3112" t="s">
        <v>2280</v>
      </c>
      <c r="C3112" t="s">
        <v>461</v>
      </c>
      <c r="D3112" t="s">
        <v>8142</v>
      </c>
      <c r="E3112" t="s">
        <v>75</v>
      </c>
    </row>
    <row r="3113" spans="1:5" x14ac:dyDescent="0.3">
      <c r="A3113" t="s">
        <v>116</v>
      </c>
      <c r="B3113" t="s">
        <v>1535</v>
      </c>
      <c r="C3113" t="s">
        <v>862</v>
      </c>
      <c r="D3113" t="s">
        <v>8035</v>
      </c>
      <c r="E3113" t="s">
        <v>18</v>
      </c>
    </row>
    <row r="3114" spans="1:5" x14ac:dyDescent="0.3">
      <c r="A3114" t="s">
        <v>59</v>
      </c>
      <c r="B3114" t="s">
        <v>8147</v>
      </c>
      <c r="C3114" t="s">
        <v>8146</v>
      </c>
      <c r="D3114" t="s">
        <v>818</v>
      </c>
      <c r="E3114" t="s">
        <v>774</v>
      </c>
    </row>
    <row r="3115" spans="1:5" x14ac:dyDescent="0.3">
      <c r="A3115" t="s">
        <v>2096</v>
      </c>
      <c r="B3115" t="s">
        <v>1149</v>
      </c>
      <c r="C3115" t="s">
        <v>8148</v>
      </c>
    </row>
    <row r="3116" spans="1:5" x14ac:dyDescent="0.3">
      <c r="A3116" t="s">
        <v>112</v>
      </c>
      <c r="B3116" t="s">
        <v>8150</v>
      </c>
      <c r="C3116" t="s">
        <v>8149</v>
      </c>
    </row>
    <row r="3117" spans="1:5" x14ac:dyDescent="0.3">
      <c r="A3117" t="s">
        <v>2779</v>
      </c>
      <c r="B3117" t="s">
        <v>1694</v>
      </c>
      <c r="C3117" t="s">
        <v>6466</v>
      </c>
      <c r="D3117" t="s">
        <v>5893</v>
      </c>
      <c r="E3117" t="s">
        <v>761</v>
      </c>
    </row>
    <row r="3118" spans="1:5" x14ac:dyDescent="0.3">
      <c r="A3118" t="s">
        <v>5353</v>
      </c>
      <c r="B3118" t="s">
        <v>8153</v>
      </c>
      <c r="C3118" t="s">
        <v>2571</v>
      </c>
      <c r="D3118" t="s">
        <v>8152</v>
      </c>
      <c r="E3118" t="s">
        <v>741</v>
      </c>
    </row>
    <row r="3119" spans="1:5" x14ac:dyDescent="0.3">
      <c r="A3119" t="s">
        <v>183</v>
      </c>
      <c r="B3119" t="s">
        <v>7375</v>
      </c>
      <c r="C3119" t="s">
        <v>458</v>
      </c>
    </row>
    <row r="3120" spans="1:5" x14ac:dyDescent="0.3">
      <c r="A3120" t="s">
        <v>1077</v>
      </c>
      <c r="B3120" t="s">
        <v>1351</v>
      </c>
      <c r="C3120" t="s">
        <v>8156</v>
      </c>
      <c r="D3120" t="s">
        <v>1716</v>
      </c>
      <c r="E3120" t="s">
        <v>741</v>
      </c>
    </row>
    <row r="3121" spans="1:5" x14ac:dyDescent="0.3">
      <c r="A3121" t="s">
        <v>160</v>
      </c>
      <c r="B3121" t="s">
        <v>8158</v>
      </c>
      <c r="C3121" t="s">
        <v>698</v>
      </c>
      <c r="D3121" t="s">
        <v>8157</v>
      </c>
      <c r="E3121" t="s">
        <v>75</v>
      </c>
    </row>
    <row r="3122" spans="1:5" x14ac:dyDescent="0.3">
      <c r="A3122" t="s">
        <v>130</v>
      </c>
      <c r="B3122" t="s">
        <v>193</v>
      </c>
      <c r="C3122" t="s">
        <v>467</v>
      </c>
      <c r="D3122" t="s">
        <v>8160</v>
      </c>
      <c r="E3122" t="s">
        <v>75</v>
      </c>
    </row>
    <row r="3123" spans="1:5" x14ac:dyDescent="0.3">
      <c r="A3123" t="s">
        <v>183</v>
      </c>
      <c r="B3123" t="s">
        <v>8161</v>
      </c>
      <c r="C3123" t="s">
        <v>460</v>
      </c>
      <c r="D3123" t="s">
        <v>8160</v>
      </c>
      <c r="E3123" t="s">
        <v>75</v>
      </c>
    </row>
    <row r="3124" spans="1:5" x14ac:dyDescent="0.3">
      <c r="A3124" t="s">
        <v>4464</v>
      </c>
      <c r="B3124" t="s">
        <v>2111</v>
      </c>
      <c r="C3124" t="s">
        <v>862</v>
      </c>
      <c r="D3124" t="s">
        <v>751</v>
      </c>
      <c r="E3124" t="s">
        <v>1</v>
      </c>
    </row>
    <row r="3125" spans="1:5" x14ac:dyDescent="0.3">
      <c r="A3125" t="s">
        <v>851</v>
      </c>
      <c r="B3125" t="s">
        <v>8162</v>
      </c>
      <c r="C3125" t="s">
        <v>461</v>
      </c>
    </row>
    <row r="3126" spans="1:5" x14ac:dyDescent="0.3">
      <c r="A3126" t="s">
        <v>825</v>
      </c>
      <c r="B3126" t="s">
        <v>3773</v>
      </c>
      <c r="C3126" t="s">
        <v>7135</v>
      </c>
      <c r="D3126" t="s">
        <v>7958</v>
      </c>
      <c r="E3126" t="s">
        <v>75</v>
      </c>
    </row>
    <row r="3127" spans="1:5" x14ac:dyDescent="0.3">
      <c r="A3127" t="s">
        <v>1212</v>
      </c>
      <c r="B3127" t="s">
        <v>8165</v>
      </c>
      <c r="C3127" t="s">
        <v>5766</v>
      </c>
      <c r="D3127" t="s">
        <v>8164</v>
      </c>
      <c r="E3127" t="s">
        <v>75</v>
      </c>
    </row>
    <row r="3128" spans="1:5" x14ac:dyDescent="0.3">
      <c r="A3128" t="s">
        <v>3201</v>
      </c>
      <c r="B3128" t="s">
        <v>28</v>
      </c>
      <c r="C3128" t="s">
        <v>7413</v>
      </c>
      <c r="D3128" t="s">
        <v>8166</v>
      </c>
      <c r="E3128" t="s">
        <v>75</v>
      </c>
    </row>
    <row r="3129" spans="1:5" x14ac:dyDescent="0.3">
      <c r="A3129" t="s">
        <v>1001</v>
      </c>
      <c r="B3129" t="s">
        <v>8168</v>
      </c>
      <c r="C3129" t="s">
        <v>8167</v>
      </c>
      <c r="D3129" t="s">
        <v>883</v>
      </c>
      <c r="E3129" t="s">
        <v>1</v>
      </c>
    </row>
    <row r="3130" spans="1:5" x14ac:dyDescent="0.3">
      <c r="A3130" t="s">
        <v>113</v>
      </c>
      <c r="B3130" t="s">
        <v>8170</v>
      </c>
      <c r="C3130" t="s">
        <v>460</v>
      </c>
      <c r="D3130" t="s">
        <v>8169</v>
      </c>
      <c r="E3130" t="s">
        <v>75</v>
      </c>
    </row>
    <row r="3131" spans="1:5" x14ac:dyDescent="0.3">
      <c r="A3131" t="s">
        <v>3632</v>
      </c>
      <c r="B3131" t="s">
        <v>8172</v>
      </c>
      <c r="C3131" t="s">
        <v>8171</v>
      </c>
      <c r="D3131" t="s">
        <v>751</v>
      </c>
      <c r="E3131" t="s">
        <v>1</v>
      </c>
    </row>
    <row r="3132" spans="1:5" x14ac:dyDescent="0.3">
      <c r="A3132" t="s">
        <v>3232</v>
      </c>
      <c r="B3132" t="s">
        <v>8174</v>
      </c>
      <c r="C3132" t="s">
        <v>8173</v>
      </c>
    </row>
    <row r="3133" spans="1:5" x14ac:dyDescent="0.3">
      <c r="A3133" t="s">
        <v>246</v>
      </c>
      <c r="B3133" t="s">
        <v>8175</v>
      </c>
      <c r="C3133" t="s">
        <v>862</v>
      </c>
      <c r="D3133" t="s">
        <v>919</v>
      </c>
      <c r="E3133" t="s">
        <v>1</v>
      </c>
    </row>
    <row r="3134" spans="1:5" x14ac:dyDescent="0.3">
      <c r="A3134" t="s">
        <v>27</v>
      </c>
      <c r="B3134" t="s">
        <v>8176</v>
      </c>
      <c r="C3134" t="s">
        <v>5694</v>
      </c>
      <c r="D3134" t="s">
        <v>797</v>
      </c>
      <c r="E3134" t="s">
        <v>75</v>
      </c>
    </row>
    <row r="3135" spans="1:5" x14ac:dyDescent="0.3">
      <c r="A3135" t="s">
        <v>224</v>
      </c>
      <c r="B3135" t="s">
        <v>8177</v>
      </c>
      <c r="C3135" t="s">
        <v>518</v>
      </c>
      <c r="D3135" t="s">
        <v>797</v>
      </c>
      <c r="E3135" t="s">
        <v>75</v>
      </c>
    </row>
    <row r="3136" spans="1:5" x14ac:dyDescent="0.3">
      <c r="A3136" t="s">
        <v>184</v>
      </c>
      <c r="B3136" t="s">
        <v>2533</v>
      </c>
      <c r="C3136" t="s">
        <v>8178</v>
      </c>
      <c r="D3136" t="s">
        <v>797</v>
      </c>
      <c r="E3136" t="s">
        <v>75</v>
      </c>
    </row>
    <row r="3137" spans="1:5" x14ac:dyDescent="0.3">
      <c r="A3137" t="s">
        <v>8179</v>
      </c>
      <c r="B3137" t="s">
        <v>5769</v>
      </c>
      <c r="C3137" t="s">
        <v>8180</v>
      </c>
      <c r="D3137" t="s">
        <v>797</v>
      </c>
      <c r="E3137" t="s">
        <v>75</v>
      </c>
    </row>
    <row r="3138" spans="1:5" x14ac:dyDescent="0.3">
      <c r="A3138" t="s">
        <v>1414</v>
      </c>
      <c r="B3138" t="s">
        <v>8181</v>
      </c>
      <c r="C3138" t="s">
        <v>862</v>
      </c>
      <c r="D3138" t="s">
        <v>797</v>
      </c>
      <c r="E3138" t="s">
        <v>75</v>
      </c>
    </row>
    <row r="3139" spans="1:5" x14ac:dyDescent="0.3">
      <c r="A3139" t="s">
        <v>8182</v>
      </c>
      <c r="B3139" t="s">
        <v>8183</v>
      </c>
      <c r="C3139" t="s">
        <v>2571</v>
      </c>
      <c r="D3139" t="s">
        <v>797</v>
      </c>
      <c r="E3139" t="s">
        <v>75</v>
      </c>
    </row>
    <row r="3140" spans="1:5" x14ac:dyDescent="0.3">
      <c r="A3140" t="s">
        <v>860</v>
      </c>
      <c r="B3140" t="s">
        <v>1615</v>
      </c>
      <c r="C3140" t="s">
        <v>518</v>
      </c>
      <c r="D3140" t="s">
        <v>797</v>
      </c>
      <c r="E3140" t="s">
        <v>75</v>
      </c>
    </row>
    <row r="3141" spans="1:5" x14ac:dyDescent="0.3">
      <c r="A3141" t="s">
        <v>113</v>
      </c>
      <c r="B3141" t="s">
        <v>8184</v>
      </c>
      <c r="C3141" t="s">
        <v>518</v>
      </c>
      <c r="D3141" t="s">
        <v>797</v>
      </c>
      <c r="E3141" t="s">
        <v>75</v>
      </c>
    </row>
    <row r="3142" spans="1:5" x14ac:dyDescent="0.3">
      <c r="A3142" t="s">
        <v>8186</v>
      </c>
      <c r="B3142" t="s">
        <v>1979</v>
      </c>
      <c r="C3142" t="s">
        <v>8187</v>
      </c>
      <c r="D3142" t="s">
        <v>8185</v>
      </c>
      <c r="E3142" t="s">
        <v>774</v>
      </c>
    </row>
    <row r="3143" spans="1:5" x14ac:dyDescent="0.3">
      <c r="A3143" t="s">
        <v>2686</v>
      </c>
      <c r="B3143" t="s">
        <v>287</v>
      </c>
      <c r="C3143" t="s">
        <v>459</v>
      </c>
      <c r="D3143" t="s">
        <v>8188</v>
      </c>
      <c r="E3143" t="s">
        <v>75</v>
      </c>
    </row>
    <row r="3144" spans="1:5" x14ac:dyDescent="0.3">
      <c r="A3144" t="s">
        <v>150</v>
      </c>
      <c r="B3144" t="s">
        <v>5235</v>
      </c>
      <c r="C3144" t="s">
        <v>467</v>
      </c>
      <c r="D3144" t="s">
        <v>8189</v>
      </c>
      <c r="E3144" t="s">
        <v>75</v>
      </c>
    </row>
    <row r="3145" spans="1:5" x14ac:dyDescent="0.3">
      <c r="A3145" t="s">
        <v>168</v>
      </c>
      <c r="B3145" t="s">
        <v>824</v>
      </c>
      <c r="C3145" t="s">
        <v>8190</v>
      </c>
      <c r="D3145" t="s">
        <v>895</v>
      </c>
      <c r="E3145" t="s">
        <v>897</v>
      </c>
    </row>
    <row r="3146" spans="1:5" x14ac:dyDescent="0.3">
      <c r="A3146" t="s">
        <v>150</v>
      </c>
      <c r="B3146" t="s">
        <v>152</v>
      </c>
      <c r="C3146" t="s">
        <v>460</v>
      </c>
      <c r="D3146" t="s">
        <v>8192</v>
      </c>
      <c r="E3146" t="s">
        <v>75</v>
      </c>
    </row>
    <row r="3147" spans="1:5" x14ac:dyDescent="0.3">
      <c r="A3147" t="s">
        <v>860</v>
      </c>
      <c r="B3147" t="s">
        <v>8194</v>
      </c>
      <c r="C3147" t="s">
        <v>460</v>
      </c>
      <c r="D3147" t="s">
        <v>8193</v>
      </c>
      <c r="E3147" t="s">
        <v>75</v>
      </c>
    </row>
    <row r="3148" spans="1:5" x14ac:dyDescent="0.3">
      <c r="A3148" t="s">
        <v>1297</v>
      </c>
      <c r="B3148" t="s">
        <v>8195</v>
      </c>
      <c r="C3148" t="s">
        <v>862</v>
      </c>
      <c r="D3148" t="s">
        <v>5192</v>
      </c>
      <c r="E3148" t="s">
        <v>741</v>
      </c>
    </row>
    <row r="3149" spans="1:5" x14ac:dyDescent="0.3">
      <c r="A3149" t="s">
        <v>100</v>
      </c>
      <c r="B3149" t="s">
        <v>8196</v>
      </c>
      <c r="C3149" t="s">
        <v>862</v>
      </c>
      <c r="D3149" t="s">
        <v>883</v>
      </c>
      <c r="E3149" t="s">
        <v>1</v>
      </c>
    </row>
    <row r="3150" spans="1:5" x14ac:dyDescent="0.3">
      <c r="A3150" t="s">
        <v>1495</v>
      </c>
      <c r="B3150" t="s">
        <v>8198</v>
      </c>
      <c r="C3150" t="s">
        <v>461</v>
      </c>
      <c r="D3150" t="s">
        <v>8197</v>
      </c>
      <c r="E3150" t="s">
        <v>75</v>
      </c>
    </row>
    <row r="3151" spans="1:5" x14ac:dyDescent="0.3">
      <c r="A3151" t="s">
        <v>8200</v>
      </c>
      <c r="B3151" t="s">
        <v>8201</v>
      </c>
      <c r="C3151" t="s">
        <v>698</v>
      </c>
      <c r="D3151" t="s">
        <v>5991</v>
      </c>
      <c r="E3151" t="s">
        <v>774</v>
      </c>
    </row>
    <row r="3152" spans="1:5" x14ac:dyDescent="0.3">
      <c r="A3152" t="s">
        <v>8203</v>
      </c>
      <c r="B3152" t="s">
        <v>84</v>
      </c>
      <c r="C3152" t="s">
        <v>467</v>
      </c>
      <c r="D3152" t="s">
        <v>8202</v>
      </c>
      <c r="E3152" t="s">
        <v>75</v>
      </c>
    </row>
    <row r="3153" spans="1:5" x14ac:dyDescent="0.3">
      <c r="A3153" t="s">
        <v>1001</v>
      </c>
      <c r="B3153" t="s">
        <v>8206</v>
      </c>
      <c r="C3153" t="s">
        <v>8205</v>
      </c>
      <c r="D3153" t="s">
        <v>8204</v>
      </c>
      <c r="E3153" t="s">
        <v>774</v>
      </c>
    </row>
    <row r="3154" spans="1:5" x14ac:dyDescent="0.3">
      <c r="A3154" t="s">
        <v>3160</v>
      </c>
      <c r="B3154" t="s">
        <v>287</v>
      </c>
      <c r="C3154" t="s">
        <v>467</v>
      </c>
      <c r="D3154" t="s">
        <v>8207</v>
      </c>
      <c r="E3154" t="s">
        <v>75</v>
      </c>
    </row>
    <row r="3155" spans="1:5" x14ac:dyDescent="0.3">
      <c r="A3155" t="s">
        <v>259</v>
      </c>
      <c r="B3155" t="s">
        <v>8209</v>
      </c>
      <c r="C3155" t="s">
        <v>7159</v>
      </c>
      <c r="D3155" t="s">
        <v>8208</v>
      </c>
      <c r="E3155" t="s">
        <v>75</v>
      </c>
    </row>
    <row r="3156" spans="1:5" x14ac:dyDescent="0.3">
      <c r="A3156" t="s">
        <v>1632</v>
      </c>
      <c r="B3156" t="s">
        <v>3651</v>
      </c>
      <c r="C3156" t="s">
        <v>5766</v>
      </c>
      <c r="D3156" t="s">
        <v>5744</v>
      </c>
      <c r="E3156" t="s">
        <v>75</v>
      </c>
    </row>
    <row r="3157" spans="1:5" x14ac:dyDescent="0.3">
      <c r="A3157" t="s">
        <v>182</v>
      </c>
      <c r="B3157" t="s">
        <v>3895</v>
      </c>
      <c r="C3157" t="s">
        <v>6118</v>
      </c>
      <c r="D3157" t="s">
        <v>5744</v>
      </c>
      <c r="E3157" t="s">
        <v>75</v>
      </c>
    </row>
    <row r="3158" spans="1:5" x14ac:dyDescent="0.3">
      <c r="A3158" t="s">
        <v>8211</v>
      </c>
      <c r="B3158" t="s">
        <v>2116</v>
      </c>
      <c r="C3158" t="s">
        <v>8212</v>
      </c>
      <c r="D3158" t="s">
        <v>8210</v>
      </c>
      <c r="E3158" t="s">
        <v>841</v>
      </c>
    </row>
    <row r="3159" spans="1:5" x14ac:dyDescent="0.3">
      <c r="A3159" t="s">
        <v>2965</v>
      </c>
      <c r="B3159" t="s">
        <v>8214</v>
      </c>
      <c r="C3159" t="s">
        <v>8213</v>
      </c>
      <c r="D3159" t="s">
        <v>8191</v>
      </c>
      <c r="E3159" t="s">
        <v>774</v>
      </c>
    </row>
    <row r="3160" spans="1:5" x14ac:dyDescent="0.3">
      <c r="A3160" t="s">
        <v>190</v>
      </c>
      <c r="B3160" t="s">
        <v>8217</v>
      </c>
      <c r="C3160" t="s">
        <v>8216</v>
      </c>
      <c r="D3160" t="s">
        <v>8215</v>
      </c>
      <c r="E3160" t="s">
        <v>774</v>
      </c>
    </row>
    <row r="3161" spans="1:5" x14ac:dyDescent="0.3">
      <c r="A3161" t="s">
        <v>3326</v>
      </c>
      <c r="B3161" t="s">
        <v>8219</v>
      </c>
      <c r="C3161" t="s">
        <v>467</v>
      </c>
      <c r="D3161" t="s">
        <v>8218</v>
      </c>
      <c r="E3161" t="s">
        <v>2175</v>
      </c>
    </row>
    <row r="3162" spans="1:5" x14ac:dyDescent="0.3">
      <c r="A3162" t="s">
        <v>6059</v>
      </c>
      <c r="B3162" t="s">
        <v>8220</v>
      </c>
      <c r="C3162" t="s">
        <v>467</v>
      </c>
      <c r="D3162" t="s">
        <v>7362</v>
      </c>
      <c r="E3162" t="s">
        <v>75</v>
      </c>
    </row>
    <row r="3163" spans="1:5" x14ac:dyDescent="0.3">
      <c r="A3163" t="s">
        <v>181</v>
      </c>
      <c r="B3163" t="s">
        <v>4471</v>
      </c>
      <c r="C3163" t="s">
        <v>460</v>
      </c>
      <c r="D3163" t="s">
        <v>8222</v>
      </c>
      <c r="E3163" t="s">
        <v>75</v>
      </c>
    </row>
    <row r="3164" spans="1:5" x14ac:dyDescent="0.3">
      <c r="A3164" t="s">
        <v>41</v>
      </c>
      <c r="B3164" t="s">
        <v>199</v>
      </c>
      <c r="C3164" t="s">
        <v>460</v>
      </c>
      <c r="D3164" t="s">
        <v>8224</v>
      </c>
      <c r="E3164" t="s">
        <v>75</v>
      </c>
    </row>
    <row r="3165" spans="1:5" x14ac:dyDescent="0.3">
      <c r="A3165" t="s">
        <v>331</v>
      </c>
      <c r="B3165" t="s">
        <v>1354</v>
      </c>
      <c r="C3165" t="s">
        <v>698</v>
      </c>
      <c r="D3165" t="s">
        <v>8225</v>
      </c>
      <c r="E3165" t="s">
        <v>75</v>
      </c>
    </row>
    <row r="3166" spans="1:5" x14ac:dyDescent="0.3">
      <c r="A3166" t="s">
        <v>1548</v>
      </c>
      <c r="B3166" t="s">
        <v>2628</v>
      </c>
      <c r="C3166" t="s">
        <v>8226</v>
      </c>
      <c r="D3166" t="s">
        <v>5779</v>
      </c>
      <c r="E3166" t="s">
        <v>774</v>
      </c>
    </row>
    <row r="3167" spans="1:5" x14ac:dyDescent="0.3">
      <c r="A3167" t="s">
        <v>5333</v>
      </c>
      <c r="B3167" t="s">
        <v>205</v>
      </c>
      <c r="C3167" t="s">
        <v>457</v>
      </c>
      <c r="D3167" t="s">
        <v>8227</v>
      </c>
      <c r="E3167" t="s">
        <v>774</v>
      </c>
    </row>
    <row r="3168" spans="1:5" x14ac:dyDescent="0.3">
      <c r="A3168" t="s">
        <v>1414</v>
      </c>
      <c r="B3168" t="s">
        <v>7912</v>
      </c>
      <c r="C3168" t="s">
        <v>461</v>
      </c>
      <c r="D3168" t="s">
        <v>8228</v>
      </c>
      <c r="E3168" t="s">
        <v>774</v>
      </c>
    </row>
    <row r="3169" spans="1:5" x14ac:dyDescent="0.3">
      <c r="A3169" t="s">
        <v>8229</v>
      </c>
      <c r="B3169" t="s">
        <v>8230</v>
      </c>
      <c r="C3169" t="s">
        <v>456</v>
      </c>
      <c r="D3169" t="s">
        <v>5745</v>
      </c>
      <c r="E3169" t="s">
        <v>774</v>
      </c>
    </row>
    <row r="3170" spans="1:5" x14ac:dyDescent="0.3">
      <c r="A3170" t="s">
        <v>8232</v>
      </c>
      <c r="B3170" t="s">
        <v>5038</v>
      </c>
      <c r="C3170" t="s">
        <v>8233</v>
      </c>
      <c r="D3170" t="s">
        <v>8231</v>
      </c>
      <c r="E3170" t="s">
        <v>18</v>
      </c>
    </row>
    <row r="3171" spans="1:5" x14ac:dyDescent="0.3">
      <c r="A3171" t="s">
        <v>4652</v>
      </c>
      <c r="B3171" t="s">
        <v>4897</v>
      </c>
      <c r="C3171" t="s">
        <v>457</v>
      </c>
      <c r="D3171" t="s">
        <v>8234</v>
      </c>
      <c r="E3171" t="s">
        <v>774</v>
      </c>
    </row>
    <row r="3172" spans="1:5" x14ac:dyDescent="0.3">
      <c r="A3172" t="s">
        <v>116</v>
      </c>
      <c r="B3172" t="s">
        <v>4362</v>
      </c>
      <c r="C3172" t="s">
        <v>467</v>
      </c>
      <c r="D3172" t="s">
        <v>4042</v>
      </c>
      <c r="E3172" t="s">
        <v>741</v>
      </c>
    </row>
    <row r="3173" spans="1:5" x14ac:dyDescent="0.3">
      <c r="A3173" t="s">
        <v>2160</v>
      </c>
      <c r="B3173" t="s">
        <v>8236</v>
      </c>
      <c r="C3173" t="s">
        <v>461</v>
      </c>
      <c r="D3173" t="s">
        <v>5790</v>
      </c>
      <c r="E3173" t="s">
        <v>897</v>
      </c>
    </row>
    <row r="3174" spans="1:5" x14ac:dyDescent="0.3">
      <c r="A3174" t="s">
        <v>1309</v>
      </c>
      <c r="B3174" t="s">
        <v>205</v>
      </c>
      <c r="C3174" t="s">
        <v>745</v>
      </c>
      <c r="D3174" t="s">
        <v>8237</v>
      </c>
      <c r="E3174" t="s">
        <v>18</v>
      </c>
    </row>
    <row r="3175" spans="1:5" x14ac:dyDescent="0.3">
      <c r="A3175" t="s">
        <v>59</v>
      </c>
      <c r="B3175" t="s">
        <v>8239</v>
      </c>
      <c r="C3175" t="s">
        <v>467</v>
      </c>
      <c r="D3175" t="s">
        <v>8238</v>
      </c>
      <c r="E3175" t="s">
        <v>75</v>
      </c>
    </row>
    <row r="3176" spans="1:5" x14ac:dyDescent="0.3">
      <c r="A3176" t="s">
        <v>5487</v>
      </c>
      <c r="B3176" t="s">
        <v>5488</v>
      </c>
      <c r="C3176" t="s">
        <v>8242</v>
      </c>
      <c r="D3176" t="s">
        <v>2089</v>
      </c>
      <c r="E3176" t="s">
        <v>897</v>
      </c>
    </row>
    <row r="3177" spans="1:5" x14ac:dyDescent="0.3">
      <c r="A3177" t="s">
        <v>220</v>
      </c>
      <c r="B3177" t="s">
        <v>8244</v>
      </c>
      <c r="C3177" t="s">
        <v>5862</v>
      </c>
      <c r="D3177" t="s">
        <v>8243</v>
      </c>
      <c r="E3177" t="s">
        <v>75</v>
      </c>
    </row>
    <row r="3178" spans="1:5" x14ac:dyDescent="0.3">
      <c r="A3178" t="s">
        <v>8245</v>
      </c>
      <c r="B3178" t="s">
        <v>5490</v>
      </c>
      <c r="C3178" t="s">
        <v>3555</v>
      </c>
      <c r="D3178" t="s">
        <v>4589</v>
      </c>
      <c r="E3178" t="s">
        <v>781</v>
      </c>
    </row>
    <row r="3179" spans="1:5" x14ac:dyDescent="0.3">
      <c r="A3179" t="s">
        <v>8246</v>
      </c>
      <c r="B3179" t="s">
        <v>5194</v>
      </c>
      <c r="C3179" t="s">
        <v>862</v>
      </c>
      <c r="D3179" t="s">
        <v>895</v>
      </c>
      <c r="E3179" t="s">
        <v>897</v>
      </c>
    </row>
    <row r="3180" spans="1:5" x14ac:dyDescent="0.3">
      <c r="A3180" t="s">
        <v>2591</v>
      </c>
      <c r="B3180" t="s">
        <v>8248</v>
      </c>
      <c r="C3180" t="s">
        <v>698</v>
      </c>
      <c r="D3180" t="s">
        <v>8247</v>
      </c>
      <c r="E3180" t="s">
        <v>774</v>
      </c>
    </row>
    <row r="3181" spans="1:5" x14ac:dyDescent="0.3">
      <c r="A3181" t="s">
        <v>14</v>
      </c>
      <c r="B3181" t="s">
        <v>8249</v>
      </c>
      <c r="C3181" t="s">
        <v>3083</v>
      </c>
      <c r="D3181" t="s">
        <v>5654</v>
      </c>
      <c r="E3181" t="s">
        <v>75</v>
      </c>
    </row>
    <row r="3182" spans="1:5" x14ac:dyDescent="0.3">
      <c r="A3182" t="s">
        <v>209</v>
      </c>
      <c r="B3182" t="s">
        <v>8251</v>
      </c>
      <c r="C3182" t="s">
        <v>1926</v>
      </c>
      <c r="D3182" t="s">
        <v>8250</v>
      </c>
      <c r="E3182" t="s">
        <v>774</v>
      </c>
    </row>
    <row r="3183" spans="1:5" x14ac:dyDescent="0.3">
      <c r="A3183" t="s">
        <v>224</v>
      </c>
      <c r="B3183" t="s">
        <v>8253</v>
      </c>
      <c r="C3183" t="s">
        <v>862</v>
      </c>
      <c r="D3183" t="s">
        <v>8252</v>
      </c>
      <c r="E3183" t="s">
        <v>75</v>
      </c>
    </row>
    <row r="3184" spans="1:5" x14ac:dyDescent="0.3">
      <c r="A3184" t="s">
        <v>271</v>
      </c>
      <c r="B3184" t="s">
        <v>7112</v>
      </c>
      <c r="C3184" t="s">
        <v>8256</v>
      </c>
      <c r="D3184" t="s">
        <v>8255</v>
      </c>
      <c r="E3184" t="s">
        <v>741</v>
      </c>
    </row>
    <row r="3185" spans="1:5" x14ac:dyDescent="0.3">
      <c r="A3185" t="s">
        <v>331</v>
      </c>
      <c r="B3185" t="s">
        <v>8259</v>
      </c>
      <c r="C3185" t="s">
        <v>467</v>
      </c>
      <c r="D3185" t="s">
        <v>8258</v>
      </c>
      <c r="E3185" t="s">
        <v>75</v>
      </c>
    </row>
    <row r="3186" spans="1:5" x14ac:dyDescent="0.3">
      <c r="A3186" t="s">
        <v>8262</v>
      </c>
      <c r="B3186" t="s">
        <v>823</v>
      </c>
      <c r="C3186" t="s">
        <v>8263</v>
      </c>
      <c r="D3186" t="s">
        <v>8261</v>
      </c>
      <c r="E3186" t="s">
        <v>774</v>
      </c>
    </row>
    <row r="3187" spans="1:5" x14ac:dyDescent="0.3">
      <c r="A3187" t="s">
        <v>41</v>
      </c>
      <c r="B3187" t="s">
        <v>5621</v>
      </c>
      <c r="C3187" t="s">
        <v>467</v>
      </c>
      <c r="D3187" t="s">
        <v>8260</v>
      </c>
      <c r="E3187" t="s">
        <v>75</v>
      </c>
    </row>
    <row r="3188" spans="1:5" x14ac:dyDescent="0.3">
      <c r="A3188" t="s">
        <v>298</v>
      </c>
      <c r="B3188" t="s">
        <v>6206</v>
      </c>
      <c r="C3188" t="s">
        <v>467</v>
      </c>
      <c r="D3188" t="s">
        <v>8264</v>
      </c>
      <c r="E3188" t="s">
        <v>75</v>
      </c>
    </row>
    <row r="3189" spans="1:5" x14ac:dyDescent="0.3">
      <c r="A3189" t="s">
        <v>131</v>
      </c>
      <c r="B3189" t="s">
        <v>3754</v>
      </c>
      <c r="C3189" t="s">
        <v>8266</v>
      </c>
      <c r="D3189" t="s">
        <v>8265</v>
      </c>
      <c r="E3189" t="s">
        <v>18</v>
      </c>
    </row>
    <row r="3190" spans="1:5" x14ac:dyDescent="0.3">
      <c r="A3190" t="s">
        <v>41</v>
      </c>
      <c r="B3190" t="s">
        <v>4564</v>
      </c>
      <c r="C3190" t="s">
        <v>467</v>
      </c>
      <c r="D3190" t="s">
        <v>8268</v>
      </c>
      <c r="E3190" t="s">
        <v>75</v>
      </c>
    </row>
    <row r="3191" spans="1:5" x14ac:dyDescent="0.3">
      <c r="A3191" t="s">
        <v>2418</v>
      </c>
      <c r="B3191" t="s">
        <v>4647</v>
      </c>
      <c r="C3191" t="s">
        <v>862</v>
      </c>
      <c r="D3191" t="s">
        <v>1967</v>
      </c>
      <c r="E3191" t="s">
        <v>741</v>
      </c>
    </row>
    <row r="3192" spans="1:5" x14ac:dyDescent="0.3">
      <c r="A3192" t="s">
        <v>67</v>
      </c>
      <c r="B3192" t="s">
        <v>3816</v>
      </c>
      <c r="C3192" t="s">
        <v>3299</v>
      </c>
      <c r="D3192" t="s">
        <v>951</v>
      </c>
      <c r="E3192" t="s">
        <v>1</v>
      </c>
    </row>
    <row r="3193" spans="1:5" x14ac:dyDescent="0.3">
      <c r="A3193" t="s">
        <v>3493</v>
      </c>
      <c r="B3193" t="s">
        <v>4157</v>
      </c>
      <c r="C3193" t="s">
        <v>8270</v>
      </c>
      <c r="D3193" t="s">
        <v>8269</v>
      </c>
      <c r="E3193" t="s">
        <v>841</v>
      </c>
    </row>
    <row r="3194" spans="1:5" x14ac:dyDescent="0.3">
      <c r="A3194" t="s">
        <v>132</v>
      </c>
      <c r="B3194" t="s">
        <v>8274</v>
      </c>
      <c r="C3194" t="s">
        <v>8273</v>
      </c>
      <c r="D3194" t="s">
        <v>8272</v>
      </c>
      <c r="E3194" t="s">
        <v>75</v>
      </c>
    </row>
    <row r="3195" spans="1:5" x14ac:dyDescent="0.3">
      <c r="A3195" t="s">
        <v>420</v>
      </c>
      <c r="B3195" t="s">
        <v>5029</v>
      </c>
      <c r="C3195" t="s">
        <v>698</v>
      </c>
      <c r="D3195" t="s">
        <v>8275</v>
      </c>
      <c r="E3195" t="s">
        <v>774</v>
      </c>
    </row>
    <row r="3196" spans="1:5" x14ac:dyDescent="0.3">
      <c r="A3196" t="s">
        <v>1304</v>
      </c>
      <c r="B3196" t="s">
        <v>5521</v>
      </c>
      <c r="C3196" t="s">
        <v>467</v>
      </c>
      <c r="D3196" t="s">
        <v>5881</v>
      </c>
      <c r="E3196" t="s">
        <v>75</v>
      </c>
    </row>
    <row r="3197" spans="1:5" x14ac:dyDescent="0.3">
      <c r="A3197" t="s">
        <v>8277</v>
      </c>
      <c r="B3197" t="s">
        <v>8279</v>
      </c>
      <c r="C3197" t="s">
        <v>8278</v>
      </c>
      <c r="D3197" t="s">
        <v>3013</v>
      </c>
      <c r="E3197" t="s">
        <v>758</v>
      </c>
    </row>
    <row r="3198" spans="1:5" x14ac:dyDescent="0.3">
      <c r="A3198" t="s">
        <v>35</v>
      </c>
      <c r="B3198" t="s">
        <v>6141</v>
      </c>
      <c r="C3198" t="s">
        <v>451</v>
      </c>
      <c r="D3198" t="s">
        <v>8280</v>
      </c>
      <c r="E3198" t="s">
        <v>75</v>
      </c>
    </row>
    <row r="3199" spans="1:5" x14ac:dyDescent="0.3">
      <c r="A3199" t="s">
        <v>66</v>
      </c>
      <c r="B3199" t="s">
        <v>3429</v>
      </c>
      <c r="C3199" t="s">
        <v>457</v>
      </c>
      <c r="D3199" t="s">
        <v>8280</v>
      </c>
      <c r="E3199" t="s">
        <v>75</v>
      </c>
    </row>
    <row r="3200" spans="1:5" x14ac:dyDescent="0.3">
      <c r="A3200" t="s">
        <v>8282</v>
      </c>
      <c r="B3200" t="s">
        <v>3908</v>
      </c>
      <c r="C3200" t="s">
        <v>8283</v>
      </c>
      <c r="D3200" t="s">
        <v>8281</v>
      </c>
      <c r="E3200" t="s">
        <v>75</v>
      </c>
    </row>
    <row r="3201" spans="1:5" x14ac:dyDescent="0.3">
      <c r="A3201" t="s">
        <v>224</v>
      </c>
      <c r="B3201" t="s">
        <v>3908</v>
      </c>
      <c r="C3201" t="s">
        <v>8284</v>
      </c>
      <c r="D3201" t="s">
        <v>8281</v>
      </c>
      <c r="E3201" t="s">
        <v>75</v>
      </c>
    </row>
    <row r="3202" spans="1:5" x14ac:dyDescent="0.3">
      <c r="A3202" t="s">
        <v>936</v>
      </c>
      <c r="B3202" t="s">
        <v>2983</v>
      </c>
      <c r="C3202" t="s">
        <v>8285</v>
      </c>
      <c r="D3202" t="s">
        <v>4492</v>
      </c>
      <c r="E3202" t="s">
        <v>75</v>
      </c>
    </row>
    <row r="3203" spans="1:5" x14ac:dyDescent="0.3">
      <c r="A3203" t="s">
        <v>2652</v>
      </c>
      <c r="B3203" t="s">
        <v>8288</v>
      </c>
      <c r="C3203" t="s">
        <v>8287</v>
      </c>
      <c r="D3203" t="s">
        <v>8286</v>
      </c>
      <c r="E3203" t="s">
        <v>774</v>
      </c>
    </row>
    <row r="3204" spans="1:5" x14ac:dyDescent="0.3">
      <c r="A3204" t="s">
        <v>44</v>
      </c>
      <c r="B3204" t="s">
        <v>4444</v>
      </c>
      <c r="C3204" t="s">
        <v>8289</v>
      </c>
      <c r="D3204" t="s">
        <v>5910</v>
      </c>
      <c r="E3204" t="s">
        <v>75</v>
      </c>
    </row>
    <row r="3205" spans="1:5" x14ac:dyDescent="0.3">
      <c r="A3205" t="s">
        <v>53</v>
      </c>
      <c r="B3205" t="s">
        <v>8292</v>
      </c>
      <c r="C3205" t="s">
        <v>8291</v>
      </c>
      <c r="D3205" t="s">
        <v>8290</v>
      </c>
      <c r="E3205" t="s">
        <v>774</v>
      </c>
    </row>
    <row r="3206" spans="1:5" x14ac:dyDescent="0.3">
      <c r="A3206" t="s">
        <v>1126</v>
      </c>
      <c r="B3206" t="s">
        <v>8294</v>
      </c>
      <c r="C3206" t="s">
        <v>467</v>
      </c>
      <c r="D3206" t="s">
        <v>8293</v>
      </c>
      <c r="E3206" t="s">
        <v>75</v>
      </c>
    </row>
    <row r="3207" spans="1:5" x14ac:dyDescent="0.3">
      <c r="A3207" t="s">
        <v>1334</v>
      </c>
      <c r="B3207" t="s">
        <v>8297</v>
      </c>
      <c r="C3207" t="s">
        <v>467</v>
      </c>
      <c r="D3207" t="s">
        <v>8296</v>
      </c>
      <c r="E3207" t="s">
        <v>75</v>
      </c>
    </row>
    <row r="3208" spans="1:5" x14ac:dyDescent="0.3">
      <c r="A3208" t="s">
        <v>195</v>
      </c>
      <c r="B3208" t="s">
        <v>3558</v>
      </c>
      <c r="C3208" t="s">
        <v>467</v>
      </c>
      <c r="D3208" t="s">
        <v>8298</v>
      </c>
      <c r="E3208" t="s">
        <v>75</v>
      </c>
    </row>
    <row r="3209" spans="1:5" x14ac:dyDescent="0.3">
      <c r="A3209" t="s">
        <v>3174</v>
      </c>
      <c r="B3209" t="s">
        <v>8301</v>
      </c>
      <c r="C3209" t="s">
        <v>8300</v>
      </c>
      <c r="D3209" t="s">
        <v>8299</v>
      </c>
      <c r="E3209" t="s">
        <v>774</v>
      </c>
    </row>
    <row r="3210" spans="1:5" x14ac:dyDescent="0.3">
      <c r="A3210" t="s">
        <v>290</v>
      </c>
      <c r="B3210" t="s">
        <v>8303</v>
      </c>
      <c r="C3210" t="s">
        <v>8302</v>
      </c>
      <c r="D3210" t="s">
        <v>5765</v>
      </c>
      <c r="E3210" t="s">
        <v>18</v>
      </c>
    </row>
    <row r="3211" spans="1:5" x14ac:dyDescent="0.3">
      <c r="A3211" t="s">
        <v>8304</v>
      </c>
      <c r="B3211" t="s">
        <v>8221</v>
      </c>
      <c r="C3211" t="s">
        <v>518</v>
      </c>
      <c r="D3211" t="s">
        <v>763</v>
      </c>
      <c r="E3211" t="s">
        <v>1</v>
      </c>
    </row>
    <row r="3212" spans="1:5" x14ac:dyDescent="0.3">
      <c r="A3212" t="s">
        <v>331</v>
      </c>
      <c r="B3212" t="s">
        <v>332</v>
      </c>
      <c r="C3212" t="s">
        <v>333</v>
      </c>
      <c r="D3212" t="s">
        <v>5972</v>
      </c>
      <c r="E3212" t="s">
        <v>75</v>
      </c>
    </row>
    <row r="3213" spans="1:5" x14ac:dyDescent="0.3">
      <c r="A3213" t="s">
        <v>8306</v>
      </c>
      <c r="B3213" t="s">
        <v>8307</v>
      </c>
      <c r="C3213" t="s">
        <v>5906</v>
      </c>
      <c r="D3213" t="s">
        <v>8305</v>
      </c>
      <c r="E3213" t="s">
        <v>18</v>
      </c>
    </row>
    <row r="3214" spans="1:5" x14ac:dyDescent="0.3">
      <c r="A3214" t="s">
        <v>4932</v>
      </c>
      <c r="B3214" t="s">
        <v>8310</v>
      </c>
      <c r="C3214" t="s">
        <v>461</v>
      </c>
      <c r="D3214" t="s">
        <v>8309</v>
      </c>
      <c r="E3214" t="s">
        <v>75</v>
      </c>
    </row>
    <row r="3215" spans="1:5" x14ac:dyDescent="0.3">
      <c r="A3215" t="s">
        <v>8312</v>
      </c>
      <c r="B3215" t="s">
        <v>8313</v>
      </c>
      <c r="C3215" t="s">
        <v>455</v>
      </c>
      <c r="D3215" t="s">
        <v>8311</v>
      </c>
      <c r="E3215" t="s">
        <v>75</v>
      </c>
    </row>
    <row r="3216" spans="1:5" x14ac:dyDescent="0.3">
      <c r="A3216" t="s">
        <v>8316</v>
      </c>
      <c r="B3216" t="s">
        <v>8318</v>
      </c>
      <c r="C3216" t="s">
        <v>8317</v>
      </c>
      <c r="D3216" t="s">
        <v>8315</v>
      </c>
      <c r="E3216" t="s">
        <v>774</v>
      </c>
    </row>
    <row r="3217" spans="1:5" x14ac:dyDescent="0.3">
      <c r="A3217" t="s">
        <v>411</v>
      </c>
      <c r="B3217" t="s">
        <v>8319</v>
      </c>
      <c r="C3217" t="s">
        <v>457</v>
      </c>
      <c r="D3217" t="s">
        <v>6004</v>
      </c>
      <c r="E3217" t="s">
        <v>75</v>
      </c>
    </row>
    <row r="3218" spans="1:5" x14ac:dyDescent="0.3">
      <c r="A3218" t="s">
        <v>132</v>
      </c>
      <c r="B3218" t="s">
        <v>8322</v>
      </c>
      <c r="C3218" t="s">
        <v>8321</v>
      </c>
      <c r="D3218" t="s">
        <v>2171</v>
      </c>
      <c r="E3218" t="s">
        <v>741</v>
      </c>
    </row>
    <row r="3219" spans="1:5" x14ac:dyDescent="0.3">
      <c r="A3219" t="s">
        <v>3583</v>
      </c>
      <c r="B3219" t="s">
        <v>8324</v>
      </c>
      <c r="C3219" t="s">
        <v>467</v>
      </c>
      <c r="D3219" t="s">
        <v>8323</v>
      </c>
      <c r="E3219" t="s">
        <v>774</v>
      </c>
    </row>
    <row r="3220" spans="1:5" x14ac:dyDescent="0.3">
      <c r="A3220" t="s">
        <v>1141</v>
      </c>
      <c r="B3220" t="s">
        <v>4037</v>
      </c>
      <c r="C3220" t="s">
        <v>8326</v>
      </c>
      <c r="D3220" t="s">
        <v>8325</v>
      </c>
      <c r="E3220" t="s">
        <v>774</v>
      </c>
    </row>
    <row r="3221" spans="1:5" x14ac:dyDescent="0.3">
      <c r="A3221" t="s">
        <v>224</v>
      </c>
      <c r="B3221" t="s">
        <v>5706</v>
      </c>
      <c r="C3221" t="s">
        <v>8327</v>
      </c>
      <c r="D3221" t="s">
        <v>751</v>
      </c>
      <c r="E3221" t="s">
        <v>1</v>
      </c>
    </row>
    <row r="3222" spans="1:5" x14ac:dyDescent="0.3">
      <c r="A3222" t="s">
        <v>860</v>
      </c>
      <c r="B3222" t="s">
        <v>139</v>
      </c>
      <c r="C3222" t="s">
        <v>8331</v>
      </c>
      <c r="D3222" t="s">
        <v>8330</v>
      </c>
      <c r="E3222" t="s">
        <v>774</v>
      </c>
    </row>
    <row r="3223" spans="1:5" x14ac:dyDescent="0.3">
      <c r="A3223" t="s">
        <v>194</v>
      </c>
      <c r="B3223" t="s">
        <v>8333</v>
      </c>
      <c r="C3223" t="s">
        <v>461</v>
      </c>
      <c r="D3223" t="s">
        <v>8332</v>
      </c>
      <c r="E3223" t="s">
        <v>75</v>
      </c>
    </row>
    <row r="3224" spans="1:5" x14ac:dyDescent="0.3">
      <c r="A3224" t="s">
        <v>360</v>
      </c>
      <c r="B3224" t="s">
        <v>252</v>
      </c>
      <c r="C3224" t="s">
        <v>8334</v>
      </c>
      <c r="D3224" t="s">
        <v>1303</v>
      </c>
      <c r="E3224" t="s">
        <v>761</v>
      </c>
    </row>
    <row r="3225" spans="1:5" x14ac:dyDescent="0.3">
      <c r="A3225" t="s">
        <v>4088</v>
      </c>
      <c r="B3225" t="s">
        <v>6000</v>
      </c>
      <c r="C3225" t="s">
        <v>8335</v>
      </c>
      <c r="D3225" t="s">
        <v>7880</v>
      </c>
      <c r="E3225" t="s">
        <v>774</v>
      </c>
    </row>
    <row r="3226" spans="1:5" x14ac:dyDescent="0.3">
      <c r="A3226" t="s">
        <v>190</v>
      </c>
      <c r="B3226" t="s">
        <v>6682</v>
      </c>
      <c r="C3226" t="s">
        <v>698</v>
      </c>
      <c r="D3226" t="s">
        <v>8338</v>
      </c>
      <c r="E3226" t="s">
        <v>774</v>
      </c>
    </row>
    <row r="3227" spans="1:5" x14ac:dyDescent="0.3">
      <c r="A3227" t="s">
        <v>4706</v>
      </c>
      <c r="B3227" t="s">
        <v>8340</v>
      </c>
      <c r="C3227" t="s">
        <v>518</v>
      </c>
      <c r="D3227" t="s">
        <v>8339</v>
      </c>
      <c r="E3227" t="s">
        <v>774</v>
      </c>
    </row>
    <row r="3228" spans="1:5" x14ac:dyDescent="0.3">
      <c r="A3228" t="s">
        <v>936</v>
      </c>
      <c r="B3228" t="s">
        <v>1648</v>
      </c>
      <c r="C3228" t="s">
        <v>457</v>
      </c>
      <c r="D3228" t="s">
        <v>8341</v>
      </c>
      <c r="E3228" t="s">
        <v>774</v>
      </c>
    </row>
    <row r="3229" spans="1:5" x14ac:dyDescent="0.3">
      <c r="A3229" t="s">
        <v>398</v>
      </c>
      <c r="B3229" t="s">
        <v>4002</v>
      </c>
      <c r="C3229" t="s">
        <v>457</v>
      </c>
      <c r="D3229" t="s">
        <v>8342</v>
      </c>
      <c r="E3229" t="s">
        <v>75</v>
      </c>
    </row>
    <row r="3230" spans="1:5" x14ac:dyDescent="0.3">
      <c r="A3230" t="s">
        <v>1396</v>
      </c>
      <c r="B3230" t="s">
        <v>8345</v>
      </c>
      <c r="C3230" t="s">
        <v>8344</v>
      </c>
      <c r="D3230" t="s">
        <v>8343</v>
      </c>
      <c r="E3230" t="s">
        <v>774</v>
      </c>
    </row>
    <row r="3231" spans="1:5" x14ac:dyDescent="0.3">
      <c r="A3231" t="s">
        <v>41</v>
      </c>
      <c r="B3231" t="s">
        <v>8348</v>
      </c>
      <c r="C3231" t="s">
        <v>460</v>
      </c>
      <c r="D3231" t="s">
        <v>8347</v>
      </c>
      <c r="E3231" t="s">
        <v>75</v>
      </c>
    </row>
    <row r="3232" spans="1:5" x14ac:dyDescent="0.3">
      <c r="A3232" t="s">
        <v>828</v>
      </c>
      <c r="B3232" t="s">
        <v>8350</v>
      </c>
      <c r="C3232" t="s">
        <v>8349</v>
      </c>
      <c r="D3232" t="s">
        <v>2789</v>
      </c>
      <c r="E3232" t="s">
        <v>1</v>
      </c>
    </row>
    <row r="3233" spans="1:5" x14ac:dyDescent="0.3">
      <c r="A3233" t="s">
        <v>2384</v>
      </c>
      <c r="B3233" t="s">
        <v>8352</v>
      </c>
      <c r="C3233" t="s">
        <v>862</v>
      </c>
      <c r="D3233" t="s">
        <v>8351</v>
      </c>
      <c r="E3233" t="s">
        <v>774</v>
      </c>
    </row>
    <row r="3234" spans="1:5" x14ac:dyDescent="0.3">
      <c r="A3234" t="s">
        <v>4081</v>
      </c>
      <c r="B3234" t="s">
        <v>8355</v>
      </c>
      <c r="C3234" t="s">
        <v>8354</v>
      </c>
      <c r="D3234" t="s">
        <v>8353</v>
      </c>
      <c r="E3234" t="s">
        <v>75</v>
      </c>
    </row>
    <row r="3235" spans="1:5" x14ac:dyDescent="0.3">
      <c r="A3235" t="s">
        <v>6100</v>
      </c>
      <c r="B3235" t="s">
        <v>8356</v>
      </c>
      <c r="C3235" t="s">
        <v>5265</v>
      </c>
      <c r="D3235" t="s">
        <v>2419</v>
      </c>
      <c r="E3235" t="s">
        <v>1</v>
      </c>
    </row>
    <row r="3236" spans="1:5" x14ac:dyDescent="0.3">
      <c r="A3236" t="s">
        <v>89</v>
      </c>
      <c r="B3236" t="s">
        <v>7408</v>
      </c>
      <c r="C3236" t="s">
        <v>460</v>
      </c>
      <c r="D3236" t="s">
        <v>7090</v>
      </c>
      <c r="E3236" t="s">
        <v>741</v>
      </c>
    </row>
    <row r="3237" spans="1:5" x14ac:dyDescent="0.3">
      <c r="A3237" t="s">
        <v>50</v>
      </c>
      <c r="B3237" t="s">
        <v>8358</v>
      </c>
      <c r="C3237" t="s">
        <v>461</v>
      </c>
      <c r="D3237" t="s">
        <v>8357</v>
      </c>
      <c r="E3237" t="s">
        <v>75</v>
      </c>
    </row>
    <row r="3238" spans="1:5" x14ac:dyDescent="0.3">
      <c r="A3238" t="s">
        <v>3067</v>
      </c>
      <c r="B3238" t="s">
        <v>8360</v>
      </c>
      <c r="C3238" t="s">
        <v>467</v>
      </c>
      <c r="D3238" t="s">
        <v>8357</v>
      </c>
      <c r="E3238" t="s">
        <v>75</v>
      </c>
    </row>
    <row r="3239" spans="1:5" x14ac:dyDescent="0.3">
      <c r="A3239" t="s">
        <v>89</v>
      </c>
      <c r="B3239" t="s">
        <v>1118</v>
      </c>
      <c r="C3239" t="s">
        <v>461</v>
      </c>
      <c r="D3239" t="s">
        <v>8361</v>
      </c>
      <c r="E3239" t="s">
        <v>75</v>
      </c>
    </row>
    <row r="3240" spans="1:5" x14ac:dyDescent="0.3">
      <c r="A3240" t="s">
        <v>107</v>
      </c>
      <c r="B3240" t="s">
        <v>4119</v>
      </c>
      <c r="C3240" t="s">
        <v>518</v>
      </c>
      <c r="D3240" t="s">
        <v>4116</v>
      </c>
      <c r="E3240" t="s">
        <v>1</v>
      </c>
    </row>
    <row r="3241" spans="1:5" x14ac:dyDescent="0.3">
      <c r="A3241" t="s">
        <v>1203</v>
      </c>
      <c r="B3241" t="s">
        <v>3391</v>
      </c>
      <c r="C3241" t="s">
        <v>862</v>
      </c>
      <c r="D3241" t="s">
        <v>4116</v>
      </c>
      <c r="E3241" t="s">
        <v>1</v>
      </c>
    </row>
    <row r="3242" spans="1:5" x14ac:dyDescent="0.3">
      <c r="A3242" t="s">
        <v>1647</v>
      </c>
      <c r="B3242" t="s">
        <v>5152</v>
      </c>
      <c r="C3242" t="s">
        <v>461</v>
      </c>
      <c r="D3242" t="s">
        <v>8362</v>
      </c>
      <c r="E3242" t="s">
        <v>75</v>
      </c>
    </row>
    <row r="3243" spans="1:5" x14ac:dyDescent="0.3">
      <c r="A3243" t="s">
        <v>1393</v>
      </c>
      <c r="B3243" t="s">
        <v>5244</v>
      </c>
      <c r="C3243" t="s">
        <v>8364</v>
      </c>
      <c r="D3243" t="s">
        <v>8363</v>
      </c>
      <c r="E3243" t="s">
        <v>2175</v>
      </c>
    </row>
    <row r="3244" spans="1:5" x14ac:dyDescent="0.3">
      <c r="A3244" t="s">
        <v>271</v>
      </c>
      <c r="B3244" t="s">
        <v>793</v>
      </c>
      <c r="C3244" t="s">
        <v>467</v>
      </c>
      <c r="D3244" t="s">
        <v>8365</v>
      </c>
      <c r="E3244" t="s">
        <v>75</v>
      </c>
    </row>
    <row r="3245" spans="1:5" x14ac:dyDescent="0.3">
      <c r="A3245" t="s">
        <v>2057</v>
      </c>
      <c r="B3245" t="s">
        <v>1441</v>
      </c>
      <c r="C3245" t="s">
        <v>455</v>
      </c>
      <c r="D3245" t="s">
        <v>8366</v>
      </c>
      <c r="E3245" t="s">
        <v>75</v>
      </c>
    </row>
    <row r="3246" spans="1:5" x14ac:dyDescent="0.3">
      <c r="A3246" t="s">
        <v>41</v>
      </c>
      <c r="B3246" t="s">
        <v>1263</v>
      </c>
      <c r="C3246" t="s">
        <v>467</v>
      </c>
      <c r="D3246" t="s">
        <v>8367</v>
      </c>
      <c r="E3246" t="s">
        <v>75</v>
      </c>
    </row>
    <row r="3247" spans="1:5" x14ac:dyDescent="0.3">
      <c r="A3247" t="s">
        <v>111</v>
      </c>
      <c r="B3247" t="s">
        <v>8369</v>
      </c>
      <c r="C3247" t="s">
        <v>467</v>
      </c>
      <c r="D3247" t="s">
        <v>8368</v>
      </c>
      <c r="E3247" t="s">
        <v>75</v>
      </c>
    </row>
    <row r="3248" spans="1:5" x14ac:dyDescent="0.3">
      <c r="A3248" t="s">
        <v>262</v>
      </c>
      <c r="B3248" t="s">
        <v>313</v>
      </c>
      <c r="C3248" t="s">
        <v>467</v>
      </c>
      <c r="D3248" t="s">
        <v>8370</v>
      </c>
      <c r="E3248" t="s">
        <v>75</v>
      </c>
    </row>
    <row r="3249" spans="1:5" x14ac:dyDescent="0.3">
      <c r="A3249" t="s">
        <v>106</v>
      </c>
      <c r="B3249" t="s">
        <v>8372</v>
      </c>
      <c r="C3249" t="s">
        <v>467</v>
      </c>
      <c r="D3249" t="s">
        <v>8371</v>
      </c>
      <c r="E3249" t="s">
        <v>75</v>
      </c>
    </row>
    <row r="3250" spans="1:5" x14ac:dyDescent="0.3">
      <c r="A3250" t="s">
        <v>3828</v>
      </c>
      <c r="B3250" t="s">
        <v>8373</v>
      </c>
      <c r="C3250" t="s">
        <v>5610</v>
      </c>
      <c r="D3250" t="s">
        <v>8371</v>
      </c>
      <c r="E3250" t="s">
        <v>75</v>
      </c>
    </row>
    <row r="3251" spans="1:5" x14ac:dyDescent="0.3">
      <c r="A3251" t="s">
        <v>153</v>
      </c>
      <c r="B3251" t="s">
        <v>8375</v>
      </c>
      <c r="C3251" t="s">
        <v>467</v>
      </c>
      <c r="D3251" t="s">
        <v>4127</v>
      </c>
      <c r="E3251" t="s">
        <v>75</v>
      </c>
    </row>
    <row r="3252" spans="1:5" x14ac:dyDescent="0.3">
      <c r="A3252" t="s">
        <v>1578</v>
      </c>
      <c r="B3252" t="s">
        <v>4500</v>
      </c>
      <c r="C3252" t="s">
        <v>8377</v>
      </c>
      <c r="D3252" t="s">
        <v>8376</v>
      </c>
      <c r="E3252" t="s">
        <v>75</v>
      </c>
    </row>
    <row r="3253" spans="1:5" x14ac:dyDescent="0.3">
      <c r="A3253" t="s">
        <v>264</v>
      </c>
      <c r="B3253" t="s">
        <v>6086</v>
      </c>
      <c r="C3253" t="s">
        <v>461</v>
      </c>
      <c r="D3253" t="s">
        <v>8378</v>
      </c>
      <c r="E3253" t="s">
        <v>75</v>
      </c>
    </row>
    <row r="3254" spans="1:5" x14ac:dyDescent="0.3">
      <c r="A3254" t="s">
        <v>60</v>
      </c>
      <c r="B3254" t="s">
        <v>61</v>
      </c>
      <c r="C3254" t="s">
        <v>62</v>
      </c>
      <c r="D3254" t="s">
        <v>8380</v>
      </c>
      <c r="E3254" t="s">
        <v>75</v>
      </c>
    </row>
    <row r="3255" spans="1:5" x14ac:dyDescent="0.3">
      <c r="A3255" t="s">
        <v>1140</v>
      </c>
      <c r="B3255" t="s">
        <v>1674</v>
      </c>
      <c r="C3255" t="s">
        <v>460</v>
      </c>
      <c r="D3255" t="s">
        <v>8381</v>
      </c>
      <c r="E3255" t="s">
        <v>75</v>
      </c>
    </row>
    <row r="3256" spans="1:5" x14ac:dyDescent="0.3">
      <c r="A3256" t="s">
        <v>41</v>
      </c>
      <c r="B3256" t="s">
        <v>1184</v>
      </c>
      <c r="C3256" t="s">
        <v>698</v>
      </c>
      <c r="D3256" t="s">
        <v>8382</v>
      </c>
      <c r="E3256" t="s">
        <v>75</v>
      </c>
    </row>
    <row r="3257" spans="1:5" x14ac:dyDescent="0.3">
      <c r="A3257" t="s">
        <v>220</v>
      </c>
      <c r="B3257" t="s">
        <v>4575</v>
      </c>
      <c r="C3257" t="s">
        <v>461</v>
      </c>
      <c r="D3257" t="s">
        <v>8383</v>
      </c>
      <c r="E3257" t="s">
        <v>75</v>
      </c>
    </row>
    <row r="3258" spans="1:5" x14ac:dyDescent="0.3">
      <c r="A3258" t="s">
        <v>2432</v>
      </c>
      <c r="B3258" t="s">
        <v>1091</v>
      </c>
      <c r="C3258" t="s">
        <v>467</v>
      </c>
      <c r="D3258" t="s">
        <v>8384</v>
      </c>
      <c r="E3258" t="s">
        <v>75</v>
      </c>
    </row>
    <row r="3259" spans="1:5" x14ac:dyDescent="0.3">
      <c r="A3259" t="s">
        <v>150</v>
      </c>
      <c r="B3259" t="s">
        <v>5058</v>
      </c>
      <c r="C3259" t="s">
        <v>862</v>
      </c>
      <c r="D3259" t="s">
        <v>6033</v>
      </c>
      <c r="E3259" t="s">
        <v>75</v>
      </c>
    </row>
    <row r="3260" spans="1:5" x14ac:dyDescent="0.3">
      <c r="A3260" t="s">
        <v>1492</v>
      </c>
      <c r="B3260" t="s">
        <v>8386</v>
      </c>
      <c r="C3260" t="s">
        <v>862</v>
      </c>
      <c r="D3260" t="s">
        <v>6033</v>
      </c>
      <c r="E3260" t="s">
        <v>75</v>
      </c>
    </row>
    <row r="3261" spans="1:5" x14ac:dyDescent="0.3">
      <c r="A3261" t="s">
        <v>8389</v>
      </c>
      <c r="B3261" t="s">
        <v>8390</v>
      </c>
      <c r="C3261" t="s">
        <v>467</v>
      </c>
      <c r="D3261" t="s">
        <v>8387</v>
      </c>
      <c r="E3261" t="s">
        <v>774</v>
      </c>
    </row>
    <row r="3262" spans="1:5" x14ac:dyDescent="0.3">
      <c r="A3262" t="s">
        <v>1433</v>
      </c>
      <c r="B3262" t="s">
        <v>3686</v>
      </c>
      <c r="C3262" t="s">
        <v>8359</v>
      </c>
      <c r="D3262" t="s">
        <v>747</v>
      </c>
      <c r="E3262" t="s">
        <v>1</v>
      </c>
    </row>
    <row r="3263" spans="1:5" x14ac:dyDescent="0.3">
      <c r="A3263" t="s">
        <v>8391</v>
      </c>
      <c r="B3263" t="s">
        <v>1120</v>
      </c>
      <c r="C3263" t="s">
        <v>2571</v>
      </c>
      <c r="D3263" t="s">
        <v>747</v>
      </c>
      <c r="E3263" t="s">
        <v>1</v>
      </c>
    </row>
    <row r="3264" spans="1:5" x14ac:dyDescent="0.3">
      <c r="A3264" t="s">
        <v>282</v>
      </c>
      <c r="B3264" t="s">
        <v>5412</v>
      </c>
      <c r="C3264" t="s">
        <v>8393</v>
      </c>
      <c r="D3264" t="s">
        <v>6221</v>
      </c>
      <c r="E3264" t="s">
        <v>75</v>
      </c>
    </row>
    <row r="3265" spans="1:5" x14ac:dyDescent="0.3">
      <c r="A3265" t="s">
        <v>1578</v>
      </c>
      <c r="B3265" t="s">
        <v>8395</v>
      </c>
      <c r="C3265" t="s">
        <v>3109</v>
      </c>
      <c r="D3265" t="s">
        <v>6221</v>
      </c>
      <c r="E3265" t="s">
        <v>75</v>
      </c>
    </row>
    <row r="3266" spans="1:5" x14ac:dyDescent="0.3">
      <c r="A3266" t="s">
        <v>399</v>
      </c>
      <c r="B3266" t="s">
        <v>2603</v>
      </c>
      <c r="C3266" t="s">
        <v>8397</v>
      </c>
      <c r="D3266" t="s">
        <v>8396</v>
      </c>
      <c r="E3266" t="s">
        <v>75</v>
      </c>
    </row>
    <row r="3267" spans="1:5" x14ac:dyDescent="0.3">
      <c r="A3267" t="s">
        <v>8399</v>
      </c>
      <c r="B3267" t="s">
        <v>8400</v>
      </c>
      <c r="C3267" t="s">
        <v>461</v>
      </c>
      <c r="D3267" t="s">
        <v>8398</v>
      </c>
      <c r="E3267" t="s">
        <v>75</v>
      </c>
    </row>
    <row r="3268" spans="1:5" x14ac:dyDescent="0.3">
      <c r="A3268" t="s">
        <v>3069</v>
      </c>
      <c r="B3268" t="s">
        <v>8403</v>
      </c>
      <c r="C3268" t="s">
        <v>8402</v>
      </c>
      <c r="D3268" t="s">
        <v>8401</v>
      </c>
      <c r="E3268" t="s">
        <v>75</v>
      </c>
    </row>
    <row r="3269" spans="1:5" x14ac:dyDescent="0.3">
      <c r="A3269" t="s">
        <v>3208</v>
      </c>
      <c r="B3269" t="s">
        <v>8406</v>
      </c>
      <c r="C3269" t="s">
        <v>467</v>
      </c>
      <c r="D3269" t="s">
        <v>8405</v>
      </c>
      <c r="E3269" t="s">
        <v>75</v>
      </c>
    </row>
    <row r="3270" spans="1:5" x14ac:dyDescent="0.3">
      <c r="A3270" t="s">
        <v>2794</v>
      </c>
      <c r="B3270" t="s">
        <v>8408</v>
      </c>
      <c r="C3270" t="s">
        <v>467</v>
      </c>
      <c r="D3270" t="s">
        <v>8407</v>
      </c>
      <c r="E3270" t="s">
        <v>75</v>
      </c>
    </row>
    <row r="3271" spans="1:5" x14ac:dyDescent="0.3">
      <c r="A3271" t="s">
        <v>772</v>
      </c>
      <c r="B3271" t="s">
        <v>8217</v>
      </c>
      <c r="C3271" t="s">
        <v>459</v>
      </c>
      <c r="D3271" t="s">
        <v>8409</v>
      </c>
      <c r="E3271" t="s">
        <v>75</v>
      </c>
    </row>
    <row r="3272" spans="1:5" x14ac:dyDescent="0.3">
      <c r="A3272" t="s">
        <v>132</v>
      </c>
      <c r="B3272" t="s">
        <v>5429</v>
      </c>
      <c r="C3272" t="s">
        <v>467</v>
      </c>
      <c r="D3272" t="s">
        <v>8410</v>
      </c>
      <c r="E3272" t="s">
        <v>75</v>
      </c>
    </row>
    <row r="3273" spans="1:5" x14ac:dyDescent="0.3">
      <c r="A3273" t="s">
        <v>41</v>
      </c>
      <c r="B3273" t="s">
        <v>4188</v>
      </c>
      <c r="C3273" t="s">
        <v>461</v>
      </c>
      <c r="D3273" t="s">
        <v>8412</v>
      </c>
      <c r="E3273" t="s">
        <v>75</v>
      </c>
    </row>
    <row r="3274" spans="1:5" x14ac:dyDescent="0.3">
      <c r="A3274" t="s">
        <v>342</v>
      </c>
      <c r="B3274" t="s">
        <v>8413</v>
      </c>
      <c r="C3274" t="s">
        <v>518</v>
      </c>
      <c r="D3274" t="s">
        <v>8412</v>
      </c>
      <c r="E3274" t="s">
        <v>75</v>
      </c>
    </row>
    <row r="3275" spans="1:5" x14ac:dyDescent="0.3">
      <c r="A3275" t="s">
        <v>65</v>
      </c>
      <c r="B3275" t="s">
        <v>1118</v>
      </c>
      <c r="C3275" t="s">
        <v>467</v>
      </c>
      <c r="D3275" t="s">
        <v>8414</v>
      </c>
      <c r="E3275" t="s">
        <v>75</v>
      </c>
    </row>
    <row r="3276" spans="1:5" x14ac:dyDescent="0.3">
      <c r="A3276" t="s">
        <v>8416</v>
      </c>
      <c r="B3276" t="s">
        <v>2801</v>
      </c>
      <c r="C3276" t="s">
        <v>459</v>
      </c>
      <c r="D3276" t="s">
        <v>8415</v>
      </c>
      <c r="E3276" t="s">
        <v>75</v>
      </c>
    </row>
    <row r="3277" spans="1:5" x14ac:dyDescent="0.3">
      <c r="A3277" t="s">
        <v>112</v>
      </c>
      <c r="B3277" t="s">
        <v>950</v>
      </c>
      <c r="C3277" t="s">
        <v>8418</v>
      </c>
      <c r="D3277" t="s">
        <v>8417</v>
      </c>
      <c r="E3277" t="s">
        <v>75</v>
      </c>
    </row>
    <row r="3278" spans="1:5" x14ac:dyDescent="0.3">
      <c r="A3278" t="s">
        <v>111</v>
      </c>
      <c r="B3278" t="s">
        <v>8419</v>
      </c>
      <c r="C3278" t="s">
        <v>456</v>
      </c>
      <c r="D3278" t="s">
        <v>8417</v>
      </c>
      <c r="E3278" t="s">
        <v>75</v>
      </c>
    </row>
    <row r="3279" spans="1:5" x14ac:dyDescent="0.3">
      <c r="A3279" t="s">
        <v>4099</v>
      </c>
      <c r="B3279" t="s">
        <v>8421</v>
      </c>
      <c r="C3279" t="s">
        <v>461</v>
      </c>
      <c r="D3279" t="s">
        <v>8420</v>
      </c>
      <c r="E3279" t="s">
        <v>75</v>
      </c>
    </row>
    <row r="3280" spans="1:5" x14ac:dyDescent="0.3">
      <c r="A3280" t="s">
        <v>20</v>
      </c>
      <c r="B3280" t="s">
        <v>8423</v>
      </c>
      <c r="C3280" t="s">
        <v>460</v>
      </c>
      <c r="D3280" t="s">
        <v>8422</v>
      </c>
      <c r="E3280" t="s">
        <v>75</v>
      </c>
    </row>
    <row r="3281" spans="1:5" x14ac:dyDescent="0.3">
      <c r="A3281" t="s">
        <v>8426</v>
      </c>
      <c r="B3281" t="s">
        <v>8427</v>
      </c>
      <c r="C3281" t="s">
        <v>467</v>
      </c>
      <c r="D3281" t="s">
        <v>8425</v>
      </c>
      <c r="E3281" t="s">
        <v>75</v>
      </c>
    </row>
    <row r="3282" spans="1:5" x14ac:dyDescent="0.3">
      <c r="A3282" t="s">
        <v>35</v>
      </c>
      <c r="B3282" t="s">
        <v>3482</v>
      </c>
      <c r="C3282" t="s">
        <v>862</v>
      </c>
      <c r="D3282" t="s">
        <v>8425</v>
      </c>
      <c r="E3282" t="s">
        <v>75</v>
      </c>
    </row>
    <row r="3283" spans="1:5" x14ac:dyDescent="0.3">
      <c r="A3283" t="s">
        <v>4264</v>
      </c>
      <c r="B3283" t="s">
        <v>4265</v>
      </c>
      <c r="C3283" t="s">
        <v>459</v>
      </c>
      <c r="D3283" t="s">
        <v>8428</v>
      </c>
      <c r="E3283" t="s">
        <v>75</v>
      </c>
    </row>
    <row r="3284" spans="1:5" x14ac:dyDescent="0.3">
      <c r="A3284" t="s">
        <v>8431</v>
      </c>
      <c r="B3284" t="s">
        <v>8432</v>
      </c>
      <c r="C3284" t="s">
        <v>451</v>
      </c>
      <c r="D3284" t="s">
        <v>8429</v>
      </c>
      <c r="E3284" t="s">
        <v>75</v>
      </c>
    </row>
    <row r="3285" spans="1:5" x14ac:dyDescent="0.3">
      <c r="A3285" t="s">
        <v>4951</v>
      </c>
      <c r="B3285" t="s">
        <v>6133</v>
      </c>
      <c r="C3285" t="s">
        <v>8435</v>
      </c>
      <c r="D3285" t="s">
        <v>8434</v>
      </c>
      <c r="E3285" t="s">
        <v>75</v>
      </c>
    </row>
    <row r="3286" spans="1:5" x14ac:dyDescent="0.3">
      <c r="A3286" t="s">
        <v>220</v>
      </c>
      <c r="B3286" t="s">
        <v>2992</v>
      </c>
      <c r="C3286" t="s">
        <v>461</v>
      </c>
      <c r="D3286" t="s">
        <v>8436</v>
      </c>
      <c r="E3286" t="s">
        <v>75</v>
      </c>
    </row>
    <row r="3287" spans="1:5" x14ac:dyDescent="0.3">
      <c r="A3287" t="s">
        <v>3602</v>
      </c>
      <c r="B3287" t="s">
        <v>1978</v>
      </c>
      <c r="C3287" t="s">
        <v>467</v>
      </c>
      <c r="D3287" t="s">
        <v>8436</v>
      </c>
      <c r="E3287" t="s">
        <v>75</v>
      </c>
    </row>
    <row r="3288" spans="1:5" x14ac:dyDescent="0.3">
      <c r="A3288" t="s">
        <v>82</v>
      </c>
      <c r="B3288" t="s">
        <v>8438</v>
      </c>
      <c r="C3288" t="s">
        <v>467</v>
      </c>
      <c r="D3288" t="s">
        <v>8437</v>
      </c>
      <c r="E3288" t="s">
        <v>75</v>
      </c>
    </row>
    <row r="3289" spans="1:5" x14ac:dyDescent="0.3">
      <c r="A3289" t="s">
        <v>224</v>
      </c>
      <c r="B3289" t="s">
        <v>3014</v>
      </c>
      <c r="C3289" t="s">
        <v>12852</v>
      </c>
      <c r="D3289" t="s">
        <v>771</v>
      </c>
      <c r="E3289" t="s">
        <v>743</v>
      </c>
    </row>
    <row r="3290" spans="1:5" x14ac:dyDescent="0.3">
      <c r="A3290" t="s">
        <v>131</v>
      </c>
      <c r="B3290" t="s">
        <v>956</v>
      </c>
      <c r="C3290" t="s">
        <v>461</v>
      </c>
      <c r="D3290" t="s">
        <v>8439</v>
      </c>
      <c r="E3290" t="s">
        <v>75</v>
      </c>
    </row>
    <row r="3291" spans="1:5" x14ac:dyDescent="0.3">
      <c r="A3291" t="s">
        <v>844</v>
      </c>
      <c r="B3291" t="s">
        <v>364</v>
      </c>
      <c r="C3291" t="s">
        <v>461</v>
      </c>
      <c r="D3291" t="s">
        <v>8440</v>
      </c>
      <c r="E3291" t="s">
        <v>75</v>
      </c>
    </row>
    <row r="3292" spans="1:5" x14ac:dyDescent="0.3">
      <c r="A3292" t="s">
        <v>8443</v>
      </c>
      <c r="B3292" t="s">
        <v>8444</v>
      </c>
      <c r="C3292" t="s">
        <v>467</v>
      </c>
      <c r="D3292" t="s">
        <v>168</v>
      </c>
      <c r="E3292" t="s">
        <v>75</v>
      </c>
    </row>
    <row r="3293" spans="1:5" x14ac:dyDescent="0.3">
      <c r="A3293" t="s">
        <v>8446</v>
      </c>
      <c r="B3293" t="s">
        <v>8447</v>
      </c>
      <c r="C3293" t="s">
        <v>457</v>
      </c>
      <c r="D3293" t="s">
        <v>8445</v>
      </c>
      <c r="E3293" t="s">
        <v>75</v>
      </c>
    </row>
    <row r="3294" spans="1:5" x14ac:dyDescent="0.3">
      <c r="A3294" t="s">
        <v>6748</v>
      </c>
      <c r="B3294" t="s">
        <v>8449</v>
      </c>
      <c r="C3294" t="s">
        <v>461</v>
      </c>
      <c r="D3294" t="s">
        <v>8448</v>
      </c>
      <c r="E3294" t="s">
        <v>75</v>
      </c>
    </row>
    <row r="3295" spans="1:5" x14ac:dyDescent="0.3">
      <c r="A3295" t="s">
        <v>1152</v>
      </c>
      <c r="B3295" t="s">
        <v>433</v>
      </c>
      <c r="C3295" t="s">
        <v>862</v>
      </c>
      <c r="D3295" t="s">
        <v>8450</v>
      </c>
      <c r="E3295" t="s">
        <v>75</v>
      </c>
    </row>
    <row r="3296" spans="1:5" x14ac:dyDescent="0.3">
      <c r="A3296" t="s">
        <v>826</v>
      </c>
      <c r="B3296" t="s">
        <v>8452</v>
      </c>
      <c r="C3296" t="s">
        <v>467</v>
      </c>
      <c r="D3296" t="s">
        <v>8451</v>
      </c>
      <c r="E3296" t="s">
        <v>75</v>
      </c>
    </row>
    <row r="3297" spans="1:5" x14ac:dyDescent="0.3">
      <c r="A3297" t="s">
        <v>3329</v>
      </c>
      <c r="B3297" t="s">
        <v>2401</v>
      </c>
      <c r="C3297" t="s">
        <v>467</v>
      </c>
      <c r="D3297" t="s">
        <v>8453</v>
      </c>
      <c r="E3297" t="s">
        <v>75</v>
      </c>
    </row>
    <row r="3298" spans="1:5" x14ac:dyDescent="0.3">
      <c r="A3298" t="s">
        <v>224</v>
      </c>
      <c r="B3298" t="s">
        <v>8455</v>
      </c>
      <c r="C3298" t="s">
        <v>5366</v>
      </c>
      <c r="D3298" t="s">
        <v>8454</v>
      </c>
      <c r="E3298" t="s">
        <v>75</v>
      </c>
    </row>
    <row r="3299" spans="1:5" x14ac:dyDescent="0.3">
      <c r="A3299" t="s">
        <v>1606</v>
      </c>
      <c r="B3299" t="s">
        <v>8457</v>
      </c>
      <c r="C3299" t="s">
        <v>7871</v>
      </c>
      <c r="D3299" t="s">
        <v>8456</v>
      </c>
      <c r="E3299" t="s">
        <v>75</v>
      </c>
    </row>
    <row r="3300" spans="1:5" x14ac:dyDescent="0.3">
      <c r="A3300" t="s">
        <v>146</v>
      </c>
      <c r="B3300" t="s">
        <v>142</v>
      </c>
      <c r="C3300" t="s">
        <v>467</v>
      </c>
      <c r="D3300" t="s">
        <v>8458</v>
      </c>
      <c r="E3300" t="s">
        <v>75</v>
      </c>
    </row>
    <row r="3301" spans="1:5" x14ac:dyDescent="0.3">
      <c r="A3301" t="s">
        <v>131</v>
      </c>
      <c r="B3301" t="s">
        <v>8460</v>
      </c>
      <c r="C3301" t="s">
        <v>451</v>
      </c>
      <c r="D3301" t="s">
        <v>8459</v>
      </c>
      <c r="E3301" t="s">
        <v>75</v>
      </c>
    </row>
    <row r="3302" spans="1:5" x14ac:dyDescent="0.3">
      <c r="A3302" t="s">
        <v>305</v>
      </c>
      <c r="B3302" t="s">
        <v>8462</v>
      </c>
      <c r="C3302" t="s">
        <v>467</v>
      </c>
      <c r="D3302" t="s">
        <v>8461</v>
      </c>
      <c r="E3302" t="s">
        <v>75</v>
      </c>
    </row>
    <row r="3303" spans="1:5" x14ac:dyDescent="0.3">
      <c r="A3303" t="s">
        <v>8463</v>
      </c>
      <c r="B3303" t="s">
        <v>834</v>
      </c>
      <c r="C3303" t="s">
        <v>8464</v>
      </c>
      <c r="D3303" t="s">
        <v>8281</v>
      </c>
      <c r="E3303" t="s">
        <v>75</v>
      </c>
    </row>
    <row r="3304" spans="1:5" x14ac:dyDescent="0.3">
      <c r="A3304" t="s">
        <v>1404</v>
      </c>
      <c r="B3304" t="s">
        <v>1110</v>
      </c>
      <c r="C3304" t="s">
        <v>461</v>
      </c>
      <c r="D3304" t="s">
        <v>8465</v>
      </c>
      <c r="E3304" t="s">
        <v>75</v>
      </c>
    </row>
    <row r="3305" spans="1:5" x14ac:dyDescent="0.3">
      <c r="A3305" t="s">
        <v>3982</v>
      </c>
      <c r="B3305" t="s">
        <v>5644</v>
      </c>
      <c r="C3305" t="s">
        <v>862</v>
      </c>
      <c r="D3305" t="s">
        <v>8466</v>
      </c>
      <c r="E3305" t="s">
        <v>75</v>
      </c>
    </row>
    <row r="3306" spans="1:5" x14ac:dyDescent="0.3">
      <c r="A3306" t="s">
        <v>338</v>
      </c>
      <c r="B3306" t="s">
        <v>8467</v>
      </c>
      <c r="C3306" t="s">
        <v>862</v>
      </c>
      <c r="D3306" t="s">
        <v>8466</v>
      </c>
      <c r="E3306" t="s">
        <v>75</v>
      </c>
    </row>
    <row r="3307" spans="1:5" x14ac:dyDescent="0.3">
      <c r="A3307" t="s">
        <v>894</v>
      </c>
      <c r="B3307" t="s">
        <v>8469</v>
      </c>
      <c r="C3307" t="s">
        <v>460</v>
      </c>
      <c r="D3307" t="s">
        <v>8468</v>
      </c>
      <c r="E3307" t="s">
        <v>75</v>
      </c>
    </row>
    <row r="3308" spans="1:5" x14ac:dyDescent="0.3">
      <c r="A3308" t="s">
        <v>66</v>
      </c>
      <c r="B3308" t="s">
        <v>5618</v>
      </c>
      <c r="C3308" t="s">
        <v>457</v>
      </c>
      <c r="D3308" t="s">
        <v>8468</v>
      </c>
      <c r="E3308" t="s">
        <v>75</v>
      </c>
    </row>
    <row r="3309" spans="1:5" x14ac:dyDescent="0.3">
      <c r="A3309" t="s">
        <v>150</v>
      </c>
      <c r="B3309" t="s">
        <v>3546</v>
      </c>
      <c r="C3309" t="s">
        <v>467</v>
      </c>
      <c r="D3309" t="s">
        <v>8470</v>
      </c>
      <c r="E3309" t="s">
        <v>75</v>
      </c>
    </row>
    <row r="3310" spans="1:5" x14ac:dyDescent="0.3">
      <c r="A3310" t="s">
        <v>50</v>
      </c>
      <c r="B3310" t="s">
        <v>5854</v>
      </c>
      <c r="C3310" t="s">
        <v>467</v>
      </c>
      <c r="D3310" t="s">
        <v>8471</v>
      </c>
      <c r="E3310" t="s">
        <v>75</v>
      </c>
    </row>
    <row r="3311" spans="1:5" x14ac:dyDescent="0.3">
      <c r="A3311" t="s">
        <v>190</v>
      </c>
      <c r="B3311" t="s">
        <v>3321</v>
      </c>
      <c r="C3311" t="s">
        <v>459</v>
      </c>
      <c r="D3311" t="s">
        <v>8472</v>
      </c>
      <c r="E3311" t="s">
        <v>75</v>
      </c>
    </row>
    <row r="3312" spans="1:5" x14ac:dyDescent="0.3">
      <c r="A3312" t="s">
        <v>864</v>
      </c>
      <c r="B3312" t="s">
        <v>8473</v>
      </c>
      <c r="C3312" t="s">
        <v>461</v>
      </c>
      <c r="D3312" t="s">
        <v>8472</v>
      </c>
      <c r="E3312" t="s">
        <v>75</v>
      </c>
    </row>
    <row r="3313" spans="1:5" x14ac:dyDescent="0.3">
      <c r="A3313" t="s">
        <v>150</v>
      </c>
      <c r="B3313" t="s">
        <v>8474</v>
      </c>
      <c r="C3313" t="s">
        <v>467</v>
      </c>
      <c r="D3313" t="s">
        <v>8472</v>
      </c>
      <c r="E3313" t="s">
        <v>75</v>
      </c>
    </row>
    <row r="3314" spans="1:5" x14ac:dyDescent="0.3">
      <c r="A3314" t="s">
        <v>247</v>
      </c>
      <c r="B3314" t="s">
        <v>248</v>
      </c>
      <c r="C3314" t="s">
        <v>249</v>
      </c>
      <c r="D3314" t="s">
        <v>1675</v>
      </c>
      <c r="E3314" t="s">
        <v>75</v>
      </c>
    </row>
    <row r="3315" spans="1:5" x14ac:dyDescent="0.3">
      <c r="A3315" t="s">
        <v>184</v>
      </c>
      <c r="B3315" t="s">
        <v>3128</v>
      </c>
      <c r="C3315" t="s">
        <v>862</v>
      </c>
      <c r="D3315" t="s">
        <v>1675</v>
      </c>
      <c r="E3315" t="s">
        <v>75</v>
      </c>
    </row>
    <row r="3316" spans="1:5" x14ac:dyDescent="0.3">
      <c r="A3316" t="s">
        <v>2187</v>
      </c>
      <c r="B3316" t="s">
        <v>4817</v>
      </c>
      <c r="C3316" t="s">
        <v>862</v>
      </c>
      <c r="D3316" t="s">
        <v>1675</v>
      </c>
      <c r="E3316" t="s">
        <v>75</v>
      </c>
    </row>
    <row r="3317" spans="1:5" x14ac:dyDescent="0.3">
      <c r="A3317" t="s">
        <v>220</v>
      </c>
      <c r="B3317" t="s">
        <v>2695</v>
      </c>
      <c r="C3317" t="s">
        <v>862</v>
      </c>
      <c r="D3317" t="s">
        <v>1675</v>
      </c>
      <c r="E3317" t="s">
        <v>75</v>
      </c>
    </row>
    <row r="3318" spans="1:5" x14ac:dyDescent="0.3">
      <c r="A3318" t="s">
        <v>71</v>
      </c>
      <c r="B3318" t="s">
        <v>72</v>
      </c>
      <c r="C3318" t="s">
        <v>73</v>
      </c>
      <c r="D3318" t="s">
        <v>2313</v>
      </c>
      <c r="E3318" t="s">
        <v>741</v>
      </c>
    </row>
    <row r="3319" spans="1:5" x14ac:dyDescent="0.3">
      <c r="A3319" t="s">
        <v>3687</v>
      </c>
      <c r="B3319" t="s">
        <v>8477</v>
      </c>
      <c r="C3319" t="s">
        <v>862</v>
      </c>
      <c r="D3319" t="s">
        <v>8476</v>
      </c>
      <c r="E3319" t="s">
        <v>75</v>
      </c>
    </row>
    <row r="3320" spans="1:5" x14ac:dyDescent="0.3">
      <c r="A3320" t="s">
        <v>5461</v>
      </c>
      <c r="B3320" t="s">
        <v>8478</v>
      </c>
      <c r="C3320" t="s">
        <v>461</v>
      </c>
      <c r="D3320" t="s">
        <v>8476</v>
      </c>
      <c r="E3320" t="s">
        <v>75</v>
      </c>
    </row>
    <row r="3321" spans="1:5" x14ac:dyDescent="0.3">
      <c r="A3321" t="s">
        <v>44</v>
      </c>
      <c r="B3321" t="s">
        <v>8479</v>
      </c>
      <c r="C3321" t="s">
        <v>467</v>
      </c>
      <c r="D3321" t="s">
        <v>8476</v>
      </c>
      <c r="E3321" t="s">
        <v>75</v>
      </c>
    </row>
    <row r="3322" spans="1:5" x14ac:dyDescent="0.3">
      <c r="A3322" t="s">
        <v>195</v>
      </c>
      <c r="B3322" t="s">
        <v>8480</v>
      </c>
      <c r="C3322" t="s">
        <v>2571</v>
      </c>
      <c r="D3322" t="s">
        <v>8476</v>
      </c>
      <c r="E3322" t="s">
        <v>75</v>
      </c>
    </row>
    <row r="3323" spans="1:5" x14ac:dyDescent="0.3">
      <c r="A3323" t="s">
        <v>50</v>
      </c>
      <c r="B3323" t="s">
        <v>8481</v>
      </c>
      <c r="C3323" t="s">
        <v>461</v>
      </c>
      <c r="D3323" t="s">
        <v>8476</v>
      </c>
      <c r="E3323" t="s">
        <v>75</v>
      </c>
    </row>
    <row r="3324" spans="1:5" x14ac:dyDescent="0.3">
      <c r="A3324" t="s">
        <v>347</v>
      </c>
      <c r="B3324" t="s">
        <v>8482</v>
      </c>
      <c r="C3324" t="s">
        <v>457</v>
      </c>
      <c r="D3324" t="s">
        <v>8476</v>
      </c>
      <c r="E3324" t="s">
        <v>75</v>
      </c>
    </row>
    <row r="3325" spans="1:5" x14ac:dyDescent="0.3">
      <c r="A3325" t="s">
        <v>1340</v>
      </c>
      <c r="B3325" t="s">
        <v>8483</v>
      </c>
      <c r="C3325" t="s">
        <v>457</v>
      </c>
      <c r="D3325" t="s">
        <v>8476</v>
      </c>
      <c r="E3325" t="s">
        <v>75</v>
      </c>
    </row>
    <row r="3326" spans="1:5" x14ac:dyDescent="0.3">
      <c r="A3326" t="s">
        <v>820</v>
      </c>
      <c r="B3326" t="s">
        <v>8485</v>
      </c>
      <c r="C3326" t="s">
        <v>8484</v>
      </c>
      <c r="D3326" t="s">
        <v>8476</v>
      </c>
      <c r="E3326" t="s">
        <v>75</v>
      </c>
    </row>
    <row r="3327" spans="1:5" x14ac:dyDescent="0.3">
      <c r="A3327" t="s">
        <v>860</v>
      </c>
      <c r="B3327" t="s">
        <v>1569</v>
      </c>
      <c r="C3327" t="s">
        <v>457</v>
      </c>
      <c r="D3327" t="s">
        <v>8476</v>
      </c>
      <c r="E3327" t="s">
        <v>75</v>
      </c>
    </row>
    <row r="3328" spans="1:5" x14ac:dyDescent="0.3">
      <c r="A3328" t="s">
        <v>1257</v>
      </c>
      <c r="B3328" t="s">
        <v>8488</v>
      </c>
      <c r="C3328" t="s">
        <v>8487</v>
      </c>
      <c r="D3328" t="s">
        <v>8476</v>
      </c>
      <c r="E3328" t="s">
        <v>75</v>
      </c>
    </row>
    <row r="3329" spans="1:5" x14ac:dyDescent="0.3">
      <c r="A3329" t="s">
        <v>68</v>
      </c>
      <c r="B3329" t="s">
        <v>8489</v>
      </c>
      <c r="C3329" t="s">
        <v>862</v>
      </c>
      <c r="D3329" t="s">
        <v>8476</v>
      </c>
      <c r="E3329" t="s">
        <v>75</v>
      </c>
    </row>
    <row r="3330" spans="1:5" x14ac:dyDescent="0.3">
      <c r="A3330" t="s">
        <v>66</v>
      </c>
      <c r="B3330" t="s">
        <v>287</v>
      </c>
      <c r="C3330" t="s">
        <v>8491</v>
      </c>
      <c r="D3330" t="s">
        <v>8476</v>
      </c>
      <c r="E3330" t="s">
        <v>75</v>
      </c>
    </row>
    <row r="3331" spans="1:5" x14ac:dyDescent="0.3">
      <c r="A3331" t="s">
        <v>1169</v>
      </c>
      <c r="B3331" t="s">
        <v>8492</v>
      </c>
      <c r="C3331" t="s">
        <v>457</v>
      </c>
      <c r="D3331" t="s">
        <v>8476</v>
      </c>
      <c r="E3331" t="s">
        <v>75</v>
      </c>
    </row>
    <row r="3332" spans="1:5" x14ac:dyDescent="0.3">
      <c r="A3332" t="s">
        <v>1196</v>
      </c>
      <c r="B3332" t="s">
        <v>8493</v>
      </c>
      <c r="C3332" t="s">
        <v>457</v>
      </c>
      <c r="D3332" t="s">
        <v>8476</v>
      </c>
      <c r="E3332" t="s">
        <v>75</v>
      </c>
    </row>
    <row r="3333" spans="1:5" x14ac:dyDescent="0.3">
      <c r="A3333" t="s">
        <v>5633</v>
      </c>
      <c r="B3333" t="s">
        <v>8494</v>
      </c>
      <c r="C3333" t="s">
        <v>461</v>
      </c>
      <c r="D3333" t="s">
        <v>8476</v>
      </c>
      <c r="E3333" t="s">
        <v>75</v>
      </c>
    </row>
    <row r="3334" spans="1:5" x14ac:dyDescent="0.3">
      <c r="A3334" t="s">
        <v>2727</v>
      </c>
      <c r="B3334" t="s">
        <v>2995</v>
      </c>
      <c r="C3334" t="s">
        <v>862</v>
      </c>
      <c r="D3334" t="s">
        <v>8476</v>
      </c>
      <c r="E3334" t="s">
        <v>75</v>
      </c>
    </row>
    <row r="3335" spans="1:5" x14ac:dyDescent="0.3">
      <c r="A3335" t="s">
        <v>160</v>
      </c>
      <c r="B3335" t="s">
        <v>4208</v>
      </c>
      <c r="C3335" t="s">
        <v>467</v>
      </c>
      <c r="D3335" t="s">
        <v>8476</v>
      </c>
      <c r="E3335" t="s">
        <v>75</v>
      </c>
    </row>
    <row r="3336" spans="1:5" x14ac:dyDescent="0.3">
      <c r="A3336" t="s">
        <v>1203</v>
      </c>
      <c r="B3336" t="s">
        <v>7590</v>
      </c>
      <c r="C3336" t="s">
        <v>460</v>
      </c>
      <c r="D3336" t="s">
        <v>8476</v>
      </c>
      <c r="E3336" t="s">
        <v>75</v>
      </c>
    </row>
    <row r="3337" spans="1:5" x14ac:dyDescent="0.3">
      <c r="A3337" t="s">
        <v>851</v>
      </c>
      <c r="B3337" t="s">
        <v>2922</v>
      </c>
      <c r="C3337" t="s">
        <v>467</v>
      </c>
      <c r="D3337" t="s">
        <v>8476</v>
      </c>
      <c r="E3337" t="s">
        <v>75</v>
      </c>
    </row>
    <row r="3338" spans="1:5" x14ac:dyDescent="0.3">
      <c r="A3338" t="s">
        <v>82</v>
      </c>
      <c r="B3338" t="s">
        <v>8496</v>
      </c>
      <c r="C3338" t="s">
        <v>459</v>
      </c>
      <c r="D3338" t="s">
        <v>8476</v>
      </c>
      <c r="E3338" t="s">
        <v>75</v>
      </c>
    </row>
    <row r="3339" spans="1:5" x14ac:dyDescent="0.3">
      <c r="A3339" t="s">
        <v>298</v>
      </c>
      <c r="B3339" t="s">
        <v>8497</v>
      </c>
      <c r="C3339" t="s">
        <v>457</v>
      </c>
      <c r="D3339" t="s">
        <v>8476</v>
      </c>
      <c r="E3339" t="s">
        <v>75</v>
      </c>
    </row>
    <row r="3340" spans="1:5" x14ac:dyDescent="0.3">
      <c r="A3340" t="s">
        <v>8498</v>
      </c>
      <c r="B3340" t="s">
        <v>1021</v>
      </c>
      <c r="C3340" t="s">
        <v>461</v>
      </c>
      <c r="D3340" t="s">
        <v>8476</v>
      </c>
      <c r="E3340" t="s">
        <v>75</v>
      </c>
    </row>
    <row r="3341" spans="1:5" x14ac:dyDescent="0.3">
      <c r="A3341" t="s">
        <v>298</v>
      </c>
      <c r="B3341" t="s">
        <v>8499</v>
      </c>
      <c r="C3341" t="s">
        <v>457</v>
      </c>
      <c r="D3341" t="s">
        <v>8476</v>
      </c>
      <c r="E3341" t="s">
        <v>75</v>
      </c>
    </row>
    <row r="3342" spans="1:5" x14ac:dyDescent="0.3">
      <c r="A3342" t="s">
        <v>79</v>
      </c>
      <c r="B3342" t="s">
        <v>8500</v>
      </c>
      <c r="C3342" t="s">
        <v>461</v>
      </c>
      <c r="D3342" t="s">
        <v>8476</v>
      </c>
      <c r="E3342" t="s">
        <v>75</v>
      </c>
    </row>
    <row r="3343" spans="1:5" x14ac:dyDescent="0.3">
      <c r="A3343" t="s">
        <v>157</v>
      </c>
      <c r="B3343" t="s">
        <v>8501</v>
      </c>
      <c r="C3343" t="s">
        <v>467</v>
      </c>
      <c r="D3343" t="s">
        <v>8476</v>
      </c>
      <c r="E3343" t="s">
        <v>75</v>
      </c>
    </row>
    <row r="3344" spans="1:5" x14ac:dyDescent="0.3">
      <c r="A3344" t="s">
        <v>331</v>
      </c>
      <c r="B3344" t="s">
        <v>2665</v>
      </c>
      <c r="C3344" t="s">
        <v>461</v>
      </c>
      <c r="D3344" t="s">
        <v>8476</v>
      </c>
      <c r="E3344" t="s">
        <v>75</v>
      </c>
    </row>
    <row r="3345" spans="1:5" x14ac:dyDescent="0.3">
      <c r="A3345" t="s">
        <v>290</v>
      </c>
      <c r="B3345" t="s">
        <v>8503</v>
      </c>
      <c r="C3345" t="s">
        <v>457</v>
      </c>
      <c r="D3345" t="s">
        <v>8476</v>
      </c>
      <c r="E3345" t="s">
        <v>75</v>
      </c>
    </row>
    <row r="3346" spans="1:5" x14ac:dyDescent="0.3">
      <c r="A3346" t="s">
        <v>3044</v>
      </c>
      <c r="B3346" t="s">
        <v>8504</v>
      </c>
      <c r="C3346" t="s">
        <v>457</v>
      </c>
      <c r="D3346" t="s">
        <v>8476</v>
      </c>
      <c r="E3346" t="s">
        <v>75</v>
      </c>
    </row>
    <row r="3347" spans="1:5" x14ac:dyDescent="0.3">
      <c r="A3347" t="s">
        <v>352</v>
      </c>
      <c r="B3347" t="s">
        <v>8505</v>
      </c>
      <c r="C3347" t="s">
        <v>459</v>
      </c>
      <c r="D3347" t="s">
        <v>8476</v>
      </c>
      <c r="E3347" t="s">
        <v>75</v>
      </c>
    </row>
    <row r="3348" spans="1:5" x14ac:dyDescent="0.3">
      <c r="A3348" t="s">
        <v>50</v>
      </c>
      <c r="B3348" t="s">
        <v>8506</v>
      </c>
      <c r="C3348" t="s">
        <v>457</v>
      </c>
      <c r="D3348" t="s">
        <v>8476</v>
      </c>
      <c r="E3348" t="s">
        <v>75</v>
      </c>
    </row>
    <row r="3349" spans="1:5" x14ac:dyDescent="0.3">
      <c r="A3349" t="s">
        <v>1182</v>
      </c>
      <c r="B3349" t="s">
        <v>7487</v>
      </c>
      <c r="C3349" t="s">
        <v>461</v>
      </c>
      <c r="D3349" t="s">
        <v>8476</v>
      </c>
      <c r="E3349" t="s">
        <v>75</v>
      </c>
    </row>
    <row r="3350" spans="1:5" x14ac:dyDescent="0.3">
      <c r="A3350" t="s">
        <v>41</v>
      </c>
      <c r="B3350" t="s">
        <v>1535</v>
      </c>
      <c r="C3350" t="s">
        <v>461</v>
      </c>
      <c r="D3350" t="s">
        <v>8476</v>
      </c>
      <c r="E3350" t="s">
        <v>75</v>
      </c>
    </row>
    <row r="3351" spans="1:5" x14ac:dyDescent="0.3">
      <c r="A3351" t="s">
        <v>2179</v>
      </c>
      <c r="B3351" t="s">
        <v>8508</v>
      </c>
      <c r="C3351" t="s">
        <v>461</v>
      </c>
      <c r="D3351" t="s">
        <v>8476</v>
      </c>
      <c r="E3351" t="s">
        <v>75</v>
      </c>
    </row>
    <row r="3352" spans="1:5" x14ac:dyDescent="0.3">
      <c r="A3352" t="s">
        <v>182</v>
      </c>
      <c r="B3352" t="s">
        <v>3885</v>
      </c>
      <c r="C3352" t="s">
        <v>467</v>
      </c>
      <c r="D3352" t="s">
        <v>8476</v>
      </c>
      <c r="E3352" t="s">
        <v>75</v>
      </c>
    </row>
    <row r="3353" spans="1:5" x14ac:dyDescent="0.3">
      <c r="A3353" t="s">
        <v>313</v>
      </c>
      <c r="B3353" t="s">
        <v>8510</v>
      </c>
      <c r="C3353" t="s">
        <v>8509</v>
      </c>
      <c r="D3353" t="s">
        <v>8476</v>
      </c>
      <c r="E3353" t="s">
        <v>75</v>
      </c>
    </row>
    <row r="3354" spans="1:5" x14ac:dyDescent="0.3">
      <c r="A3354" t="s">
        <v>224</v>
      </c>
      <c r="B3354" t="s">
        <v>755</v>
      </c>
      <c r="C3354" t="s">
        <v>457</v>
      </c>
      <c r="D3354" t="s">
        <v>8476</v>
      </c>
      <c r="E3354" t="s">
        <v>75</v>
      </c>
    </row>
    <row r="3355" spans="1:5" x14ac:dyDescent="0.3">
      <c r="A3355" t="s">
        <v>41</v>
      </c>
      <c r="B3355" t="s">
        <v>8490</v>
      </c>
      <c r="C3355" t="s">
        <v>8511</v>
      </c>
      <c r="D3355" t="s">
        <v>8476</v>
      </c>
      <c r="E3355" t="s">
        <v>75</v>
      </c>
    </row>
    <row r="3356" spans="1:5" x14ac:dyDescent="0.3">
      <c r="A3356" t="s">
        <v>97</v>
      </c>
      <c r="B3356" t="s">
        <v>384</v>
      </c>
      <c r="C3356" t="s">
        <v>467</v>
      </c>
      <c r="D3356" t="s">
        <v>8476</v>
      </c>
      <c r="E3356" t="s">
        <v>75</v>
      </c>
    </row>
    <row r="3357" spans="1:5" x14ac:dyDescent="0.3">
      <c r="A3357" t="s">
        <v>177</v>
      </c>
      <c r="B3357" t="s">
        <v>7775</v>
      </c>
      <c r="C3357" t="s">
        <v>461</v>
      </c>
      <c r="D3357" t="s">
        <v>8476</v>
      </c>
      <c r="E3357" t="s">
        <v>75</v>
      </c>
    </row>
    <row r="3358" spans="1:5" x14ac:dyDescent="0.3">
      <c r="A3358" t="s">
        <v>262</v>
      </c>
      <c r="B3358" t="s">
        <v>8512</v>
      </c>
      <c r="C3358" t="s">
        <v>467</v>
      </c>
      <c r="D3358" t="s">
        <v>8476</v>
      </c>
      <c r="E3358" t="s">
        <v>75</v>
      </c>
    </row>
    <row r="3359" spans="1:5" x14ac:dyDescent="0.3">
      <c r="A3359" t="s">
        <v>843</v>
      </c>
      <c r="B3359" t="s">
        <v>8513</v>
      </c>
      <c r="C3359" t="s">
        <v>461</v>
      </c>
      <c r="D3359" t="s">
        <v>8476</v>
      </c>
      <c r="E3359" t="s">
        <v>75</v>
      </c>
    </row>
    <row r="3360" spans="1:5" x14ac:dyDescent="0.3">
      <c r="A3360" t="s">
        <v>3089</v>
      </c>
      <c r="B3360" t="s">
        <v>8515</v>
      </c>
      <c r="C3360" t="s">
        <v>3555</v>
      </c>
      <c r="D3360" t="s">
        <v>8514</v>
      </c>
      <c r="E3360" t="s">
        <v>75</v>
      </c>
    </row>
    <row r="3361" spans="1:5" x14ac:dyDescent="0.3">
      <c r="A3361" t="s">
        <v>5904</v>
      </c>
      <c r="B3361" t="s">
        <v>8518</v>
      </c>
      <c r="C3361" t="s">
        <v>8517</v>
      </c>
      <c r="D3361" t="s">
        <v>8516</v>
      </c>
      <c r="E3361" t="s">
        <v>75</v>
      </c>
    </row>
    <row r="3362" spans="1:5" x14ac:dyDescent="0.3">
      <c r="A3362" t="s">
        <v>1702</v>
      </c>
      <c r="B3362" t="s">
        <v>8519</v>
      </c>
      <c r="C3362" t="s">
        <v>5906</v>
      </c>
      <c r="D3362" t="s">
        <v>8516</v>
      </c>
      <c r="E3362" t="s">
        <v>75</v>
      </c>
    </row>
    <row r="3363" spans="1:5" x14ac:dyDescent="0.3">
      <c r="A3363" t="s">
        <v>185</v>
      </c>
      <c r="B3363" t="s">
        <v>4957</v>
      </c>
      <c r="C3363" t="s">
        <v>454</v>
      </c>
      <c r="D3363" t="s">
        <v>8516</v>
      </c>
      <c r="E3363" t="s">
        <v>75</v>
      </c>
    </row>
    <row r="3364" spans="1:5" x14ac:dyDescent="0.3">
      <c r="A3364" t="s">
        <v>1013</v>
      </c>
      <c r="B3364" t="s">
        <v>8523</v>
      </c>
      <c r="C3364" t="s">
        <v>457</v>
      </c>
      <c r="D3364" t="s">
        <v>8522</v>
      </c>
      <c r="E3364" t="s">
        <v>75</v>
      </c>
    </row>
    <row r="3365" spans="1:5" x14ac:dyDescent="0.3">
      <c r="A3365" t="s">
        <v>182</v>
      </c>
      <c r="B3365" t="s">
        <v>8526</v>
      </c>
      <c r="C3365" t="s">
        <v>8525</v>
      </c>
      <c r="D3365" t="s">
        <v>8524</v>
      </c>
      <c r="E3365" t="s">
        <v>75</v>
      </c>
    </row>
    <row r="3366" spans="1:5" x14ac:dyDescent="0.3">
      <c r="A3366" t="s">
        <v>339</v>
      </c>
      <c r="B3366" t="s">
        <v>3275</v>
      </c>
      <c r="C3366" t="s">
        <v>8528</v>
      </c>
      <c r="D3366" t="s">
        <v>8527</v>
      </c>
      <c r="E3366" t="s">
        <v>75</v>
      </c>
    </row>
    <row r="3367" spans="1:5" x14ac:dyDescent="0.3">
      <c r="A3367" t="s">
        <v>59</v>
      </c>
      <c r="B3367" t="s">
        <v>2349</v>
      </c>
      <c r="C3367" t="s">
        <v>461</v>
      </c>
      <c r="D3367" t="s">
        <v>8529</v>
      </c>
      <c r="E3367" t="s">
        <v>75</v>
      </c>
    </row>
    <row r="3368" spans="1:5" x14ac:dyDescent="0.3">
      <c r="A3368" t="s">
        <v>184</v>
      </c>
      <c r="B3368" t="s">
        <v>4906</v>
      </c>
      <c r="C3368" t="s">
        <v>455</v>
      </c>
    </row>
    <row r="3369" spans="1:5" x14ac:dyDescent="0.3">
      <c r="A3369" t="s">
        <v>160</v>
      </c>
      <c r="B3369" t="s">
        <v>6072</v>
      </c>
      <c r="C3369" t="s">
        <v>460</v>
      </c>
      <c r="D3369" t="s">
        <v>8530</v>
      </c>
      <c r="E3369" t="s">
        <v>75</v>
      </c>
    </row>
    <row r="3370" spans="1:5" x14ac:dyDescent="0.3">
      <c r="A3370" t="s">
        <v>8531</v>
      </c>
      <c r="B3370" t="s">
        <v>8532</v>
      </c>
      <c r="C3370" t="s">
        <v>459</v>
      </c>
      <c r="D3370" t="s">
        <v>4284</v>
      </c>
      <c r="E3370" t="s">
        <v>18</v>
      </c>
    </row>
    <row r="3371" spans="1:5" x14ac:dyDescent="0.3">
      <c r="A3371" t="s">
        <v>77</v>
      </c>
      <c r="B3371" t="s">
        <v>881</v>
      </c>
      <c r="C3371" t="s">
        <v>8533</v>
      </c>
      <c r="D3371" t="s">
        <v>4284</v>
      </c>
      <c r="E3371" t="s">
        <v>18</v>
      </c>
    </row>
    <row r="3372" spans="1:5" x14ac:dyDescent="0.3">
      <c r="A3372" t="s">
        <v>116</v>
      </c>
      <c r="B3372" t="s">
        <v>3403</v>
      </c>
      <c r="C3372" t="s">
        <v>467</v>
      </c>
      <c r="D3372" t="s">
        <v>8536</v>
      </c>
      <c r="E3372" t="s">
        <v>75</v>
      </c>
    </row>
    <row r="3373" spans="1:5" x14ac:dyDescent="0.3">
      <c r="A3373" t="s">
        <v>1855</v>
      </c>
      <c r="B3373" t="s">
        <v>3459</v>
      </c>
      <c r="C3373" t="s">
        <v>467</v>
      </c>
      <c r="D3373" t="s">
        <v>8536</v>
      </c>
      <c r="E3373" t="s">
        <v>75</v>
      </c>
    </row>
    <row r="3374" spans="1:5" x14ac:dyDescent="0.3">
      <c r="A3374" t="s">
        <v>347</v>
      </c>
      <c r="B3374" t="s">
        <v>3517</v>
      </c>
      <c r="C3374" t="s">
        <v>8538</v>
      </c>
      <c r="D3374" t="s">
        <v>8537</v>
      </c>
      <c r="E3374" t="s">
        <v>75</v>
      </c>
    </row>
    <row r="3375" spans="1:5" x14ac:dyDescent="0.3">
      <c r="A3375" t="s">
        <v>209</v>
      </c>
      <c r="B3375" t="s">
        <v>7843</v>
      </c>
      <c r="C3375" t="s">
        <v>457</v>
      </c>
      <c r="D3375" t="s">
        <v>8539</v>
      </c>
      <c r="E3375" t="s">
        <v>75</v>
      </c>
    </row>
    <row r="3376" spans="1:5" x14ac:dyDescent="0.3">
      <c r="A3376" t="s">
        <v>1920</v>
      </c>
      <c r="B3376" t="s">
        <v>8540</v>
      </c>
      <c r="C3376" t="s">
        <v>718</v>
      </c>
    </row>
    <row r="3377" spans="1:5" x14ac:dyDescent="0.3">
      <c r="A3377" t="s">
        <v>8542</v>
      </c>
      <c r="B3377" t="s">
        <v>8543</v>
      </c>
      <c r="C3377" t="s">
        <v>467</v>
      </c>
      <c r="D3377" t="s">
        <v>8541</v>
      </c>
      <c r="E3377" t="s">
        <v>75</v>
      </c>
    </row>
    <row r="3378" spans="1:5" x14ac:dyDescent="0.3">
      <c r="A3378" t="s">
        <v>1397</v>
      </c>
      <c r="B3378" t="s">
        <v>8545</v>
      </c>
      <c r="C3378" t="s">
        <v>3109</v>
      </c>
      <c r="D3378" t="s">
        <v>8544</v>
      </c>
      <c r="E3378" t="s">
        <v>75</v>
      </c>
    </row>
    <row r="3379" spans="1:5" x14ac:dyDescent="0.3">
      <c r="A3379" t="s">
        <v>4939</v>
      </c>
      <c r="B3379" t="s">
        <v>8547</v>
      </c>
      <c r="C3379" t="s">
        <v>467</v>
      </c>
      <c r="D3379" t="s">
        <v>8546</v>
      </c>
      <c r="E3379" t="s">
        <v>75</v>
      </c>
    </row>
    <row r="3380" spans="1:5" x14ac:dyDescent="0.3">
      <c r="A3380" t="s">
        <v>4834</v>
      </c>
      <c r="B3380" t="s">
        <v>8549</v>
      </c>
      <c r="C3380" t="s">
        <v>459</v>
      </c>
      <c r="D3380" t="s">
        <v>8548</v>
      </c>
      <c r="E3380" t="s">
        <v>75</v>
      </c>
    </row>
    <row r="3381" spans="1:5" x14ac:dyDescent="0.3">
      <c r="A3381" t="s">
        <v>3746</v>
      </c>
      <c r="B3381" t="s">
        <v>6595</v>
      </c>
      <c r="C3381" t="s">
        <v>461</v>
      </c>
      <c r="D3381" t="s">
        <v>8550</v>
      </c>
      <c r="E3381" t="s">
        <v>75</v>
      </c>
    </row>
    <row r="3382" spans="1:5" x14ac:dyDescent="0.3">
      <c r="A3382" t="s">
        <v>1112</v>
      </c>
      <c r="B3382" t="s">
        <v>444</v>
      </c>
      <c r="C3382" t="s">
        <v>467</v>
      </c>
      <c r="D3382" t="s">
        <v>6739</v>
      </c>
      <c r="E3382" t="s">
        <v>897</v>
      </c>
    </row>
    <row r="3383" spans="1:5" x14ac:dyDescent="0.3">
      <c r="A3383" t="s">
        <v>31</v>
      </c>
      <c r="B3383" t="s">
        <v>6485</v>
      </c>
      <c r="C3383" t="s">
        <v>467</v>
      </c>
      <c r="D3383" t="s">
        <v>6739</v>
      </c>
      <c r="E3383" t="s">
        <v>897</v>
      </c>
    </row>
    <row r="3384" spans="1:5" x14ac:dyDescent="0.3">
      <c r="A3384" t="s">
        <v>131</v>
      </c>
      <c r="B3384" t="s">
        <v>3865</v>
      </c>
      <c r="C3384" t="s">
        <v>461</v>
      </c>
      <c r="D3384" t="s">
        <v>8551</v>
      </c>
      <c r="E3384" t="s">
        <v>75</v>
      </c>
    </row>
    <row r="3385" spans="1:5" x14ac:dyDescent="0.3">
      <c r="A3385" t="s">
        <v>251</v>
      </c>
      <c r="B3385" t="s">
        <v>8552</v>
      </c>
      <c r="C3385" t="s">
        <v>467</v>
      </c>
      <c r="D3385" t="s">
        <v>8551</v>
      </c>
      <c r="E3385" t="s">
        <v>75</v>
      </c>
    </row>
    <row r="3386" spans="1:5" x14ac:dyDescent="0.3">
      <c r="A3386" t="s">
        <v>224</v>
      </c>
      <c r="B3386" t="s">
        <v>3401</v>
      </c>
      <c r="C3386" t="s">
        <v>461</v>
      </c>
      <c r="D3386" t="s">
        <v>8553</v>
      </c>
      <c r="E3386" t="s">
        <v>75</v>
      </c>
    </row>
    <row r="3387" spans="1:5" x14ac:dyDescent="0.3">
      <c r="A3387" t="s">
        <v>411</v>
      </c>
      <c r="B3387" t="s">
        <v>1103</v>
      </c>
      <c r="C3387" t="s">
        <v>461</v>
      </c>
      <c r="D3387" t="s">
        <v>8556</v>
      </c>
      <c r="E3387" t="s">
        <v>75</v>
      </c>
    </row>
    <row r="3388" spans="1:5" x14ac:dyDescent="0.3">
      <c r="A3388" t="s">
        <v>2508</v>
      </c>
      <c r="B3388" t="s">
        <v>3920</v>
      </c>
      <c r="C3388" t="s">
        <v>8558</v>
      </c>
      <c r="D3388" t="s">
        <v>8557</v>
      </c>
      <c r="E3388" t="s">
        <v>75</v>
      </c>
    </row>
    <row r="3389" spans="1:5" x14ac:dyDescent="0.3">
      <c r="A3389" t="s">
        <v>4473</v>
      </c>
      <c r="B3389" t="s">
        <v>8560</v>
      </c>
      <c r="C3389" t="s">
        <v>457</v>
      </c>
      <c r="D3389" t="s">
        <v>8559</v>
      </c>
      <c r="E3389" t="s">
        <v>75</v>
      </c>
    </row>
    <row r="3390" spans="1:5" x14ac:dyDescent="0.3">
      <c r="A3390" t="s">
        <v>160</v>
      </c>
      <c r="B3390" t="s">
        <v>285</v>
      </c>
      <c r="C3390" t="s">
        <v>467</v>
      </c>
      <c r="D3390" t="s">
        <v>8561</v>
      </c>
      <c r="E3390" t="s">
        <v>75</v>
      </c>
    </row>
    <row r="3391" spans="1:5" x14ac:dyDescent="0.3">
      <c r="A3391" t="s">
        <v>41</v>
      </c>
      <c r="B3391" t="s">
        <v>8563</v>
      </c>
      <c r="C3391" t="s">
        <v>8562</v>
      </c>
      <c r="D3391" t="s">
        <v>8561</v>
      </c>
      <c r="E3391" t="s">
        <v>75</v>
      </c>
    </row>
    <row r="3392" spans="1:5" x14ac:dyDescent="0.3">
      <c r="A3392" t="s">
        <v>8565</v>
      </c>
      <c r="B3392" t="s">
        <v>8566</v>
      </c>
      <c r="C3392" t="s">
        <v>459</v>
      </c>
      <c r="D3392" t="s">
        <v>8564</v>
      </c>
      <c r="E3392" t="s">
        <v>75</v>
      </c>
    </row>
    <row r="3393" spans="1:5" x14ac:dyDescent="0.3">
      <c r="A3393" t="s">
        <v>250</v>
      </c>
      <c r="B3393" t="s">
        <v>287</v>
      </c>
      <c r="C3393" t="s">
        <v>467</v>
      </c>
      <c r="D3393" t="s">
        <v>8567</v>
      </c>
      <c r="E3393" t="s">
        <v>75</v>
      </c>
    </row>
    <row r="3394" spans="1:5" x14ac:dyDescent="0.3">
      <c r="A3394" t="s">
        <v>1551</v>
      </c>
      <c r="B3394" t="s">
        <v>196</v>
      </c>
      <c r="C3394" t="s">
        <v>467</v>
      </c>
      <c r="D3394" t="s">
        <v>8568</v>
      </c>
      <c r="E3394" t="s">
        <v>897</v>
      </c>
    </row>
    <row r="3395" spans="1:5" x14ac:dyDescent="0.3">
      <c r="A3395" t="s">
        <v>13058</v>
      </c>
      <c r="B3395" t="s">
        <v>5119</v>
      </c>
      <c r="C3395" t="s">
        <v>467</v>
      </c>
      <c r="D3395" t="s">
        <v>8569</v>
      </c>
      <c r="E3395" t="s">
        <v>75</v>
      </c>
    </row>
    <row r="3396" spans="1:5" x14ac:dyDescent="0.3">
      <c r="A3396" t="s">
        <v>195</v>
      </c>
      <c r="B3396" t="s">
        <v>4172</v>
      </c>
      <c r="C3396" t="s">
        <v>467</v>
      </c>
      <c r="D3396" t="s">
        <v>8570</v>
      </c>
      <c r="E3396" t="s">
        <v>75</v>
      </c>
    </row>
    <row r="3397" spans="1:5" x14ac:dyDescent="0.3">
      <c r="A3397" t="s">
        <v>41</v>
      </c>
      <c r="B3397" t="s">
        <v>8572</v>
      </c>
      <c r="C3397" t="s">
        <v>8571</v>
      </c>
      <c r="D3397" t="s">
        <v>8570</v>
      </c>
      <c r="E3397" t="s">
        <v>75</v>
      </c>
    </row>
    <row r="3398" spans="1:5" x14ac:dyDescent="0.3">
      <c r="A3398" t="s">
        <v>3434</v>
      </c>
      <c r="B3398" t="s">
        <v>8574</v>
      </c>
      <c r="C3398" t="s">
        <v>467</v>
      </c>
      <c r="D3398" t="s">
        <v>8573</v>
      </c>
      <c r="E3398" t="s">
        <v>75</v>
      </c>
    </row>
    <row r="3399" spans="1:5" x14ac:dyDescent="0.3">
      <c r="A3399" t="s">
        <v>1176</v>
      </c>
      <c r="B3399" t="s">
        <v>8576</v>
      </c>
      <c r="C3399" t="s">
        <v>467</v>
      </c>
      <c r="D3399" t="s">
        <v>8575</v>
      </c>
      <c r="E3399" t="s">
        <v>75</v>
      </c>
    </row>
    <row r="3400" spans="1:5" x14ac:dyDescent="0.3">
      <c r="A3400" t="s">
        <v>131</v>
      </c>
      <c r="B3400" t="s">
        <v>13059</v>
      </c>
      <c r="C3400" t="s">
        <v>8578</v>
      </c>
      <c r="D3400" t="s">
        <v>8577</v>
      </c>
      <c r="E3400" t="s">
        <v>75</v>
      </c>
    </row>
    <row r="3401" spans="1:5" x14ac:dyDescent="0.3">
      <c r="A3401" t="s">
        <v>35</v>
      </c>
      <c r="B3401" t="s">
        <v>8581</v>
      </c>
      <c r="C3401" t="s">
        <v>467</v>
      </c>
      <c r="D3401" t="s">
        <v>8579</v>
      </c>
      <c r="E3401" t="s">
        <v>75</v>
      </c>
    </row>
    <row r="3402" spans="1:5" x14ac:dyDescent="0.3">
      <c r="A3402" t="s">
        <v>305</v>
      </c>
      <c r="B3402" t="s">
        <v>4606</v>
      </c>
      <c r="C3402" t="s">
        <v>455</v>
      </c>
      <c r="D3402" t="s">
        <v>8582</v>
      </c>
      <c r="E3402" t="s">
        <v>75</v>
      </c>
    </row>
    <row r="3403" spans="1:5" x14ac:dyDescent="0.3">
      <c r="A3403" t="s">
        <v>404</v>
      </c>
      <c r="B3403" t="s">
        <v>3668</v>
      </c>
      <c r="C3403" t="s">
        <v>5766</v>
      </c>
      <c r="D3403" t="s">
        <v>8584</v>
      </c>
      <c r="E3403" t="s">
        <v>75</v>
      </c>
    </row>
    <row r="3404" spans="1:5" x14ac:dyDescent="0.3">
      <c r="A3404" t="s">
        <v>1606</v>
      </c>
      <c r="B3404" t="s">
        <v>1061</v>
      </c>
      <c r="C3404" t="s">
        <v>460</v>
      </c>
      <c r="D3404" t="s">
        <v>8585</v>
      </c>
      <c r="E3404" t="s">
        <v>75</v>
      </c>
    </row>
    <row r="3405" spans="1:5" x14ac:dyDescent="0.3">
      <c r="A3405" t="s">
        <v>3015</v>
      </c>
      <c r="B3405" t="s">
        <v>8587</v>
      </c>
      <c r="C3405" t="s">
        <v>461</v>
      </c>
      <c r="D3405" t="s">
        <v>8586</v>
      </c>
      <c r="E3405" t="s">
        <v>75</v>
      </c>
    </row>
    <row r="3406" spans="1:5" x14ac:dyDescent="0.3">
      <c r="A3406" t="s">
        <v>8588</v>
      </c>
      <c r="B3406" t="s">
        <v>3948</v>
      </c>
      <c r="C3406" t="s">
        <v>3555</v>
      </c>
      <c r="D3406" t="s">
        <v>8586</v>
      </c>
      <c r="E3406" t="s">
        <v>75</v>
      </c>
    </row>
    <row r="3407" spans="1:5" x14ac:dyDescent="0.3">
      <c r="A3407" t="s">
        <v>8589</v>
      </c>
      <c r="B3407" t="s">
        <v>3011</v>
      </c>
      <c r="C3407" t="s">
        <v>518</v>
      </c>
      <c r="D3407" t="s">
        <v>8586</v>
      </c>
      <c r="E3407" t="s">
        <v>75</v>
      </c>
    </row>
    <row r="3408" spans="1:5" x14ac:dyDescent="0.3">
      <c r="A3408" t="s">
        <v>1433</v>
      </c>
      <c r="B3408" t="s">
        <v>7447</v>
      </c>
      <c r="C3408" t="s">
        <v>7157</v>
      </c>
      <c r="D3408" t="s">
        <v>8590</v>
      </c>
      <c r="E3408" t="s">
        <v>75</v>
      </c>
    </row>
    <row r="3409" spans="1:5" x14ac:dyDescent="0.3">
      <c r="A3409" t="s">
        <v>1410</v>
      </c>
      <c r="B3409" t="s">
        <v>4994</v>
      </c>
      <c r="C3409" t="s">
        <v>467</v>
      </c>
      <c r="D3409" t="s">
        <v>8591</v>
      </c>
      <c r="E3409" t="s">
        <v>75</v>
      </c>
    </row>
    <row r="3410" spans="1:5" x14ac:dyDescent="0.3">
      <c r="A3410" t="s">
        <v>251</v>
      </c>
      <c r="B3410" t="s">
        <v>8593</v>
      </c>
      <c r="C3410" t="s">
        <v>461</v>
      </c>
      <c r="D3410" t="s">
        <v>8592</v>
      </c>
      <c r="E3410" t="s">
        <v>75</v>
      </c>
    </row>
    <row r="3411" spans="1:5" x14ac:dyDescent="0.3">
      <c r="A3411" t="s">
        <v>5053</v>
      </c>
      <c r="B3411" t="s">
        <v>4965</v>
      </c>
      <c r="C3411" t="s">
        <v>467</v>
      </c>
      <c r="D3411" t="s">
        <v>8594</v>
      </c>
      <c r="E3411" t="s">
        <v>75</v>
      </c>
    </row>
    <row r="3412" spans="1:5" x14ac:dyDescent="0.3">
      <c r="A3412" t="s">
        <v>251</v>
      </c>
      <c r="B3412" t="s">
        <v>392</v>
      </c>
      <c r="C3412" t="s">
        <v>8596</v>
      </c>
      <c r="D3412" t="s">
        <v>8595</v>
      </c>
      <c r="E3412" t="s">
        <v>75</v>
      </c>
    </row>
    <row r="3413" spans="1:5" x14ac:dyDescent="0.3">
      <c r="A3413" t="s">
        <v>150</v>
      </c>
      <c r="B3413" t="s">
        <v>8598</v>
      </c>
      <c r="C3413" t="s">
        <v>2937</v>
      </c>
      <c r="D3413" t="s">
        <v>8597</v>
      </c>
      <c r="E3413" t="s">
        <v>75</v>
      </c>
    </row>
    <row r="3414" spans="1:5" x14ac:dyDescent="0.3">
      <c r="A3414" t="s">
        <v>251</v>
      </c>
      <c r="B3414" t="s">
        <v>3681</v>
      </c>
      <c r="C3414" t="s">
        <v>8599</v>
      </c>
      <c r="D3414" t="s">
        <v>8597</v>
      </c>
      <c r="E3414" t="s">
        <v>75</v>
      </c>
    </row>
    <row r="3415" spans="1:5" x14ac:dyDescent="0.3">
      <c r="A3415" t="s">
        <v>195</v>
      </c>
      <c r="B3415" t="s">
        <v>3960</v>
      </c>
      <c r="C3415" t="s">
        <v>467</v>
      </c>
      <c r="D3415" t="s">
        <v>8600</v>
      </c>
      <c r="E3415" t="s">
        <v>75</v>
      </c>
    </row>
    <row r="3416" spans="1:5" x14ac:dyDescent="0.3">
      <c r="A3416" t="s">
        <v>2143</v>
      </c>
      <c r="B3416" t="s">
        <v>8602</v>
      </c>
      <c r="C3416" t="s">
        <v>6069</v>
      </c>
      <c r="D3416" t="s">
        <v>8601</v>
      </c>
      <c r="E3416" t="s">
        <v>75</v>
      </c>
    </row>
    <row r="3417" spans="1:5" x14ac:dyDescent="0.3">
      <c r="A3417" t="s">
        <v>398</v>
      </c>
      <c r="B3417" t="s">
        <v>8604</v>
      </c>
      <c r="C3417" t="s">
        <v>460</v>
      </c>
      <c r="D3417" t="s">
        <v>8603</v>
      </c>
      <c r="E3417" t="s">
        <v>75</v>
      </c>
    </row>
    <row r="3418" spans="1:5" x14ac:dyDescent="0.3">
      <c r="A3418" t="s">
        <v>3781</v>
      </c>
      <c r="B3418" t="s">
        <v>2973</v>
      </c>
      <c r="C3418" t="s">
        <v>8606</v>
      </c>
      <c r="D3418" t="s">
        <v>8605</v>
      </c>
      <c r="E3418" t="s">
        <v>75</v>
      </c>
    </row>
    <row r="3419" spans="1:5" x14ac:dyDescent="0.3">
      <c r="A3419" t="s">
        <v>4624</v>
      </c>
      <c r="B3419" t="s">
        <v>4274</v>
      </c>
      <c r="C3419" t="s">
        <v>5054</v>
      </c>
      <c r="D3419" t="s">
        <v>8607</v>
      </c>
      <c r="E3419" t="s">
        <v>75</v>
      </c>
    </row>
    <row r="3420" spans="1:5" x14ac:dyDescent="0.3">
      <c r="A3420" t="s">
        <v>1410</v>
      </c>
      <c r="B3420" t="s">
        <v>2456</v>
      </c>
      <c r="C3420" t="s">
        <v>467</v>
      </c>
      <c r="D3420" t="s">
        <v>8049</v>
      </c>
      <c r="E3420" t="s">
        <v>75</v>
      </c>
    </row>
    <row r="3421" spans="1:5" x14ac:dyDescent="0.3">
      <c r="A3421" t="s">
        <v>3353</v>
      </c>
      <c r="B3421" t="s">
        <v>8609</v>
      </c>
      <c r="C3421" t="s">
        <v>720</v>
      </c>
      <c r="D3421" t="s">
        <v>8608</v>
      </c>
      <c r="E3421" t="s">
        <v>75</v>
      </c>
    </row>
    <row r="3422" spans="1:5" x14ac:dyDescent="0.3">
      <c r="A3422" t="s">
        <v>8611</v>
      </c>
      <c r="B3422" t="s">
        <v>7355</v>
      </c>
      <c r="C3422" t="s">
        <v>461</v>
      </c>
      <c r="D3422" t="s">
        <v>8610</v>
      </c>
      <c r="E3422" t="s">
        <v>75</v>
      </c>
    </row>
    <row r="3423" spans="1:5" x14ac:dyDescent="0.3">
      <c r="A3423" t="s">
        <v>8613</v>
      </c>
      <c r="B3423" t="s">
        <v>1630</v>
      </c>
      <c r="C3423" t="s">
        <v>8614</v>
      </c>
      <c r="D3423" t="s">
        <v>8612</v>
      </c>
      <c r="E3423" t="s">
        <v>75</v>
      </c>
    </row>
    <row r="3424" spans="1:5" x14ac:dyDescent="0.3">
      <c r="A3424" t="s">
        <v>77</v>
      </c>
      <c r="B3424" t="s">
        <v>8388</v>
      </c>
      <c r="C3424" t="s">
        <v>457</v>
      </c>
      <c r="D3424" t="s">
        <v>8615</v>
      </c>
      <c r="E3424" t="s">
        <v>75</v>
      </c>
    </row>
    <row r="3425" spans="1:5" x14ac:dyDescent="0.3">
      <c r="A3425" t="s">
        <v>112</v>
      </c>
      <c r="B3425" t="s">
        <v>8618</v>
      </c>
      <c r="C3425" t="s">
        <v>459</v>
      </c>
    </row>
    <row r="3426" spans="1:5" x14ac:dyDescent="0.3">
      <c r="A3426" t="s">
        <v>3664</v>
      </c>
      <c r="B3426" t="s">
        <v>8620</v>
      </c>
      <c r="C3426" t="s">
        <v>460</v>
      </c>
      <c r="D3426" t="s">
        <v>8619</v>
      </c>
      <c r="E3426" t="s">
        <v>75</v>
      </c>
    </row>
    <row r="3427" spans="1:5" x14ac:dyDescent="0.3">
      <c r="A3427" t="s">
        <v>8623</v>
      </c>
      <c r="B3427" t="s">
        <v>6903</v>
      </c>
      <c r="C3427" t="s">
        <v>5610</v>
      </c>
      <c r="D3427" t="s">
        <v>8622</v>
      </c>
      <c r="E3427" t="s">
        <v>75</v>
      </c>
    </row>
    <row r="3428" spans="1:5" x14ac:dyDescent="0.3">
      <c r="A3428" t="s">
        <v>116</v>
      </c>
      <c r="B3428" t="s">
        <v>8624</v>
      </c>
      <c r="C3428" t="s">
        <v>467</v>
      </c>
      <c r="D3428" t="s">
        <v>8622</v>
      </c>
      <c r="E3428" t="s">
        <v>75</v>
      </c>
    </row>
    <row r="3429" spans="1:5" x14ac:dyDescent="0.3">
      <c r="A3429" t="s">
        <v>195</v>
      </c>
      <c r="B3429" t="s">
        <v>4817</v>
      </c>
      <c r="C3429" t="s">
        <v>457</v>
      </c>
      <c r="D3429" t="s">
        <v>8625</v>
      </c>
      <c r="E3429" t="s">
        <v>75</v>
      </c>
    </row>
    <row r="3430" spans="1:5" x14ac:dyDescent="0.3">
      <c r="A3430" t="s">
        <v>41</v>
      </c>
      <c r="B3430" t="s">
        <v>4433</v>
      </c>
      <c r="C3430" t="s">
        <v>456</v>
      </c>
      <c r="D3430" t="s">
        <v>8625</v>
      </c>
      <c r="E3430" t="s">
        <v>75</v>
      </c>
    </row>
    <row r="3431" spans="1:5" x14ac:dyDescent="0.3">
      <c r="A3431" t="s">
        <v>3614</v>
      </c>
      <c r="B3431" t="s">
        <v>4441</v>
      </c>
      <c r="C3431" t="s">
        <v>456</v>
      </c>
      <c r="D3431" t="s">
        <v>8625</v>
      </c>
      <c r="E3431" t="s">
        <v>75</v>
      </c>
    </row>
    <row r="3432" spans="1:5" x14ac:dyDescent="0.3">
      <c r="A3432" t="s">
        <v>131</v>
      </c>
      <c r="B3432" t="s">
        <v>3960</v>
      </c>
      <c r="C3432" t="s">
        <v>460</v>
      </c>
      <c r="D3432" t="s">
        <v>8621</v>
      </c>
      <c r="E3432" t="s">
        <v>75</v>
      </c>
    </row>
    <row r="3433" spans="1:5" x14ac:dyDescent="0.3">
      <c r="A3433" t="s">
        <v>4518</v>
      </c>
      <c r="B3433" t="s">
        <v>354</v>
      </c>
      <c r="C3433" t="s">
        <v>461</v>
      </c>
      <c r="D3433" t="s">
        <v>8626</v>
      </c>
      <c r="E3433" t="s">
        <v>75</v>
      </c>
    </row>
    <row r="3434" spans="1:5" x14ac:dyDescent="0.3">
      <c r="A3434" t="s">
        <v>82</v>
      </c>
      <c r="B3434" t="s">
        <v>4639</v>
      </c>
      <c r="C3434" t="s">
        <v>467</v>
      </c>
      <c r="D3434" t="s">
        <v>8627</v>
      </c>
      <c r="E3434" t="s">
        <v>75</v>
      </c>
    </row>
    <row r="3435" spans="1:5" x14ac:dyDescent="0.3">
      <c r="A3435" t="s">
        <v>131</v>
      </c>
      <c r="B3435" t="s">
        <v>8630</v>
      </c>
      <c r="C3435" t="s">
        <v>8629</v>
      </c>
      <c r="D3435" t="s">
        <v>8628</v>
      </c>
      <c r="E3435" t="s">
        <v>75</v>
      </c>
    </row>
    <row r="3436" spans="1:5" x14ac:dyDescent="0.3">
      <c r="A3436" t="s">
        <v>8632</v>
      </c>
      <c r="B3436" t="s">
        <v>199</v>
      </c>
      <c r="C3436" t="s">
        <v>862</v>
      </c>
      <c r="D3436" t="s">
        <v>8631</v>
      </c>
      <c r="E3436" t="s">
        <v>75</v>
      </c>
    </row>
    <row r="3437" spans="1:5" x14ac:dyDescent="0.3">
      <c r="A3437" t="s">
        <v>1169</v>
      </c>
      <c r="B3437" t="s">
        <v>4216</v>
      </c>
      <c r="C3437" t="s">
        <v>461</v>
      </c>
      <c r="D3437" t="s">
        <v>7946</v>
      </c>
      <c r="E3437" t="s">
        <v>897</v>
      </c>
    </row>
    <row r="3438" spans="1:5" x14ac:dyDescent="0.3">
      <c r="A3438" t="s">
        <v>404</v>
      </c>
      <c r="B3438" t="s">
        <v>8634</v>
      </c>
      <c r="C3438" t="s">
        <v>457</v>
      </c>
      <c r="D3438" t="s">
        <v>8633</v>
      </c>
      <c r="E3438" t="s">
        <v>75</v>
      </c>
    </row>
    <row r="3439" spans="1:5" x14ac:dyDescent="0.3">
      <c r="A3439" t="s">
        <v>41</v>
      </c>
      <c r="B3439" t="s">
        <v>8636</v>
      </c>
      <c r="C3439" t="s">
        <v>467</v>
      </c>
      <c r="D3439" t="s">
        <v>8635</v>
      </c>
      <c r="E3439" t="s">
        <v>75</v>
      </c>
    </row>
    <row r="3440" spans="1:5" x14ac:dyDescent="0.3">
      <c r="A3440" t="s">
        <v>8638</v>
      </c>
      <c r="B3440" t="s">
        <v>8639</v>
      </c>
      <c r="C3440" t="s">
        <v>459</v>
      </c>
      <c r="D3440" t="s">
        <v>8637</v>
      </c>
      <c r="E3440" t="s">
        <v>75</v>
      </c>
    </row>
    <row r="3441" spans="1:5" x14ac:dyDescent="0.3">
      <c r="A3441" t="s">
        <v>8641</v>
      </c>
      <c r="B3441" t="s">
        <v>8642</v>
      </c>
      <c r="C3441" t="s">
        <v>461</v>
      </c>
      <c r="D3441" t="s">
        <v>8640</v>
      </c>
      <c r="E3441" t="s">
        <v>1</v>
      </c>
    </row>
    <row r="3442" spans="1:5" x14ac:dyDescent="0.3">
      <c r="A3442" t="s">
        <v>224</v>
      </c>
      <c r="B3442" t="s">
        <v>6101</v>
      </c>
      <c r="C3442" t="s">
        <v>8644</v>
      </c>
      <c r="D3442" t="s">
        <v>8643</v>
      </c>
      <c r="E3442" t="s">
        <v>75</v>
      </c>
    </row>
    <row r="3443" spans="1:5" x14ac:dyDescent="0.3">
      <c r="A3443" t="s">
        <v>20</v>
      </c>
      <c r="B3443" t="s">
        <v>8646</v>
      </c>
      <c r="C3443" t="s">
        <v>467</v>
      </c>
      <c r="D3443" t="s">
        <v>8645</v>
      </c>
      <c r="E3443" t="s">
        <v>75</v>
      </c>
    </row>
    <row r="3444" spans="1:5" x14ac:dyDescent="0.3">
      <c r="A3444" t="s">
        <v>2817</v>
      </c>
      <c r="B3444" t="s">
        <v>834</v>
      </c>
      <c r="C3444" t="s">
        <v>461</v>
      </c>
      <c r="D3444" t="s">
        <v>8647</v>
      </c>
      <c r="E3444" t="s">
        <v>75</v>
      </c>
    </row>
    <row r="3445" spans="1:5" x14ac:dyDescent="0.3">
      <c r="A3445" t="s">
        <v>860</v>
      </c>
      <c r="B3445" t="s">
        <v>309</v>
      </c>
      <c r="C3445" t="s">
        <v>457</v>
      </c>
      <c r="D3445" t="s">
        <v>6555</v>
      </c>
      <c r="E3445" t="s">
        <v>761</v>
      </c>
    </row>
    <row r="3446" spans="1:5" x14ac:dyDescent="0.3">
      <c r="A3446" t="s">
        <v>2599</v>
      </c>
      <c r="B3446" t="s">
        <v>199</v>
      </c>
      <c r="C3446" t="s">
        <v>518</v>
      </c>
      <c r="D3446" t="s">
        <v>8648</v>
      </c>
      <c r="E3446" t="s">
        <v>75</v>
      </c>
    </row>
    <row r="3447" spans="1:5" x14ac:dyDescent="0.3">
      <c r="A3447" t="s">
        <v>851</v>
      </c>
      <c r="B3447" t="s">
        <v>853</v>
      </c>
      <c r="C3447" t="s">
        <v>467</v>
      </c>
      <c r="D3447" t="s">
        <v>8648</v>
      </c>
      <c r="E3447" t="s">
        <v>75</v>
      </c>
    </row>
    <row r="3448" spans="1:5" x14ac:dyDescent="0.3">
      <c r="A3448" t="s">
        <v>151</v>
      </c>
      <c r="B3448" t="s">
        <v>7044</v>
      </c>
      <c r="C3448" t="s">
        <v>467</v>
      </c>
      <c r="D3448" t="s">
        <v>8649</v>
      </c>
      <c r="E3448" t="s">
        <v>75</v>
      </c>
    </row>
    <row r="3449" spans="1:5" x14ac:dyDescent="0.3">
      <c r="A3449" t="s">
        <v>339</v>
      </c>
      <c r="B3449" t="s">
        <v>8651</v>
      </c>
      <c r="C3449" t="s">
        <v>467</v>
      </c>
      <c r="D3449" t="s">
        <v>8650</v>
      </c>
      <c r="E3449" t="s">
        <v>75</v>
      </c>
    </row>
    <row r="3450" spans="1:5" x14ac:dyDescent="0.3">
      <c r="A3450" t="s">
        <v>4841</v>
      </c>
      <c r="B3450" t="s">
        <v>8653</v>
      </c>
      <c r="C3450" t="s">
        <v>460</v>
      </c>
      <c r="D3450" t="s">
        <v>8652</v>
      </c>
      <c r="E3450" t="s">
        <v>75</v>
      </c>
    </row>
    <row r="3451" spans="1:5" x14ac:dyDescent="0.3">
      <c r="A3451" t="s">
        <v>1133</v>
      </c>
      <c r="B3451" t="s">
        <v>8654</v>
      </c>
      <c r="C3451" t="s">
        <v>8655</v>
      </c>
      <c r="D3451" t="s">
        <v>8654</v>
      </c>
      <c r="E3451" t="s">
        <v>75</v>
      </c>
    </row>
    <row r="3452" spans="1:5" x14ac:dyDescent="0.3">
      <c r="A3452" t="s">
        <v>5185</v>
      </c>
      <c r="B3452" t="s">
        <v>8657</v>
      </c>
      <c r="C3452" t="s">
        <v>460</v>
      </c>
      <c r="D3452" t="s">
        <v>8656</v>
      </c>
      <c r="E3452" t="s">
        <v>75</v>
      </c>
    </row>
    <row r="3453" spans="1:5" x14ac:dyDescent="0.3">
      <c r="A3453" t="s">
        <v>44</v>
      </c>
      <c r="B3453" t="s">
        <v>4181</v>
      </c>
      <c r="C3453" t="s">
        <v>518</v>
      </c>
      <c r="D3453" t="s">
        <v>3776</v>
      </c>
      <c r="E3453" t="s">
        <v>781</v>
      </c>
    </row>
    <row r="3454" spans="1:5" x14ac:dyDescent="0.3">
      <c r="A3454" t="s">
        <v>1778</v>
      </c>
      <c r="B3454" t="s">
        <v>210</v>
      </c>
      <c r="C3454" t="s">
        <v>467</v>
      </c>
      <c r="D3454" t="s">
        <v>8659</v>
      </c>
      <c r="E3454" t="s">
        <v>741</v>
      </c>
    </row>
    <row r="3455" spans="1:5" x14ac:dyDescent="0.3">
      <c r="A3455" t="s">
        <v>8661</v>
      </c>
      <c r="B3455" t="s">
        <v>1420</v>
      </c>
      <c r="C3455" t="s">
        <v>862</v>
      </c>
      <c r="D3455" t="s">
        <v>8660</v>
      </c>
      <c r="E3455" t="s">
        <v>75</v>
      </c>
    </row>
    <row r="3456" spans="1:5" x14ac:dyDescent="0.3">
      <c r="A3456" t="s">
        <v>3245</v>
      </c>
      <c r="B3456" t="s">
        <v>8663</v>
      </c>
      <c r="C3456" t="s">
        <v>461</v>
      </c>
      <c r="D3456" t="s">
        <v>8662</v>
      </c>
      <c r="E3456" t="s">
        <v>75</v>
      </c>
    </row>
    <row r="3457" spans="1:5" x14ac:dyDescent="0.3">
      <c r="A3457" t="s">
        <v>198</v>
      </c>
      <c r="B3457" t="s">
        <v>856</v>
      </c>
      <c r="C3457" t="s">
        <v>8665</v>
      </c>
      <c r="D3457" t="s">
        <v>8664</v>
      </c>
      <c r="E3457" t="s">
        <v>75</v>
      </c>
    </row>
    <row r="3458" spans="1:5" x14ac:dyDescent="0.3">
      <c r="A3458" t="s">
        <v>931</v>
      </c>
      <c r="B3458" t="s">
        <v>8666</v>
      </c>
      <c r="C3458" t="s">
        <v>7983</v>
      </c>
      <c r="D3458" t="s">
        <v>8664</v>
      </c>
      <c r="E3458" t="s">
        <v>75</v>
      </c>
    </row>
    <row r="3459" spans="1:5" x14ac:dyDescent="0.3">
      <c r="A3459" t="s">
        <v>755</v>
      </c>
      <c r="B3459" t="s">
        <v>8669</v>
      </c>
      <c r="C3459" t="s">
        <v>8668</v>
      </c>
      <c r="D3459" t="s">
        <v>8667</v>
      </c>
      <c r="E3459" t="s">
        <v>75</v>
      </c>
    </row>
    <row r="3460" spans="1:5" x14ac:dyDescent="0.3">
      <c r="A3460" t="s">
        <v>342</v>
      </c>
      <c r="B3460" t="s">
        <v>8672</v>
      </c>
      <c r="C3460" t="s">
        <v>467</v>
      </c>
      <c r="D3460" t="s">
        <v>8671</v>
      </c>
      <c r="E3460" t="s">
        <v>75</v>
      </c>
    </row>
    <row r="3461" spans="1:5" x14ac:dyDescent="0.3">
      <c r="A3461" t="s">
        <v>41</v>
      </c>
      <c r="B3461" t="s">
        <v>8674</v>
      </c>
      <c r="C3461" t="s">
        <v>457</v>
      </c>
      <c r="D3461" t="s">
        <v>8673</v>
      </c>
      <c r="E3461" t="s">
        <v>75</v>
      </c>
    </row>
    <row r="3462" spans="1:5" x14ac:dyDescent="0.3">
      <c r="A3462" t="s">
        <v>4735</v>
      </c>
      <c r="B3462" t="s">
        <v>8676</v>
      </c>
      <c r="C3462" t="s">
        <v>467</v>
      </c>
      <c r="D3462" t="s">
        <v>8675</v>
      </c>
      <c r="E3462" t="s">
        <v>75</v>
      </c>
    </row>
    <row r="3463" spans="1:5" x14ac:dyDescent="0.3">
      <c r="A3463" t="s">
        <v>1928</v>
      </c>
      <c r="B3463" t="s">
        <v>8678</v>
      </c>
      <c r="C3463" t="s">
        <v>460</v>
      </c>
      <c r="D3463" t="s">
        <v>8677</v>
      </c>
      <c r="E3463" t="s">
        <v>75</v>
      </c>
    </row>
    <row r="3464" spans="1:5" x14ac:dyDescent="0.3">
      <c r="A3464" t="s">
        <v>2599</v>
      </c>
      <c r="B3464" t="s">
        <v>8680</v>
      </c>
      <c r="C3464" t="s">
        <v>467</v>
      </c>
      <c r="D3464" t="s">
        <v>8679</v>
      </c>
      <c r="E3464" t="s">
        <v>75</v>
      </c>
    </row>
    <row r="3465" spans="1:5" x14ac:dyDescent="0.3">
      <c r="A3465" t="s">
        <v>4543</v>
      </c>
      <c r="B3465" t="s">
        <v>8682</v>
      </c>
      <c r="C3465" t="s">
        <v>459</v>
      </c>
      <c r="D3465" t="s">
        <v>8681</v>
      </c>
      <c r="E3465" t="s">
        <v>75</v>
      </c>
    </row>
    <row r="3466" spans="1:5" x14ac:dyDescent="0.3">
      <c r="A3466" t="s">
        <v>59</v>
      </c>
      <c r="B3466" t="s">
        <v>132</v>
      </c>
      <c r="C3466" t="s">
        <v>457</v>
      </c>
      <c r="D3466" t="s">
        <v>8683</v>
      </c>
      <c r="E3466" t="s">
        <v>75</v>
      </c>
    </row>
    <row r="3467" spans="1:5" x14ac:dyDescent="0.3">
      <c r="A3467" t="s">
        <v>8684</v>
      </c>
      <c r="B3467" t="s">
        <v>1291</v>
      </c>
      <c r="C3467" t="s">
        <v>8685</v>
      </c>
      <c r="D3467" t="s">
        <v>739</v>
      </c>
      <c r="E3467" t="s">
        <v>741</v>
      </c>
    </row>
    <row r="3468" spans="1:5" x14ac:dyDescent="0.3">
      <c r="A3468" t="s">
        <v>50</v>
      </c>
      <c r="B3468" t="s">
        <v>8687</v>
      </c>
      <c r="C3468" t="s">
        <v>459</v>
      </c>
      <c r="D3468" t="s">
        <v>8686</v>
      </c>
      <c r="E3468" t="s">
        <v>75</v>
      </c>
    </row>
    <row r="3469" spans="1:5" x14ac:dyDescent="0.3">
      <c r="A3469" t="s">
        <v>8689</v>
      </c>
      <c r="B3469" t="s">
        <v>8690</v>
      </c>
      <c r="C3469" t="s">
        <v>459</v>
      </c>
      <c r="D3469" t="s">
        <v>8688</v>
      </c>
      <c r="E3469" t="s">
        <v>75</v>
      </c>
    </row>
    <row r="3470" spans="1:5" x14ac:dyDescent="0.3">
      <c r="A3470" t="s">
        <v>182</v>
      </c>
      <c r="B3470" t="s">
        <v>5413</v>
      </c>
      <c r="C3470" t="s">
        <v>461</v>
      </c>
      <c r="D3470" t="s">
        <v>8688</v>
      </c>
      <c r="E3470" t="s">
        <v>75</v>
      </c>
    </row>
    <row r="3471" spans="1:5" x14ac:dyDescent="0.3">
      <c r="A3471" t="s">
        <v>4668</v>
      </c>
      <c r="B3471" t="s">
        <v>8691</v>
      </c>
      <c r="C3471" t="s">
        <v>467</v>
      </c>
      <c r="D3471" t="s">
        <v>8688</v>
      </c>
      <c r="E3471" t="s">
        <v>75</v>
      </c>
    </row>
    <row r="3472" spans="1:5" x14ac:dyDescent="0.3">
      <c r="A3472" t="s">
        <v>150</v>
      </c>
      <c r="B3472" t="s">
        <v>8692</v>
      </c>
      <c r="C3472" t="s">
        <v>458</v>
      </c>
      <c r="D3472" t="s">
        <v>8276</v>
      </c>
      <c r="E3472" t="s">
        <v>18</v>
      </c>
    </row>
    <row r="3473" spans="1:5" x14ac:dyDescent="0.3">
      <c r="A3473" t="s">
        <v>59</v>
      </c>
      <c r="B3473" t="s">
        <v>8694</v>
      </c>
      <c r="C3473" t="s">
        <v>467</v>
      </c>
      <c r="D3473" t="s">
        <v>8693</v>
      </c>
      <c r="E3473" t="s">
        <v>75</v>
      </c>
    </row>
    <row r="3474" spans="1:5" x14ac:dyDescent="0.3">
      <c r="A3474" t="s">
        <v>3431</v>
      </c>
      <c r="B3474" t="s">
        <v>1772</v>
      </c>
      <c r="C3474" t="s">
        <v>8696</v>
      </c>
      <c r="D3474" t="s">
        <v>8695</v>
      </c>
      <c r="E3474" t="s">
        <v>75</v>
      </c>
    </row>
    <row r="3475" spans="1:5" x14ac:dyDescent="0.3">
      <c r="A3475" t="s">
        <v>864</v>
      </c>
      <c r="B3475" t="s">
        <v>319</v>
      </c>
      <c r="C3475" t="s">
        <v>461</v>
      </c>
      <c r="D3475" t="s">
        <v>8697</v>
      </c>
      <c r="E3475" t="s">
        <v>75</v>
      </c>
    </row>
    <row r="3476" spans="1:5" x14ac:dyDescent="0.3">
      <c r="A3476" t="s">
        <v>146</v>
      </c>
      <c r="B3476" t="s">
        <v>1420</v>
      </c>
      <c r="C3476" t="s">
        <v>458</v>
      </c>
      <c r="D3476" t="s">
        <v>8698</v>
      </c>
      <c r="E3476" t="s">
        <v>75</v>
      </c>
    </row>
    <row r="3477" spans="1:5" x14ac:dyDescent="0.3">
      <c r="A3477" t="s">
        <v>146</v>
      </c>
      <c r="B3477" t="s">
        <v>8535</v>
      </c>
      <c r="C3477" t="s">
        <v>8700</v>
      </c>
      <c r="D3477" t="s">
        <v>8699</v>
      </c>
      <c r="E3477" t="s">
        <v>75</v>
      </c>
    </row>
    <row r="3478" spans="1:5" x14ac:dyDescent="0.3">
      <c r="A3478" t="s">
        <v>131</v>
      </c>
      <c r="B3478" t="s">
        <v>8702</v>
      </c>
      <c r="C3478" t="s">
        <v>467</v>
      </c>
      <c r="D3478" t="s">
        <v>8701</v>
      </c>
      <c r="E3478" t="s">
        <v>75</v>
      </c>
    </row>
    <row r="3479" spans="1:5" x14ac:dyDescent="0.3">
      <c r="A3479" t="s">
        <v>2633</v>
      </c>
      <c r="B3479" t="s">
        <v>8704</v>
      </c>
      <c r="C3479" t="s">
        <v>461</v>
      </c>
      <c r="D3479" t="s">
        <v>8703</v>
      </c>
      <c r="E3479" t="s">
        <v>75</v>
      </c>
    </row>
    <row r="3480" spans="1:5" x14ac:dyDescent="0.3">
      <c r="A3480" t="s">
        <v>2432</v>
      </c>
      <c r="B3480" t="s">
        <v>8705</v>
      </c>
      <c r="C3480" t="s">
        <v>467</v>
      </c>
      <c r="D3480" t="s">
        <v>8703</v>
      </c>
      <c r="E3480" t="s">
        <v>75</v>
      </c>
    </row>
    <row r="3481" spans="1:5" x14ac:dyDescent="0.3">
      <c r="A3481" t="s">
        <v>8707</v>
      </c>
      <c r="B3481" t="s">
        <v>4849</v>
      </c>
      <c r="C3481" t="s">
        <v>467</v>
      </c>
      <c r="D3481" t="s">
        <v>8706</v>
      </c>
      <c r="E3481" t="s">
        <v>75</v>
      </c>
    </row>
    <row r="3482" spans="1:5" x14ac:dyDescent="0.3">
      <c r="A3482" t="s">
        <v>4317</v>
      </c>
      <c r="B3482" t="s">
        <v>8710</v>
      </c>
      <c r="C3482" t="s">
        <v>8709</v>
      </c>
      <c r="D3482" t="s">
        <v>8708</v>
      </c>
      <c r="E3482" t="s">
        <v>75</v>
      </c>
    </row>
    <row r="3483" spans="1:5" x14ac:dyDescent="0.3">
      <c r="A3483" t="s">
        <v>8713</v>
      </c>
      <c r="B3483" t="s">
        <v>823</v>
      </c>
      <c r="C3483" t="s">
        <v>467</v>
      </c>
      <c r="D3483" t="s">
        <v>8712</v>
      </c>
      <c r="E3483" t="s">
        <v>75</v>
      </c>
    </row>
    <row r="3484" spans="1:5" x14ac:dyDescent="0.3">
      <c r="A3484" t="s">
        <v>8715</v>
      </c>
      <c r="B3484" t="s">
        <v>8716</v>
      </c>
      <c r="C3484" t="s">
        <v>467</v>
      </c>
      <c r="D3484" t="s">
        <v>8714</v>
      </c>
      <c r="E3484" t="s">
        <v>75</v>
      </c>
    </row>
    <row r="3485" spans="1:5" x14ac:dyDescent="0.3">
      <c r="A3485" t="s">
        <v>3220</v>
      </c>
      <c r="B3485" t="s">
        <v>4298</v>
      </c>
      <c r="C3485" t="s">
        <v>461</v>
      </c>
      <c r="D3485" t="s">
        <v>8717</v>
      </c>
      <c r="E3485" t="s">
        <v>75</v>
      </c>
    </row>
    <row r="3486" spans="1:5" x14ac:dyDescent="0.3">
      <c r="A3486" t="s">
        <v>253</v>
      </c>
      <c r="B3486" t="s">
        <v>2489</v>
      </c>
      <c r="C3486" t="s">
        <v>459</v>
      </c>
      <c r="D3486" t="s">
        <v>8718</v>
      </c>
      <c r="E3486" t="s">
        <v>75</v>
      </c>
    </row>
    <row r="3487" spans="1:5" x14ac:dyDescent="0.3">
      <c r="A3487" t="s">
        <v>218</v>
      </c>
      <c r="B3487" t="s">
        <v>8720</v>
      </c>
      <c r="C3487" t="s">
        <v>461</v>
      </c>
      <c r="D3487" t="s">
        <v>13060</v>
      </c>
      <c r="E3487" t="s">
        <v>75</v>
      </c>
    </row>
    <row r="3488" spans="1:5" x14ac:dyDescent="0.3">
      <c r="A3488" t="s">
        <v>3182</v>
      </c>
      <c r="B3488" t="s">
        <v>8722</v>
      </c>
      <c r="C3488" t="s">
        <v>8721</v>
      </c>
      <c r="D3488" t="s">
        <v>13060</v>
      </c>
      <c r="E3488" t="s">
        <v>75</v>
      </c>
    </row>
    <row r="3489" spans="1:5" x14ac:dyDescent="0.3">
      <c r="A3489" t="s">
        <v>8724</v>
      </c>
      <c r="B3489" t="s">
        <v>8726</v>
      </c>
      <c r="C3489" t="s">
        <v>8725</v>
      </c>
      <c r="D3489" t="s">
        <v>8723</v>
      </c>
      <c r="E3489" t="s">
        <v>75</v>
      </c>
    </row>
    <row r="3490" spans="1:5" x14ac:dyDescent="0.3">
      <c r="A3490" t="s">
        <v>339</v>
      </c>
      <c r="B3490" t="s">
        <v>8728</v>
      </c>
      <c r="C3490" t="s">
        <v>7961</v>
      </c>
      <c r="D3490" t="s">
        <v>8727</v>
      </c>
      <c r="E3490" t="s">
        <v>75</v>
      </c>
    </row>
    <row r="3491" spans="1:5" x14ac:dyDescent="0.3">
      <c r="A3491" t="s">
        <v>44</v>
      </c>
      <c r="B3491" t="s">
        <v>8730</v>
      </c>
      <c r="C3491" t="s">
        <v>461</v>
      </c>
      <c r="D3491" t="s">
        <v>8729</v>
      </c>
      <c r="E3491" t="s">
        <v>75</v>
      </c>
    </row>
    <row r="3492" spans="1:5" x14ac:dyDescent="0.3">
      <c r="A3492" t="s">
        <v>224</v>
      </c>
      <c r="B3492" t="s">
        <v>8733</v>
      </c>
      <c r="C3492" t="s">
        <v>8732</v>
      </c>
      <c r="D3492" t="s">
        <v>8731</v>
      </c>
      <c r="E3492" t="s">
        <v>75</v>
      </c>
    </row>
    <row r="3493" spans="1:5" x14ac:dyDescent="0.3">
      <c r="A3493" t="s">
        <v>8734</v>
      </c>
      <c r="B3493" t="s">
        <v>8241</v>
      </c>
      <c r="C3493" t="s">
        <v>8735</v>
      </c>
      <c r="D3493" t="s">
        <v>5691</v>
      </c>
      <c r="E3493" t="s">
        <v>2175</v>
      </c>
    </row>
    <row r="3494" spans="1:5" x14ac:dyDescent="0.3">
      <c r="A3494" t="s">
        <v>1513</v>
      </c>
      <c r="B3494" t="s">
        <v>287</v>
      </c>
      <c r="C3494" t="s">
        <v>461</v>
      </c>
      <c r="D3494" t="s">
        <v>8736</v>
      </c>
      <c r="E3494" t="s">
        <v>75</v>
      </c>
    </row>
    <row r="3495" spans="1:5" x14ac:dyDescent="0.3">
      <c r="A3495" t="s">
        <v>5864</v>
      </c>
      <c r="B3495" t="s">
        <v>8738</v>
      </c>
      <c r="C3495" t="s">
        <v>461</v>
      </c>
      <c r="D3495" t="s">
        <v>8737</v>
      </c>
      <c r="E3495" t="s">
        <v>75</v>
      </c>
    </row>
    <row r="3496" spans="1:5" x14ac:dyDescent="0.3">
      <c r="A3496" t="s">
        <v>22</v>
      </c>
      <c r="B3496" t="s">
        <v>280</v>
      </c>
      <c r="C3496" t="s">
        <v>281</v>
      </c>
      <c r="D3496" t="s">
        <v>895</v>
      </c>
      <c r="E3496" t="s">
        <v>897</v>
      </c>
    </row>
    <row r="3497" spans="1:5" x14ac:dyDescent="0.3">
      <c r="A3497" t="s">
        <v>4241</v>
      </c>
      <c r="B3497" t="s">
        <v>8740</v>
      </c>
      <c r="C3497" t="s">
        <v>460</v>
      </c>
      <c r="D3497" t="s">
        <v>895</v>
      </c>
      <c r="E3497" t="s">
        <v>897</v>
      </c>
    </row>
    <row r="3498" spans="1:5" x14ac:dyDescent="0.3">
      <c r="A3498" t="s">
        <v>864</v>
      </c>
      <c r="B3498" t="s">
        <v>3345</v>
      </c>
      <c r="C3498" t="s">
        <v>8742</v>
      </c>
      <c r="D3498" t="s">
        <v>895</v>
      </c>
      <c r="E3498" t="s">
        <v>897</v>
      </c>
    </row>
    <row r="3499" spans="1:5" x14ac:dyDescent="0.3">
      <c r="A3499" t="s">
        <v>138</v>
      </c>
      <c r="B3499" t="s">
        <v>3918</v>
      </c>
      <c r="C3499" t="s">
        <v>457</v>
      </c>
      <c r="D3499" t="s">
        <v>8743</v>
      </c>
      <c r="E3499" t="s">
        <v>75</v>
      </c>
    </row>
    <row r="3500" spans="1:5" x14ac:dyDescent="0.3">
      <c r="A3500" t="s">
        <v>251</v>
      </c>
      <c r="B3500" t="s">
        <v>8745</v>
      </c>
      <c r="C3500" t="s">
        <v>467</v>
      </c>
      <c r="D3500" t="s">
        <v>8744</v>
      </c>
      <c r="E3500" t="s">
        <v>75</v>
      </c>
    </row>
    <row r="3501" spans="1:5" x14ac:dyDescent="0.3">
      <c r="A3501" t="s">
        <v>8747</v>
      </c>
      <c r="B3501" t="s">
        <v>8748</v>
      </c>
      <c r="C3501" t="s">
        <v>518</v>
      </c>
      <c r="D3501" t="s">
        <v>895</v>
      </c>
      <c r="E3501" t="s">
        <v>897</v>
      </c>
    </row>
    <row r="3502" spans="1:5" x14ac:dyDescent="0.3">
      <c r="A3502" t="s">
        <v>8555</v>
      </c>
      <c r="B3502" t="s">
        <v>834</v>
      </c>
      <c r="C3502" t="s">
        <v>862</v>
      </c>
      <c r="D3502" t="s">
        <v>895</v>
      </c>
      <c r="E3502" t="s">
        <v>897</v>
      </c>
    </row>
    <row r="3503" spans="1:5" x14ac:dyDescent="0.3">
      <c r="A3503" t="s">
        <v>313</v>
      </c>
      <c r="B3503" t="s">
        <v>93</v>
      </c>
      <c r="C3503" t="s">
        <v>457</v>
      </c>
      <c r="D3503" t="s">
        <v>8749</v>
      </c>
      <c r="E3503" t="s">
        <v>75</v>
      </c>
    </row>
    <row r="3504" spans="1:5" x14ac:dyDescent="0.3">
      <c r="A3504" t="s">
        <v>3504</v>
      </c>
      <c r="B3504" t="s">
        <v>4772</v>
      </c>
      <c r="C3504" t="s">
        <v>862</v>
      </c>
      <c r="D3504" t="s">
        <v>895</v>
      </c>
      <c r="E3504" t="s">
        <v>897</v>
      </c>
    </row>
    <row r="3505" spans="1:5" x14ac:dyDescent="0.3">
      <c r="A3505" t="s">
        <v>855</v>
      </c>
      <c r="B3505" t="s">
        <v>93</v>
      </c>
      <c r="C3505" t="s">
        <v>451</v>
      </c>
      <c r="D3505" t="s">
        <v>8749</v>
      </c>
      <c r="E3505" t="s">
        <v>75</v>
      </c>
    </row>
    <row r="3506" spans="1:5" x14ac:dyDescent="0.3">
      <c r="A3506" t="s">
        <v>411</v>
      </c>
      <c r="B3506" t="s">
        <v>988</v>
      </c>
      <c r="C3506" t="s">
        <v>461</v>
      </c>
      <c r="D3506" t="s">
        <v>8750</v>
      </c>
      <c r="E3506" t="s">
        <v>75</v>
      </c>
    </row>
    <row r="3507" spans="1:5" x14ac:dyDescent="0.3">
      <c r="A3507" t="s">
        <v>3438</v>
      </c>
      <c r="B3507" t="s">
        <v>13061</v>
      </c>
      <c r="C3507" t="s">
        <v>8751</v>
      </c>
      <c r="D3507" t="s">
        <v>8741</v>
      </c>
      <c r="E3507" t="s">
        <v>75</v>
      </c>
    </row>
    <row r="3508" spans="1:5" x14ac:dyDescent="0.3">
      <c r="A3508" t="s">
        <v>1169</v>
      </c>
      <c r="B3508" t="s">
        <v>8424</v>
      </c>
      <c r="C3508" t="s">
        <v>8752</v>
      </c>
      <c r="D3508" t="s">
        <v>2541</v>
      </c>
      <c r="E3508" t="s">
        <v>781</v>
      </c>
    </row>
    <row r="3509" spans="1:5" x14ac:dyDescent="0.3">
      <c r="A3509" t="s">
        <v>1380</v>
      </c>
      <c r="B3509" t="s">
        <v>8754</v>
      </c>
      <c r="C3509" t="s">
        <v>459</v>
      </c>
      <c r="D3509" t="s">
        <v>8753</v>
      </c>
      <c r="E3509" t="s">
        <v>75</v>
      </c>
    </row>
    <row r="3510" spans="1:5" x14ac:dyDescent="0.3">
      <c r="A3510" t="s">
        <v>8756</v>
      </c>
      <c r="B3510" t="s">
        <v>2967</v>
      </c>
      <c r="C3510" t="s">
        <v>3555</v>
      </c>
      <c r="D3510" t="s">
        <v>8755</v>
      </c>
      <c r="E3510" t="s">
        <v>774</v>
      </c>
    </row>
    <row r="3511" spans="1:5" x14ac:dyDescent="0.3">
      <c r="A3511" t="s">
        <v>246</v>
      </c>
      <c r="B3511" t="s">
        <v>8757</v>
      </c>
      <c r="C3511" t="s">
        <v>467</v>
      </c>
      <c r="D3511" t="s">
        <v>8753</v>
      </c>
      <c r="E3511" t="s">
        <v>75</v>
      </c>
    </row>
    <row r="3512" spans="1:5" x14ac:dyDescent="0.3">
      <c r="A3512" t="s">
        <v>2518</v>
      </c>
      <c r="B3512" t="s">
        <v>434</v>
      </c>
      <c r="C3512" t="s">
        <v>461</v>
      </c>
      <c r="D3512" t="s">
        <v>4075</v>
      </c>
      <c r="E3512" t="s">
        <v>781</v>
      </c>
    </row>
    <row r="3513" spans="1:5" x14ac:dyDescent="0.3">
      <c r="A3513" t="s">
        <v>161</v>
      </c>
      <c r="B3513" t="s">
        <v>1420</v>
      </c>
      <c r="C3513" t="s">
        <v>467</v>
      </c>
      <c r="D3513" t="s">
        <v>8758</v>
      </c>
      <c r="E3513" t="s">
        <v>75</v>
      </c>
    </row>
    <row r="3514" spans="1:5" x14ac:dyDescent="0.3">
      <c r="A3514" t="s">
        <v>209</v>
      </c>
      <c r="B3514" t="s">
        <v>331</v>
      </c>
      <c r="C3514" t="s">
        <v>467</v>
      </c>
      <c r="D3514" t="s">
        <v>8759</v>
      </c>
      <c r="E3514" t="s">
        <v>75</v>
      </c>
    </row>
    <row r="3515" spans="1:5" x14ac:dyDescent="0.3">
      <c r="A3515" t="s">
        <v>864</v>
      </c>
      <c r="B3515" t="s">
        <v>3628</v>
      </c>
      <c r="C3515" t="s">
        <v>467</v>
      </c>
      <c r="D3515" t="s">
        <v>8760</v>
      </c>
      <c r="E3515" t="s">
        <v>75</v>
      </c>
    </row>
    <row r="3516" spans="1:5" x14ac:dyDescent="0.3">
      <c r="A3516" t="s">
        <v>66</v>
      </c>
      <c r="B3516" t="s">
        <v>8761</v>
      </c>
      <c r="C3516" t="s">
        <v>455</v>
      </c>
    </row>
    <row r="3517" spans="1:5" x14ac:dyDescent="0.3">
      <c r="A3517" t="s">
        <v>3449</v>
      </c>
      <c r="B3517" t="s">
        <v>8763</v>
      </c>
      <c r="C3517" t="s">
        <v>461</v>
      </c>
      <c r="D3517" t="s">
        <v>8762</v>
      </c>
      <c r="E3517" t="s">
        <v>75</v>
      </c>
    </row>
    <row r="3518" spans="1:5" x14ac:dyDescent="0.3">
      <c r="A3518" t="s">
        <v>8765</v>
      </c>
      <c r="B3518" t="s">
        <v>8766</v>
      </c>
      <c r="C3518" t="s">
        <v>457</v>
      </c>
      <c r="D3518" t="s">
        <v>8764</v>
      </c>
      <c r="E3518" t="s">
        <v>75</v>
      </c>
    </row>
    <row r="3519" spans="1:5" x14ac:dyDescent="0.3">
      <c r="A3519" t="s">
        <v>8767</v>
      </c>
      <c r="B3519" t="s">
        <v>8768</v>
      </c>
      <c r="C3519" t="s">
        <v>459</v>
      </c>
      <c r="D3519" t="s">
        <v>8764</v>
      </c>
      <c r="E3519" t="s">
        <v>75</v>
      </c>
    </row>
    <row r="3520" spans="1:5" x14ac:dyDescent="0.3">
      <c r="A3520" t="s">
        <v>3385</v>
      </c>
      <c r="B3520" t="s">
        <v>8769</v>
      </c>
      <c r="C3520" t="s">
        <v>862</v>
      </c>
      <c r="D3520" t="s">
        <v>8764</v>
      </c>
      <c r="E3520" t="s">
        <v>75</v>
      </c>
    </row>
    <row r="3521" spans="1:5" x14ac:dyDescent="0.3">
      <c r="A3521" t="s">
        <v>5926</v>
      </c>
      <c r="B3521" t="s">
        <v>8771</v>
      </c>
      <c r="C3521" t="s">
        <v>461</v>
      </c>
      <c r="D3521" t="s">
        <v>8770</v>
      </c>
      <c r="E3521" t="s">
        <v>75</v>
      </c>
    </row>
    <row r="3522" spans="1:5" x14ac:dyDescent="0.3">
      <c r="A3522" t="s">
        <v>50</v>
      </c>
      <c r="B3522" t="s">
        <v>8773</v>
      </c>
      <c r="C3522" t="s">
        <v>456</v>
      </c>
      <c r="D3522" t="s">
        <v>8772</v>
      </c>
      <c r="E3522" t="s">
        <v>75</v>
      </c>
    </row>
    <row r="3523" spans="1:5" x14ac:dyDescent="0.3">
      <c r="A3523" t="s">
        <v>339</v>
      </c>
      <c r="B3523" t="s">
        <v>3275</v>
      </c>
      <c r="C3523" t="s">
        <v>8774</v>
      </c>
      <c r="D3523" t="s">
        <v>769</v>
      </c>
      <c r="E3523" t="s">
        <v>1</v>
      </c>
    </row>
    <row r="3524" spans="1:5" x14ac:dyDescent="0.3">
      <c r="A3524" t="s">
        <v>4045</v>
      </c>
      <c r="B3524" t="s">
        <v>7676</v>
      </c>
      <c r="C3524" t="s">
        <v>457</v>
      </c>
      <c r="D3524" t="s">
        <v>2348</v>
      </c>
      <c r="E3524" t="s">
        <v>75</v>
      </c>
    </row>
    <row r="3525" spans="1:5" x14ac:dyDescent="0.3">
      <c r="A3525" t="s">
        <v>791</v>
      </c>
      <c r="B3525" t="s">
        <v>823</v>
      </c>
      <c r="C3525" t="s">
        <v>8775</v>
      </c>
      <c r="D3525" t="s">
        <v>910</v>
      </c>
      <c r="E3525" t="s">
        <v>1</v>
      </c>
    </row>
    <row r="3526" spans="1:5" x14ac:dyDescent="0.3">
      <c r="A3526" t="s">
        <v>290</v>
      </c>
      <c r="B3526" t="s">
        <v>2872</v>
      </c>
      <c r="C3526" t="s">
        <v>8776</v>
      </c>
      <c r="D3526" t="s">
        <v>895</v>
      </c>
      <c r="E3526" t="s">
        <v>897</v>
      </c>
    </row>
    <row r="3527" spans="1:5" x14ac:dyDescent="0.3">
      <c r="A3527" t="s">
        <v>132</v>
      </c>
      <c r="B3527" t="s">
        <v>2960</v>
      </c>
      <c r="C3527" t="s">
        <v>461</v>
      </c>
      <c r="D3527" t="s">
        <v>8777</v>
      </c>
      <c r="E3527" t="s">
        <v>75</v>
      </c>
    </row>
    <row r="3528" spans="1:5" x14ac:dyDescent="0.3">
      <c r="A3528" t="s">
        <v>8779</v>
      </c>
      <c r="B3528" t="s">
        <v>5131</v>
      </c>
      <c r="C3528" t="s">
        <v>451</v>
      </c>
      <c r="D3528" t="s">
        <v>8778</v>
      </c>
      <c r="E3528" t="s">
        <v>774</v>
      </c>
    </row>
    <row r="3529" spans="1:5" x14ac:dyDescent="0.3">
      <c r="A3529" t="s">
        <v>206</v>
      </c>
      <c r="B3529" t="s">
        <v>5720</v>
      </c>
      <c r="C3529" t="s">
        <v>862</v>
      </c>
      <c r="D3529" t="s">
        <v>8746</v>
      </c>
      <c r="E3529" t="s">
        <v>75</v>
      </c>
    </row>
    <row r="3530" spans="1:5" x14ac:dyDescent="0.3">
      <c r="A3530" t="s">
        <v>224</v>
      </c>
      <c r="B3530" t="s">
        <v>8782</v>
      </c>
      <c r="C3530" t="s">
        <v>518</v>
      </c>
      <c r="D3530" t="s">
        <v>8746</v>
      </c>
      <c r="E3530" t="s">
        <v>75</v>
      </c>
    </row>
    <row r="3531" spans="1:5" x14ac:dyDescent="0.3">
      <c r="A3531" t="s">
        <v>224</v>
      </c>
      <c r="B3531" t="s">
        <v>3136</v>
      </c>
      <c r="C3531" t="s">
        <v>8784</v>
      </c>
      <c r="D3531" t="s">
        <v>8783</v>
      </c>
      <c r="E3531" t="s">
        <v>75</v>
      </c>
    </row>
    <row r="3532" spans="1:5" x14ac:dyDescent="0.3">
      <c r="A3532" t="s">
        <v>331</v>
      </c>
      <c r="B3532" t="s">
        <v>1025</v>
      </c>
      <c r="C3532" t="s">
        <v>8786</v>
      </c>
      <c r="D3532" t="s">
        <v>8785</v>
      </c>
      <c r="E3532" t="s">
        <v>75</v>
      </c>
    </row>
    <row r="3533" spans="1:5" x14ac:dyDescent="0.3">
      <c r="A3533" t="s">
        <v>438</v>
      </c>
      <c r="B3533" t="s">
        <v>1332</v>
      </c>
      <c r="C3533" t="s">
        <v>461</v>
      </c>
      <c r="D3533" t="s">
        <v>8787</v>
      </c>
      <c r="E3533" t="s">
        <v>75</v>
      </c>
    </row>
    <row r="3534" spans="1:5" x14ac:dyDescent="0.3">
      <c r="A3534" t="s">
        <v>89</v>
      </c>
      <c r="B3534" t="s">
        <v>8789</v>
      </c>
      <c r="C3534" t="s">
        <v>862</v>
      </c>
      <c r="D3534" t="s">
        <v>8788</v>
      </c>
      <c r="E3534" t="s">
        <v>75</v>
      </c>
    </row>
    <row r="3535" spans="1:5" x14ac:dyDescent="0.3">
      <c r="A3535" t="s">
        <v>315</v>
      </c>
      <c r="B3535" t="s">
        <v>8790</v>
      </c>
      <c r="C3535" t="s">
        <v>862</v>
      </c>
      <c r="D3535" t="s">
        <v>895</v>
      </c>
      <c r="E3535" t="s">
        <v>897</v>
      </c>
    </row>
    <row r="3536" spans="1:5" x14ac:dyDescent="0.3">
      <c r="A3536" t="s">
        <v>5553</v>
      </c>
      <c r="B3536" t="s">
        <v>4707</v>
      </c>
      <c r="C3536" t="s">
        <v>467</v>
      </c>
      <c r="D3536" t="s">
        <v>8791</v>
      </c>
      <c r="E3536" t="s">
        <v>75</v>
      </c>
    </row>
    <row r="3537" spans="1:5" x14ac:dyDescent="0.3">
      <c r="A3537" t="s">
        <v>190</v>
      </c>
      <c r="B3537" t="s">
        <v>3444</v>
      </c>
      <c r="C3537" t="s">
        <v>460</v>
      </c>
      <c r="D3537" t="s">
        <v>8792</v>
      </c>
      <c r="E3537" t="s">
        <v>75</v>
      </c>
    </row>
    <row r="3538" spans="1:5" x14ac:dyDescent="0.3">
      <c r="A3538" t="s">
        <v>153</v>
      </c>
      <c r="B3538" t="s">
        <v>8794</v>
      </c>
      <c r="C3538" t="s">
        <v>460</v>
      </c>
      <c r="D3538" t="s">
        <v>8793</v>
      </c>
      <c r="E3538" t="s">
        <v>75</v>
      </c>
    </row>
    <row r="3539" spans="1:5" x14ac:dyDescent="0.3">
      <c r="A3539" t="s">
        <v>50</v>
      </c>
      <c r="B3539" t="s">
        <v>8797</v>
      </c>
      <c r="C3539" t="s">
        <v>457</v>
      </c>
      <c r="D3539" t="s">
        <v>8796</v>
      </c>
      <c r="E3539" t="s">
        <v>75</v>
      </c>
    </row>
    <row r="3540" spans="1:5" x14ac:dyDescent="0.3">
      <c r="A3540" t="s">
        <v>3625</v>
      </c>
      <c r="B3540" t="s">
        <v>877</v>
      </c>
      <c r="C3540" t="s">
        <v>8798</v>
      </c>
      <c r="D3540" t="s">
        <v>763</v>
      </c>
      <c r="E3540" t="s">
        <v>1</v>
      </c>
    </row>
    <row r="3541" spans="1:5" x14ac:dyDescent="0.3">
      <c r="A3541" t="s">
        <v>179</v>
      </c>
      <c r="B3541" t="s">
        <v>4919</v>
      </c>
      <c r="C3541" t="s">
        <v>518</v>
      </c>
      <c r="D3541" t="s">
        <v>763</v>
      </c>
      <c r="E3541" t="s">
        <v>1</v>
      </c>
    </row>
    <row r="3542" spans="1:5" x14ac:dyDescent="0.3">
      <c r="A3542" t="s">
        <v>209</v>
      </c>
      <c r="B3542" t="s">
        <v>8800</v>
      </c>
      <c r="C3542" t="s">
        <v>8799</v>
      </c>
      <c r="D3542" t="s">
        <v>763</v>
      </c>
      <c r="E3542" t="s">
        <v>1</v>
      </c>
    </row>
    <row r="3543" spans="1:5" x14ac:dyDescent="0.3">
      <c r="A3543" t="s">
        <v>129</v>
      </c>
      <c r="B3543" t="s">
        <v>1091</v>
      </c>
      <c r="C3543" t="s">
        <v>8801</v>
      </c>
      <c r="D3543" t="s">
        <v>763</v>
      </c>
      <c r="E3543" t="s">
        <v>1</v>
      </c>
    </row>
    <row r="3544" spans="1:5" x14ac:dyDescent="0.3">
      <c r="A3544" t="s">
        <v>22</v>
      </c>
      <c r="B3544" t="s">
        <v>2542</v>
      </c>
      <c r="C3544" t="s">
        <v>467</v>
      </c>
      <c r="D3544" t="s">
        <v>8802</v>
      </c>
      <c r="E3544" t="s">
        <v>75</v>
      </c>
    </row>
    <row r="3545" spans="1:5" x14ac:dyDescent="0.3">
      <c r="A3545" t="s">
        <v>41</v>
      </c>
      <c r="B3545" t="s">
        <v>8803</v>
      </c>
      <c r="C3545" t="s">
        <v>456</v>
      </c>
      <c r="D3545" t="s">
        <v>751</v>
      </c>
      <c r="E3545" t="s">
        <v>1</v>
      </c>
    </row>
    <row r="3546" spans="1:5" x14ac:dyDescent="0.3">
      <c r="A3546" t="s">
        <v>936</v>
      </c>
      <c r="B3546" t="s">
        <v>8804</v>
      </c>
      <c r="C3546" t="s">
        <v>862</v>
      </c>
      <c r="D3546" t="s">
        <v>751</v>
      </c>
      <c r="E3546" t="s">
        <v>1</v>
      </c>
    </row>
    <row r="3547" spans="1:5" x14ac:dyDescent="0.3">
      <c r="A3547" t="s">
        <v>1221</v>
      </c>
      <c r="B3547" t="s">
        <v>940</v>
      </c>
      <c r="C3547" t="s">
        <v>862</v>
      </c>
      <c r="D3547" t="s">
        <v>751</v>
      </c>
      <c r="E3547" t="s">
        <v>1</v>
      </c>
    </row>
    <row r="3548" spans="1:5" x14ac:dyDescent="0.3">
      <c r="A3548" t="s">
        <v>131</v>
      </c>
      <c r="B3548" t="s">
        <v>8805</v>
      </c>
      <c r="C3548" t="s">
        <v>862</v>
      </c>
      <c r="D3548" t="s">
        <v>751</v>
      </c>
      <c r="E3548" t="s">
        <v>1</v>
      </c>
    </row>
    <row r="3549" spans="1:5" x14ac:dyDescent="0.3">
      <c r="A3549" t="s">
        <v>8806</v>
      </c>
      <c r="B3549" t="s">
        <v>2432</v>
      </c>
      <c r="C3549" t="s">
        <v>862</v>
      </c>
      <c r="D3549" t="s">
        <v>751</v>
      </c>
      <c r="E3549" t="s">
        <v>1</v>
      </c>
    </row>
    <row r="3550" spans="1:5" x14ac:dyDescent="0.3">
      <c r="A3550" t="s">
        <v>1133</v>
      </c>
      <c r="B3550" t="s">
        <v>8808</v>
      </c>
      <c r="C3550" t="s">
        <v>8807</v>
      </c>
      <c r="D3550" t="s">
        <v>751</v>
      </c>
      <c r="E3550" t="s">
        <v>1</v>
      </c>
    </row>
    <row r="3551" spans="1:5" x14ac:dyDescent="0.3">
      <c r="A3551" t="s">
        <v>7952</v>
      </c>
      <c r="B3551" t="s">
        <v>5195</v>
      </c>
      <c r="C3551" t="s">
        <v>8809</v>
      </c>
      <c r="D3551" t="s">
        <v>751</v>
      </c>
      <c r="E3551" t="s">
        <v>1</v>
      </c>
    </row>
    <row r="3552" spans="1:5" x14ac:dyDescent="0.3">
      <c r="A3552" t="s">
        <v>8811</v>
      </c>
      <c r="B3552" t="s">
        <v>8813</v>
      </c>
      <c r="C3552" t="s">
        <v>8812</v>
      </c>
    </row>
    <row r="3553" spans="1:5" x14ac:dyDescent="0.3">
      <c r="A3553" t="s">
        <v>8815</v>
      </c>
      <c r="B3553" t="s">
        <v>8817</v>
      </c>
      <c r="C3553" t="s">
        <v>8816</v>
      </c>
      <c r="D3553" t="s">
        <v>8814</v>
      </c>
      <c r="E3553" t="s">
        <v>75</v>
      </c>
    </row>
    <row r="3554" spans="1:5" x14ac:dyDescent="0.3">
      <c r="A3554" t="s">
        <v>68</v>
      </c>
      <c r="B3554" t="s">
        <v>8819</v>
      </c>
      <c r="C3554" t="s">
        <v>862</v>
      </c>
      <c r="D3554" t="s">
        <v>751</v>
      </c>
      <c r="E3554" t="s">
        <v>1</v>
      </c>
    </row>
    <row r="3555" spans="1:5" x14ac:dyDescent="0.3">
      <c r="A3555" t="s">
        <v>138</v>
      </c>
      <c r="B3555" t="s">
        <v>8820</v>
      </c>
      <c r="C3555" t="s">
        <v>862</v>
      </c>
      <c r="D3555" t="s">
        <v>751</v>
      </c>
      <c r="E3555" t="s">
        <v>1</v>
      </c>
    </row>
    <row r="3556" spans="1:5" x14ac:dyDescent="0.3">
      <c r="A3556" t="s">
        <v>102</v>
      </c>
      <c r="B3556" t="s">
        <v>1332</v>
      </c>
      <c r="C3556" t="s">
        <v>8821</v>
      </c>
      <c r="D3556" t="s">
        <v>751</v>
      </c>
      <c r="E3556" t="s">
        <v>1</v>
      </c>
    </row>
    <row r="3557" spans="1:5" x14ac:dyDescent="0.3">
      <c r="A3557" t="s">
        <v>67</v>
      </c>
      <c r="B3557" t="s">
        <v>3774</v>
      </c>
      <c r="C3557" t="s">
        <v>8822</v>
      </c>
      <c r="D3557" t="s">
        <v>751</v>
      </c>
      <c r="E3557" t="s">
        <v>1</v>
      </c>
    </row>
    <row r="3558" spans="1:5" x14ac:dyDescent="0.3">
      <c r="A3558" t="s">
        <v>132</v>
      </c>
      <c r="B3558" t="s">
        <v>1202</v>
      </c>
      <c r="C3558" t="s">
        <v>8822</v>
      </c>
      <c r="D3558" t="s">
        <v>751</v>
      </c>
      <c r="E3558" t="s">
        <v>1</v>
      </c>
    </row>
    <row r="3559" spans="1:5" x14ac:dyDescent="0.3">
      <c r="A3559" t="s">
        <v>298</v>
      </c>
      <c r="B3559" t="s">
        <v>3500</v>
      </c>
      <c r="C3559" t="s">
        <v>467</v>
      </c>
      <c r="D3559" t="s">
        <v>8823</v>
      </c>
      <c r="E3559" t="s">
        <v>75</v>
      </c>
    </row>
    <row r="3560" spans="1:5" x14ac:dyDescent="0.3">
      <c r="A3560" t="s">
        <v>66</v>
      </c>
      <c r="B3560" t="s">
        <v>2776</v>
      </c>
      <c r="C3560" t="s">
        <v>7619</v>
      </c>
      <c r="D3560" t="s">
        <v>8824</v>
      </c>
      <c r="E3560" t="s">
        <v>75</v>
      </c>
    </row>
    <row r="3561" spans="1:5" x14ac:dyDescent="0.3">
      <c r="A3561" t="s">
        <v>740</v>
      </c>
      <c r="B3561" t="s">
        <v>6567</v>
      </c>
      <c r="C3561" t="s">
        <v>467</v>
      </c>
      <c r="D3561" t="s">
        <v>8824</v>
      </c>
      <c r="E3561" t="s">
        <v>75</v>
      </c>
    </row>
    <row r="3562" spans="1:5" x14ac:dyDescent="0.3">
      <c r="A3562" t="s">
        <v>50</v>
      </c>
      <c r="B3562" t="s">
        <v>3126</v>
      </c>
      <c r="C3562" t="s">
        <v>8826</v>
      </c>
      <c r="D3562" t="s">
        <v>8825</v>
      </c>
      <c r="E3562" t="s">
        <v>75</v>
      </c>
    </row>
    <row r="3563" spans="1:5" x14ac:dyDescent="0.3">
      <c r="A3563" t="s">
        <v>224</v>
      </c>
      <c r="B3563" t="s">
        <v>372</v>
      </c>
      <c r="C3563" t="s">
        <v>373</v>
      </c>
      <c r="D3563" t="s">
        <v>1554</v>
      </c>
      <c r="E3563" t="s">
        <v>1</v>
      </c>
    </row>
    <row r="3564" spans="1:5" x14ac:dyDescent="0.3">
      <c r="A3564" t="s">
        <v>50</v>
      </c>
      <c r="B3564" t="s">
        <v>8829</v>
      </c>
      <c r="C3564" t="s">
        <v>8828</v>
      </c>
      <c r="D3564" t="s">
        <v>1554</v>
      </c>
      <c r="E3564" t="s">
        <v>1</v>
      </c>
    </row>
    <row r="3565" spans="1:5" x14ac:dyDescent="0.3">
      <c r="A3565" t="s">
        <v>1068</v>
      </c>
      <c r="B3565" t="s">
        <v>8831</v>
      </c>
      <c r="C3565" t="s">
        <v>467</v>
      </c>
      <c r="D3565" t="s">
        <v>8830</v>
      </c>
      <c r="E3565" t="s">
        <v>75</v>
      </c>
    </row>
    <row r="3566" spans="1:5" x14ac:dyDescent="0.3">
      <c r="A3566" t="s">
        <v>50</v>
      </c>
      <c r="B3566" t="s">
        <v>8833</v>
      </c>
      <c r="C3566" t="s">
        <v>460</v>
      </c>
      <c r="D3566" t="s">
        <v>8832</v>
      </c>
      <c r="E3566" t="s">
        <v>75</v>
      </c>
    </row>
    <row r="3567" spans="1:5" x14ac:dyDescent="0.3">
      <c r="A3567" t="s">
        <v>8835</v>
      </c>
      <c r="B3567" t="s">
        <v>8836</v>
      </c>
      <c r="C3567" t="s">
        <v>461</v>
      </c>
      <c r="D3567" t="s">
        <v>8834</v>
      </c>
      <c r="E3567" t="s">
        <v>75</v>
      </c>
    </row>
    <row r="3568" spans="1:5" x14ac:dyDescent="0.3">
      <c r="A3568" t="s">
        <v>5463</v>
      </c>
      <c r="B3568" t="s">
        <v>4037</v>
      </c>
      <c r="C3568" t="s">
        <v>5593</v>
      </c>
      <c r="D3568" t="s">
        <v>8838</v>
      </c>
      <c r="E3568" t="s">
        <v>774</v>
      </c>
    </row>
    <row r="3569" spans="1:5" x14ac:dyDescent="0.3">
      <c r="A3569" t="s">
        <v>8840</v>
      </c>
      <c r="B3569" t="s">
        <v>8841</v>
      </c>
      <c r="C3569" t="s">
        <v>457</v>
      </c>
      <c r="D3569" t="s">
        <v>8839</v>
      </c>
      <c r="E3569" t="s">
        <v>75</v>
      </c>
    </row>
    <row r="3570" spans="1:5" x14ac:dyDescent="0.3">
      <c r="A3570" t="s">
        <v>875</v>
      </c>
      <c r="B3570" t="s">
        <v>6363</v>
      </c>
      <c r="C3570" t="s">
        <v>8843</v>
      </c>
      <c r="D3570" t="s">
        <v>8308</v>
      </c>
      <c r="E3570" t="s">
        <v>75</v>
      </c>
    </row>
    <row r="3571" spans="1:5" x14ac:dyDescent="0.3">
      <c r="A3571" t="s">
        <v>1811</v>
      </c>
      <c r="B3571" t="s">
        <v>8844</v>
      </c>
      <c r="C3571" t="s">
        <v>862</v>
      </c>
      <c r="D3571" t="s">
        <v>883</v>
      </c>
      <c r="E3571" t="s">
        <v>1</v>
      </c>
    </row>
    <row r="3572" spans="1:5" x14ac:dyDescent="0.3">
      <c r="A3572" t="s">
        <v>160</v>
      </c>
      <c r="B3572" t="s">
        <v>8847</v>
      </c>
      <c r="C3572" t="s">
        <v>456</v>
      </c>
      <c r="D3572" t="s">
        <v>8753</v>
      </c>
      <c r="E3572" t="s">
        <v>75</v>
      </c>
    </row>
    <row r="3573" spans="1:5" x14ac:dyDescent="0.3">
      <c r="A3573" t="s">
        <v>402</v>
      </c>
      <c r="B3573" t="s">
        <v>8849</v>
      </c>
      <c r="C3573" t="s">
        <v>461</v>
      </c>
      <c r="D3573" t="s">
        <v>8845</v>
      </c>
      <c r="E3573" t="s">
        <v>75</v>
      </c>
    </row>
    <row r="3574" spans="1:5" x14ac:dyDescent="0.3">
      <c r="A3574" t="s">
        <v>3824</v>
      </c>
      <c r="B3574" t="s">
        <v>2325</v>
      </c>
      <c r="C3574" t="s">
        <v>460</v>
      </c>
      <c r="D3574" t="s">
        <v>8845</v>
      </c>
      <c r="E3574" t="s">
        <v>75</v>
      </c>
    </row>
    <row r="3575" spans="1:5" x14ac:dyDescent="0.3">
      <c r="A3575" t="s">
        <v>38</v>
      </c>
      <c r="B3575" t="s">
        <v>1108</v>
      </c>
      <c r="C3575" t="s">
        <v>467</v>
      </c>
      <c r="D3575" t="s">
        <v>8850</v>
      </c>
      <c r="E3575" t="s">
        <v>75</v>
      </c>
    </row>
    <row r="3576" spans="1:5" x14ac:dyDescent="0.3">
      <c r="A3576" t="s">
        <v>8852</v>
      </c>
      <c r="B3576" t="s">
        <v>3566</v>
      </c>
      <c r="C3576" t="s">
        <v>461</v>
      </c>
      <c r="D3576" t="s">
        <v>8851</v>
      </c>
      <c r="E3576" t="s">
        <v>75</v>
      </c>
    </row>
    <row r="3577" spans="1:5" x14ac:dyDescent="0.3">
      <c r="A3577" t="s">
        <v>313</v>
      </c>
      <c r="B3577" t="s">
        <v>285</v>
      </c>
      <c r="C3577" t="s">
        <v>467</v>
      </c>
      <c r="D3577" t="s">
        <v>8853</v>
      </c>
      <c r="E3577" t="s">
        <v>75</v>
      </c>
    </row>
    <row r="3578" spans="1:5" x14ac:dyDescent="0.3">
      <c r="A3578" t="s">
        <v>68</v>
      </c>
      <c r="B3578" t="s">
        <v>796</v>
      </c>
      <c r="C3578" t="s">
        <v>461</v>
      </c>
      <c r="D3578" t="s">
        <v>8853</v>
      </c>
      <c r="E3578" t="s">
        <v>75</v>
      </c>
    </row>
    <row r="3579" spans="1:5" x14ac:dyDescent="0.3">
      <c r="A3579" t="s">
        <v>253</v>
      </c>
      <c r="B3579" t="s">
        <v>4792</v>
      </c>
      <c r="C3579" t="s">
        <v>8855</v>
      </c>
      <c r="D3579" t="s">
        <v>8854</v>
      </c>
      <c r="E3579" t="s">
        <v>75</v>
      </c>
    </row>
    <row r="3580" spans="1:5" x14ac:dyDescent="0.3">
      <c r="A3580" t="s">
        <v>8857</v>
      </c>
      <c r="B3580" t="s">
        <v>8858</v>
      </c>
      <c r="C3580" t="s">
        <v>461</v>
      </c>
      <c r="D3580" t="s">
        <v>8856</v>
      </c>
      <c r="E3580" t="s">
        <v>75</v>
      </c>
    </row>
    <row r="3581" spans="1:5" x14ac:dyDescent="0.3">
      <c r="A3581" t="s">
        <v>35</v>
      </c>
      <c r="B3581" t="s">
        <v>8861</v>
      </c>
      <c r="C3581" t="s">
        <v>461</v>
      </c>
      <c r="D3581" t="s">
        <v>1607</v>
      </c>
      <c r="E3581" t="s">
        <v>1</v>
      </c>
    </row>
    <row r="3582" spans="1:5" x14ac:dyDescent="0.3">
      <c r="A3582" t="s">
        <v>130</v>
      </c>
      <c r="B3582" t="s">
        <v>5813</v>
      </c>
      <c r="C3582" t="s">
        <v>8862</v>
      </c>
      <c r="D3582" t="s">
        <v>5998</v>
      </c>
      <c r="E3582" t="s">
        <v>741</v>
      </c>
    </row>
    <row r="3583" spans="1:5" x14ac:dyDescent="0.3">
      <c r="A3583" t="s">
        <v>220</v>
      </c>
      <c r="B3583" t="s">
        <v>8865</v>
      </c>
      <c r="C3583" t="s">
        <v>8864</v>
      </c>
      <c r="D3583" t="s">
        <v>8863</v>
      </c>
      <c r="E3583" t="s">
        <v>75</v>
      </c>
    </row>
    <row r="3584" spans="1:5" x14ac:dyDescent="0.3">
      <c r="A3584" t="s">
        <v>66</v>
      </c>
      <c r="B3584" t="s">
        <v>8865</v>
      </c>
      <c r="C3584" t="s">
        <v>7871</v>
      </c>
      <c r="D3584" t="s">
        <v>8863</v>
      </c>
      <c r="E3584" t="s">
        <v>75</v>
      </c>
    </row>
    <row r="3585" spans="1:5" x14ac:dyDescent="0.3">
      <c r="A3585" t="s">
        <v>195</v>
      </c>
      <c r="B3585" t="s">
        <v>8866</v>
      </c>
      <c r="C3585" t="s">
        <v>461</v>
      </c>
      <c r="D3585" t="s">
        <v>4546</v>
      </c>
      <c r="E3585" t="s">
        <v>781</v>
      </c>
    </row>
    <row r="3586" spans="1:5" x14ac:dyDescent="0.3">
      <c r="A3586" t="s">
        <v>864</v>
      </c>
      <c r="B3586" t="s">
        <v>3764</v>
      </c>
      <c r="C3586" t="s">
        <v>8868</v>
      </c>
      <c r="D3586" t="s">
        <v>8867</v>
      </c>
      <c r="E3586" t="s">
        <v>75</v>
      </c>
    </row>
    <row r="3587" spans="1:5" x14ac:dyDescent="0.3">
      <c r="A3587" t="s">
        <v>50</v>
      </c>
      <c r="B3587" t="s">
        <v>3339</v>
      </c>
      <c r="C3587" t="s">
        <v>467</v>
      </c>
      <c r="D3587" t="s">
        <v>8869</v>
      </c>
      <c r="E3587" t="s">
        <v>75</v>
      </c>
    </row>
    <row r="3588" spans="1:5" x14ac:dyDescent="0.3">
      <c r="A3588" t="s">
        <v>3071</v>
      </c>
      <c r="B3588" t="s">
        <v>8871</v>
      </c>
      <c r="C3588" t="s">
        <v>467</v>
      </c>
      <c r="D3588" t="s">
        <v>8870</v>
      </c>
      <c r="E3588" t="s">
        <v>75</v>
      </c>
    </row>
    <row r="3589" spans="1:5" x14ac:dyDescent="0.3">
      <c r="A3589" t="s">
        <v>8873</v>
      </c>
      <c r="B3589" t="s">
        <v>6061</v>
      </c>
      <c r="C3589" t="s">
        <v>2571</v>
      </c>
      <c r="D3589" t="s">
        <v>8872</v>
      </c>
      <c r="E3589" t="s">
        <v>75</v>
      </c>
    </row>
    <row r="3590" spans="1:5" x14ac:dyDescent="0.3">
      <c r="A3590" t="s">
        <v>2428</v>
      </c>
      <c r="B3590" t="s">
        <v>8876</v>
      </c>
      <c r="C3590" t="s">
        <v>8517</v>
      </c>
      <c r="D3590" t="s">
        <v>8875</v>
      </c>
      <c r="E3590" t="s">
        <v>75</v>
      </c>
    </row>
    <row r="3591" spans="1:5" x14ac:dyDescent="0.3">
      <c r="A3591" t="s">
        <v>177</v>
      </c>
      <c r="B3591" t="s">
        <v>6037</v>
      </c>
      <c r="C3591" t="s">
        <v>8877</v>
      </c>
      <c r="D3591" t="s">
        <v>951</v>
      </c>
      <c r="E3591" t="s">
        <v>1</v>
      </c>
    </row>
    <row r="3592" spans="1:5" x14ac:dyDescent="0.3">
      <c r="A3592" t="s">
        <v>757</v>
      </c>
      <c r="B3592" t="s">
        <v>8879</v>
      </c>
      <c r="C3592" t="s">
        <v>461</v>
      </c>
      <c r="D3592" t="s">
        <v>8878</v>
      </c>
      <c r="E3592" t="s">
        <v>75</v>
      </c>
    </row>
    <row r="3593" spans="1:5" x14ac:dyDescent="0.3">
      <c r="A3593" t="s">
        <v>8880</v>
      </c>
      <c r="B3593" t="s">
        <v>8881</v>
      </c>
      <c r="C3593" t="s">
        <v>862</v>
      </c>
      <c r="D3593" t="s">
        <v>951</v>
      </c>
      <c r="E3593" t="s">
        <v>1</v>
      </c>
    </row>
    <row r="3594" spans="1:5" x14ac:dyDescent="0.3">
      <c r="A3594" t="s">
        <v>331</v>
      </c>
      <c r="B3594" t="s">
        <v>8883</v>
      </c>
      <c r="C3594" t="s">
        <v>459</v>
      </c>
      <c r="D3594" t="s">
        <v>8882</v>
      </c>
      <c r="E3594" t="s">
        <v>774</v>
      </c>
    </row>
    <row r="3595" spans="1:5" x14ac:dyDescent="0.3">
      <c r="A3595" t="s">
        <v>4652</v>
      </c>
      <c r="B3595" t="s">
        <v>7607</v>
      </c>
      <c r="C3595" t="s">
        <v>862</v>
      </c>
      <c r="D3595" t="s">
        <v>8884</v>
      </c>
      <c r="E3595" t="s">
        <v>75</v>
      </c>
    </row>
    <row r="3596" spans="1:5" x14ac:dyDescent="0.3">
      <c r="A3596" t="s">
        <v>290</v>
      </c>
      <c r="B3596" t="s">
        <v>8886</v>
      </c>
      <c r="C3596" t="s">
        <v>461</v>
      </c>
      <c r="D3596" t="s">
        <v>8885</v>
      </c>
      <c r="E3596" t="s">
        <v>75</v>
      </c>
    </row>
    <row r="3597" spans="1:5" x14ac:dyDescent="0.3">
      <c r="A3597" t="s">
        <v>313</v>
      </c>
      <c r="B3597" t="s">
        <v>8888</v>
      </c>
      <c r="C3597" t="s">
        <v>862</v>
      </c>
      <c r="D3597" t="s">
        <v>8887</v>
      </c>
      <c r="E3597" t="s">
        <v>75</v>
      </c>
    </row>
    <row r="3598" spans="1:5" x14ac:dyDescent="0.3">
      <c r="A3598" t="s">
        <v>1404</v>
      </c>
      <c r="B3598" t="s">
        <v>8890</v>
      </c>
      <c r="C3598" t="s">
        <v>467</v>
      </c>
      <c r="D3598" t="s">
        <v>8889</v>
      </c>
      <c r="E3598" t="s">
        <v>75</v>
      </c>
    </row>
    <row r="3599" spans="1:5" x14ac:dyDescent="0.3">
      <c r="A3599" t="s">
        <v>77</v>
      </c>
      <c r="B3599" t="s">
        <v>1503</v>
      </c>
      <c r="C3599" t="s">
        <v>698</v>
      </c>
      <c r="D3599" t="s">
        <v>8891</v>
      </c>
      <c r="E3599" t="s">
        <v>75</v>
      </c>
    </row>
    <row r="3600" spans="1:5" x14ac:dyDescent="0.3">
      <c r="A3600" t="s">
        <v>41</v>
      </c>
      <c r="B3600" t="s">
        <v>8892</v>
      </c>
      <c r="C3600" t="s">
        <v>451</v>
      </c>
      <c r="D3600" t="s">
        <v>8891</v>
      </c>
      <c r="E3600" t="s">
        <v>75</v>
      </c>
    </row>
    <row r="3601" spans="1:5" x14ac:dyDescent="0.3">
      <c r="A3601" t="s">
        <v>190</v>
      </c>
      <c r="B3601" t="s">
        <v>4018</v>
      </c>
      <c r="C3601" t="s">
        <v>8893</v>
      </c>
      <c r="D3601" t="s">
        <v>919</v>
      </c>
      <c r="E3601" t="s">
        <v>1</v>
      </c>
    </row>
    <row r="3602" spans="1:5" x14ac:dyDescent="0.3">
      <c r="A3602" t="s">
        <v>851</v>
      </c>
      <c r="B3602" t="s">
        <v>8894</v>
      </c>
      <c r="C3602" t="s">
        <v>467</v>
      </c>
      <c r="D3602" t="s">
        <v>8891</v>
      </c>
      <c r="E3602" t="s">
        <v>75</v>
      </c>
    </row>
    <row r="3603" spans="1:5" x14ac:dyDescent="0.3">
      <c r="A3603" t="s">
        <v>5927</v>
      </c>
      <c r="B3603" t="s">
        <v>8896</v>
      </c>
      <c r="C3603" t="s">
        <v>467</v>
      </c>
      <c r="D3603" t="s">
        <v>8895</v>
      </c>
      <c r="E3603" t="s">
        <v>75</v>
      </c>
    </row>
    <row r="3604" spans="1:5" x14ac:dyDescent="0.3">
      <c r="A3604" t="s">
        <v>8898</v>
      </c>
      <c r="B3604" t="s">
        <v>7495</v>
      </c>
      <c r="C3604" t="s">
        <v>8899</v>
      </c>
      <c r="D3604" t="s">
        <v>8897</v>
      </c>
      <c r="E3604" t="s">
        <v>75</v>
      </c>
    </row>
    <row r="3605" spans="1:5" x14ac:dyDescent="0.3">
      <c r="A3605" t="s">
        <v>97</v>
      </c>
      <c r="B3605" t="s">
        <v>8901</v>
      </c>
      <c r="C3605" t="s">
        <v>467</v>
      </c>
      <c r="D3605" t="s">
        <v>8897</v>
      </c>
      <c r="E3605" t="s">
        <v>75</v>
      </c>
    </row>
    <row r="3606" spans="1:5" x14ac:dyDescent="0.3">
      <c r="A3606" t="s">
        <v>872</v>
      </c>
      <c r="B3606" t="s">
        <v>8903</v>
      </c>
      <c r="C3606" t="s">
        <v>8902</v>
      </c>
      <c r="D3606" t="s">
        <v>769</v>
      </c>
      <c r="E3606" t="s">
        <v>1</v>
      </c>
    </row>
    <row r="3607" spans="1:5" x14ac:dyDescent="0.3">
      <c r="A3607" t="s">
        <v>3150</v>
      </c>
      <c r="B3607" t="s">
        <v>1634</v>
      </c>
      <c r="C3607" t="s">
        <v>5694</v>
      </c>
      <c r="D3607" t="s">
        <v>8905</v>
      </c>
      <c r="E3607" t="s">
        <v>75</v>
      </c>
    </row>
    <row r="3608" spans="1:5" x14ac:dyDescent="0.3">
      <c r="A3608" t="s">
        <v>190</v>
      </c>
      <c r="B3608" t="s">
        <v>6893</v>
      </c>
      <c r="C3608" t="s">
        <v>457</v>
      </c>
      <c r="D3608" t="s">
        <v>4520</v>
      </c>
      <c r="E3608" t="s">
        <v>781</v>
      </c>
    </row>
    <row r="3609" spans="1:5" x14ac:dyDescent="0.3">
      <c r="A3609" t="s">
        <v>315</v>
      </c>
      <c r="B3609" t="s">
        <v>6893</v>
      </c>
      <c r="C3609" t="s">
        <v>467</v>
      </c>
      <c r="D3609" t="s">
        <v>4520</v>
      </c>
      <c r="E3609" t="s">
        <v>781</v>
      </c>
    </row>
    <row r="3610" spans="1:5" x14ac:dyDescent="0.3">
      <c r="A3610" t="s">
        <v>851</v>
      </c>
      <c r="B3610" t="s">
        <v>4155</v>
      </c>
      <c r="C3610" t="s">
        <v>467</v>
      </c>
      <c r="D3610" t="s">
        <v>4520</v>
      </c>
      <c r="E3610" t="s">
        <v>781</v>
      </c>
    </row>
    <row r="3611" spans="1:5" x14ac:dyDescent="0.3">
      <c r="A3611" t="s">
        <v>313</v>
      </c>
      <c r="B3611" t="s">
        <v>8907</v>
      </c>
      <c r="C3611" t="s">
        <v>467</v>
      </c>
      <c r="D3611" t="s">
        <v>8906</v>
      </c>
      <c r="E3611" t="s">
        <v>75</v>
      </c>
    </row>
    <row r="3612" spans="1:5" x14ac:dyDescent="0.3">
      <c r="A3612" t="s">
        <v>161</v>
      </c>
      <c r="B3612" t="s">
        <v>3508</v>
      </c>
      <c r="C3612" t="s">
        <v>467</v>
      </c>
      <c r="D3612" t="s">
        <v>8908</v>
      </c>
      <c r="E3612" t="s">
        <v>75</v>
      </c>
    </row>
    <row r="3613" spans="1:5" x14ac:dyDescent="0.3">
      <c r="A3613" t="s">
        <v>3182</v>
      </c>
      <c r="B3613" t="s">
        <v>5445</v>
      </c>
      <c r="C3613" t="s">
        <v>8909</v>
      </c>
      <c r="D3613" t="s">
        <v>6248</v>
      </c>
      <c r="E3613" t="s">
        <v>741</v>
      </c>
    </row>
    <row r="3614" spans="1:5" x14ac:dyDescent="0.3">
      <c r="A3614" t="s">
        <v>1933</v>
      </c>
      <c r="B3614" t="s">
        <v>4187</v>
      </c>
      <c r="C3614" t="s">
        <v>862</v>
      </c>
      <c r="D3614" t="s">
        <v>8910</v>
      </c>
      <c r="E3614" t="s">
        <v>75</v>
      </c>
    </row>
    <row r="3615" spans="1:5" x14ac:dyDescent="0.3">
      <c r="A3615" t="s">
        <v>8911</v>
      </c>
      <c r="B3615" t="s">
        <v>8912</v>
      </c>
      <c r="C3615" t="s">
        <v>7253</v>
      </c>
      <c r="D3615" t="s">
        <v>8910</v>
      </c>
      <c r="E3615" t="s">
        <v>75</v>
      </c>
    </row>
    <row r="3616" spans="1:5" x14ac:dyDescent="0.3">
      <c r="A3616" t="s">
        <v>298</v>
      </c>
      <c r="B3616" t="s">
        <v>317</v>
      </c>
      <c r="C3616" t="s">
        <v>8913</v>
      </c>
      <c r="D3616" t="s">
        <v>8910</v>
      </c>
      <c r="E3616" t="s">
        <v>75</v>
      </c>
    </row>
    <row r="3617" spans="1:5" x14ac:dyDescent="0.3">
      <c r="A3617" t="s">
        <v>27</v>
      </c>
      <c r="B3617" t="s">
        <v>6171</v>
      </c>
      <c r="C3617" t="s">
        <v>467</v>
      </c>
      <c r="D3617" t="s">
        <v>8910</v>
      </c>
      <c r="E3617" t="s">
        <v>75</v>
      </c>
    </row>
    <row r="3618" spans="1:5" x14ac:dyDescent="0.3">
      <c r="A3618" t="s">
        <v>41</v>
      </c>
      <c r="B3618" t="s">
        <v>2997</v>
      </c>
      <c r="C3618" t="s">
        <v>8916</v>
      </c>
      <c r="D3618" t="s">
        <v>8910</v>
      </c>
      <c r="E3618" t="s">
        <v>75</v>
      </c>
    </row>
    <row r="3619" spans="1:5" x14ac:dyDescent="0.3">
      <c r="A3619" t="s">
        <v>864</v>
      </c>
      <c r="B3619" t="s">
        <v>8918</v>
      </c>
      <c r="C3619" t="s">
        <v>8917</v>
      </c>
      <c r="D3619" t="s">
        <v>769</v>
      </c>
      <c r="E3619" t="s">
        <v>1</v>
      </c>
    </row>
    <row r="3620" spans="1:5" x14ac:dyDescent="0.3">
      <c r="A3620" t="s">
        <v>342</v>
      </c>
      <c r="B3620" t="s">
        <v>8920</v>
      </c>
      <c r="C3620" t="s">
        <v>461</v>
      </c>
      <c r="D3620" t="s">
        <v>8919</v>
      </c>
      <c r="E3620" t="s">
        <v>75</v>
      </c>
    </row>
    <row r="3621" spans="1:5" x14ac:dyDescent="0.3">
      <c r="A3621" t="s">
        <v>3784</v>
      </c>
      <c r="B3621" t="s">
        <v>8923</v>
      </c>
      <c r="C3621" t="s">
        <v>467</v>
      </c>
      <c r="D3621" t="s">
        <v>8922</v>
      </c>
      <c r="E3621" t="s">
        <v>75</v>
      </c>
    </row>
    <row r="3622" spans="1:5" x14ac:dyDescent="0.3">
      <c r="A3622" t="s">
        <v>150</v>
      </c>
      <c r="B3622" t="s">
        <v>179</v>
      </c>
      <c r="C3622" t="s">
        <v>455</v>
      </c>
      <c r="D3622" t="s">
        <v>8925</v>
      </c>
      <c r="E3622" t="s">
        <v>75</v>
      </c>
    </row>
    <row r="3623" spans="1:5" x14ac:dyDescent="0.3">
      <c r="A3623" t="s">
        <v>259</v>
      </c>
      <c r="B3623" t="s">
        <v>1758</v>
      </c>
      <c r="C3623" t="s">
        <v>8928</v>
      </c>
      <c r="D3623" t="s">
        <v>8927</v>
      </c>
      <c r="E3623" t="s">
        <v>75</v>
      </c>
    </row>
    <row r="3624" spans="1:5" x14ac:dyDescent="0.3">
      <c r="A3624" t="s">
        <v>2489</v>
      </c>
      <c r="B3624" t="s">
        <v>8931</v>
      </c>
      <c r="C3624" t="s">
        <v>8930</v>
      </c>
      <c r="D3624" t="s">
        <v>8929</v>
      </c>
      <c r="E3624" t="s">
        <v>75</v>
      </c>
    </row>
    <row r="3625" spans="1:5" x14ac:dyDescent="0.3">
      <c r="A3625" t="s">
        <v>3090</v>
      </c>
      <c r="B3625" t="s">
        <v>3240</v>
      </c>
      <c r="C3625" t="s">
        <v>461</v>
      </c>
      <c r="D3625" t="s">
        <v>8932</v>
      </c>
      <c r="E3625" t="s">
        <v>75</v>
      </c>
    </row>
    <row r="3626" spans="1:5" x14ac:dyDescent="0.3">
      <c r="A3626" t="s">
        <v>8934</v>
      </c>
      <c r="B3626" t="s">
        <v>8935</v>
      </c>
      <c r="C3626" t="s">
        <v>461</v>
      </c>
    </row>
    <row r="3627" spans="1:5" x14ac:dyDescent="0.3">
      <c r="A3627" t="s">
        <v>179</v>
      </c>
      <c r="B3627" t="s">
        <v>8937</v>
      </c>
      <c r="C3627" t="s">
        <v>467</v>
      </c>
      <c r="D3627" t="s">
        <v>8936</v>
      </c>
      <c r="E3627" t="s">
        <v>75</v>
      </c>
    </row>
    <row r="3628" spans="1:5" x14ac:dyDescent="0.3">
      <c r="A3628" t="s">
        <v>116</v>
      </c>
      <c r="B3628" t="s">
        <v>8940</v>
      </c>
      <c r="C3628" t="s">
        <v>460</v>
      </c>
      <c r="D3628" t="s">
        <v>8939</v>
      </c>
      <c r="E3628" t="s">
        <v>75</v>
      </c>
    </row>
    <row r="3629" spans="1:5" x14ac:dyDescent="0.3">
      <c r="A3629" t="s">
        <v>5883</v>
      </c>
      <c r="B3629" t="s">
        <v>8942</v>
      </c>
      <c r="C3629" t="s">
        <v>467</v>
      </c>
      <c r="D3629" t="s">
        <v>8941</v>
      </c>
      <c r="E3629" t="s">
        <v>75</v>
      </c>
    </row>
    <row r="3630" spans="1:5" x14ac:dyDescent="0.3">
      <c r="A3630" t="s">
        <v>3687</v>
      </c>
      <c r="B3630" t="s">
        <v>8944</v>
      </c>
      <c r="C3630" t="s">
        <v>518</v>
      </c>
      <c r="D3630" t="s">
        <v>8943</v>
      </c>
      <c r="E3630" t="s">
        <v>75</v>
      </c>
    </row>
    <row r="3631" spans="1:5" x14ac:dyDescent="0.3">
      <c r="A3631" t="s">
        <v>41</v>
      </c>
      <c r="B3631" t="s">
        <v>8945</v>
      </c>
      <c r="C3631" t="s">
        <v>459</v>
      </c>
      <c r="D3631" t="s">
        <v>6250</v>
      </c>
      <c r="E3631" t="s">
        <v>18</v>
      </c>
    </row>
    <row r="3632" spans="1:5" x14ac:dyDescent="0.3">
      <c r="A3632" t="s">
        <v>177</v>
      </c>
      <c r="B3632" t="s">
        <v>2519</v>
      </c>
      <c r="C3632" t="s">
        <v>460</v>
      </c>
      <c r="D3632" t="s">
        <v>8948</v>
      </c>
      <c r="E3632" t="s">
        <v>75</v>
      </c>
    </row>
    <row r="3633" spans="1:5" x14ac:dyDescent="0.3">
      <c r="A3633" t="s">
        <v>220</v>
      </c>
      <c r="B3633" t="s">
        <v>7275</v>
      </c>
      <c r="C3633" t="s">
        <v>454</v>
      </c>
      <c r="D3633" t="s">
        <v>8948</v>
      </c>
      <c r="E3633" t="s">
        <v>75</v>
      </c>
    </row>
    <row r="3634" spans="1:5" x14ac:dyDescent="0.3">
      <c r="A3634" t="s">
        <v>1334</v>
      </c>
      <c r="B3634" t="s">
        <v>3145</v>
      </c>
      <c r="C3634" t="s">
        <v>467</v>
      </c>
      <c r="D3634" t="s">
        <v>8949</v>
      </c>
      <c r="E3634" t="s">
        <v>75</v>
      </c>
    </row>
    <row r="3635" spans="1:5" x14ac:dyDescent="0.3">
      <c r="A3635" t="s">
        <v>3355</v>
      </c>
      <c r="B3635" t="s">
        <v>3030</v>
      </c>
      <c r="C3635" t="s">
        <v>467</v>
      </c>
      <c r="D3635" t="s">
        <v>1312</v>
      </c>
      <c r="E3635" t="s">
        <v>761</v>
      </c>
    </row>
    <row r="3636" spans="1:5" x14ac:dyDescent="0.3">
      <c r="A3636" t="s">
        <v>3806</v>
      </c>
      <c r="B3636" t="s">
        <v>1572</v>
      </c>
      <c r="C3636" t="s">
        <v>467</v>
      </c>
      <c r="D3636" t="s">
        <v>1312</v>
      </c>
      <c r="E3636" t="s">
        <v>761</v>
      </c>
    </row>
    <row r="3637" spans="1:5" x14ac:dyDescent="0.3">
      <c r="A3637" t="s">
        <v>41</v>
      </c>
      <c r="B3637" t="s">
        <v>8951</v>
      </c>
      <c r="C3637" t="s">
        <v>8950</v>
      </c>
      <c r="D3637" t="s">
        <v>1312</v>
      </c>
      <c r="E3637" t="s">
        <v>761</v>
      </c>
    </row>
    <row r="3638" spans="1:5" x14ac:dyDescent="0.3">
      <c r="A3638" t="s">
        <v>1920</v>
      </c>
      <c r="B3638" t="s">
        <v>7992</v>
      </c>
      <c r="C3638" t="s">
        <v>455</v>
      </c>
    </row>
    <row r="3639" spans="1:5" x14ac:dyDescent="0.3">
      <c r="A3639" t="s">
        <v>1330</v>
      </c>
      <c r="B3639" t="s">
        <v>4321</v>
      </c>
      <c r="C3639" t="s">
        <v>459</v>
      </c>
      <c r="D3639" t="s">
        <v>8953</v>
      </c>
      <c r="E3639" t="s">
        <v>75</v>
      </c>
    </row>
    <row r="3640" spans="1:5" x14ac:dyDescent="0.3">
      <c r="A3640" t="s">
        <v>1895</v>
      </c>
      <c r="B3640" t="s">
        <v>8955</v>
      </c>
      <c r="C3640" t="s">
        <v>8954</v>
      </c>
      <c r="D3640" t="s">
        <v>8953</v>
      </c>
      <c r="E3640" t="s">
        <v>75</v>
      </c>
    </row>
    <row r="3641" spans="1:5" x14ac:dyDescent="0.3">
      <c r="A3641" t="s">
        <v>79</v>
      </c>
      <c r="B3641" t="s">
        <v>5828</v>
      </c>
      <c r="C3641" t="s">
        <v>459</v>
      </c>
      <c r="D3641" t="s">
        <v>8956</v>
      </c>
      <c r="E3641" t="s">
        <v>75</v>
      </c>
    </row>
    <row r="3642" spans="1:5" x14ac:dyDescent="0.3">
      <c r="A3642" t="s">
        <v>2918</v>
      </c>
      <c r="B3642" t="s">
        <v>8958</v>
      </c>
      <c r="C3642" t="s">
        <v>460</v>
      </c>
      <c r="D3642" t="s">
        <v>8957</v>
      </c>
      <c r="E3642" t="s">
        <v>75</v>
      </c>
    </row>
    <row r="3643" spans="1:5" x14ac:dyDescent="0.3">
      <c r="A3643" t="s">
        <v>41</v>
      </c>
      <c r="B3643" t="s">
        <v>8961</v>
      </c>
      <c r="C3643" t="s">
        <v>8960</v>
      </c>
      <c r="D3643" t="s">
        <v>8959</v>
      </c>
      <c r="E3643" t="s">
        <v>75</v>
      </c>
    </row>
    <row r="3644" spans="1:5" x14ac:dyDescent="0.3">
      <c r="A3644" t="s">
        <v>3355</v>
      </c>
      <c r="B3644" t="s">
        <v>8860</v>
      </c>
      <c r="C3644" t="s">
        <v>457</v>
      </c>
      <c r="D3644" t="s">
        <v>8962</v>
      </c>
      <c r="E3644" t="s">
        <v>75</v>
      </c>
    </row>
    <row r="3645" spans="1:5" x14ac:dyDescent="0.3">
      <c r="A3645" t="s">
        <v>253</v>
      </c>
      <c r="B3645" t="s">
        <v>8964</v>
      </c>
      <c r="C3645" t="s">
        <v>459</v>
      </c>
      <c r="D3645" t="s">
        <v>8963</v>
      </c>
      <c r="E3645" t="s">
        <v>75</v>
      </c>
    </row>
    <row r="3646" spans="1:5" x14ac:dyDescent="0.3">
      <c r="A3646" t="s">
        <v>250</v>
      </c>
      <c r="B3646" t="s">
        <v>6614</v>
      </c>
      <c r="C3646" t="s">
        <v>467</v>
      </c>
      <c r="D3646" t="s">
        <v>8963</v>
      </c>
      <c r="E3646" t="s">
        <v>75</v>
      </c>
    </row>
    <row r="3647" spans="1:5" x14ac:dyDescent="0.3">
      <c r="A3647" t="s">
        <v>8967</v>
      </c>
      <c r="B3647" t="s">
        <v>414</v>
      </c>
      <c r="C3647" t="s">
        <v>461</v>
      </c>
      <c r="D3647" t="s">
        <v>8966</v>
      </c>
      <c r="E3647" t="s">
        <v>75</v>
      </c>
    </row>
    <row r="3648" spans="1:5" x14ac:dyDescent="0.3">
      <c r="A3648" t="s">
        <v>3691</v>
      </c>
      <c r="B3648" t="s">
        <v>2867</v>
      </c>
      <c r="C3648" t="s">
        <v>467</v>
      </c>
      <c r="D3648" t="s">
        <v>8966</v>
      </c>
      <c r="E3648" t="s">
        <v>75</v>
      </c>
    </row>
    <row r="3649" spans="1:5" x14ac:dyDescent="0.3">
      <c r="A3649" t="s">
        <v>195</v>
      </c>
      <c r="B3649" t="s">
        <v>896</v>
      </c>
      <c r="C3649" t="s">
        <v>467</v>
      </c>
      <c r="D3649" t="s">
        <v>8968</v>
      </c>
      <c r="E3649" t="s">
        <v>75</v>
      </c>
    </row>
    <row r="3650" spans="1:5" x14ac:dyDescent="0.3">
      <c r="A3650" t="s">
        <v>82</v>
      </c>
      <c r="B3650" t="s">
        <v>8970</v>
      </c>
      <c r="C3650" t="s">
        <v>460</v>
      </c>
      <c r="D3650" t="s">
        <v>8969</v>
      </c>
      <c r="E3650" t="s">
        <v>75</v>
      </c>
    </row>
    <row r="3651" spans="1:5" x14ac:dyDescent="0.3">
      <c r="A3651" t="s">
        <v>132</v>
      </c>
      <c r="B3651" t="s">
        <v>3328</v>
      </c>
      <c r="C3651" t="s">
        <v>460</v>
      </c>
      <c r="D3651" t="s">
        <v>8969</v>
      </c>
      <c r="E3651" t="s">
        <v>75</v>
      </c>
    </row>
    <row r="3652" spans="1:5" x14ac:dyDescent="0.3">
      <c r="A3652" t="s">
        <v>4096</v>
      </c>
      <c r="B3652" t="s">
        <v>3945</v>
      </c>
      <c r="C3652" t="s">
        <v>467</v>
      </c>
      <c r="D3652" t="s">
        <v>8969</v>
      </c>
      <c r="E3652" t="s">
        <v>75</v>
      </c>
    </row>
    <row r="3653" spans="1:5" x14ac:dyDescent="0.3">
      <c r="A3653" t="s">
        <v>181</v>
      </c>
      <c r="B3653" t="s">
        <v>111</v>
      </c>
      <c r="C3653" t="s">
        <v>467</v>
      </c>
      <c r="D3653" t="s">
        <v>8971</v>
      </c>
      <c r="E3653" t="s">
        <v>75</v>
      </c>
    </row>
    <row r="3654" spans="1:5" x14ac:dyDescent="0.3">
      <c r="A3654" t="s">
        <v>29</v>
      </c>
      <c r="B3654" t="s">
        <v>3130</v>
      </c>
      <c r="C3654" t="s">
        <v>461</v>
      </c>
      <c r="D3654" t="s">
        <v>8972</v>
      </c>
      <c r="E3654" t="s">
        <v>75</v>
      </c>
    </row>
    <row r="3655" spans="1:5" x14ac:dyDescent="0.3">
      <c r="A3655" t="s">
        <v>123</v>
      </c>
      <c r="B3655" t="s">
        <v>8975</v>
      </c>
      <c r="C3655" t="s">
        <v>8974</v>
      </c>
      <c r="D3655" t="s">
        <v>8973</v>
      </c>
      <c r="E3655" t="s">
        <v>75</v>
      </c>
    </row>
    <row r="3656" spans="1:5" x14ac:dyDescent="0.3">
      <c r="A3656" t="s">
        <v>4288</v>
      </c>
      <c r="B3656" t="s">
        <v>6522</v>
      </c>
      <c r="C3656" t="s">
        <v>467</v>
      </c>
      <c r="D3656" t="s">
        <v>5753</v>
      </c>
      <c r="E3656" t="s">
        <v>75</v>
      </c>
    </row>
    <row r="3657" spans="1:5" x14ac:dyDescent="0.3">
      <c r="A3657" t="s">
        <v>161</v>
      </c>
      <c r="B3657" t="s">
        <v>1025</v>
      </c>
      <c r="C3657" t="s">
        <v>460</v>
      </c>
      <c r="D3657" t="s">
        <v>8977</v>
      </c>
      <c r="E3657" t="s">
        <v>75</v>
      </c>
    </row>
    <row r="3658" spans="1:5" x14ac:dyDescent="0.3">
      <c r="A3658" t="s">
        <v>860</v>
      </c>
      <c r="B3658" t="s">
        <v>8980</v>
      </c>
      <c r="C3658" t="s">
        <v>460</v>
      </c>
      <c r="D3658" t="s">
        <v>8979</v>
      </c>
      <c r="E3658" t="s">
        <v>75</v>
      </c>
    </row>
    <row r="3659" spans="1:5" x14ac:dyDescent="0.3">
      <c r="A3659" t="s">
        <v>5927</v>
      </c>
      <c r="B3659" t="s">
        <v>8981</v>
      </c>
      <c r="C3659" t="s">
        <v>467</v>
      </c>
    </row>
    <row r="3660" spans="1:5" x14ac:dyDescent="0.3">
      <c r="A3660" t="s">
        <v>3664</v>
      </c>
      <c r="B3660" t="s">
        <v>8620</v>
      </c>
      <c r="C3660" t="s">
        <v>460</v>
      </c>
    </row>
    <row r="3661" spans="1:5" x14ac:dyDescent="0.3">
      <c r="A3661" t="s">
        <v>2956</v>
      </c>
      <c r="B3661" t="s">
        <v>8984</v>
      </c>
      <c r="C3661" t="s">
        <v>8983</v>
      </c>
      <c r="D3661" t="s">
        <v>8982</v>
      </c>
      <c r="E3661" t="s">
        <v>75</v>
      </c>
    </row>
    <row r="3662" spans="1:5" x14ac:dyDescent="0.3">
      <c r="A3662" t="s">
        <v>184</v>
      </c>
      <c r="B3662" t="s">
        <v>5139</v>
      </c>
      <c r="C3662" t="s">
        <v>8987</v>
      </c>
      <c r="D3662" t="s">
        <v>8986</v>
      </c>
      <c r="E3662" t="s">
        <v>774</v>
      </c>
    </row>
    <row r="3663" spans="1:5" x14ac:dyDescent="0.3">
      <c r="A3663" t="s">
        <v>360</v>
      </c>
      <c r="B3663" t="s">
        <v>2544</v>
      </c>
      <c r="C3663" t="s">
        <v>8354</v>
      </c>
      <c r="D3663" t="s">
        <v>8988</v>
      </c>
      <c r="E3663" t="s">
        <v>75</v>
      </c>
    </row>
    <row r="3664" spans="1:5" x14ac:dyDescent="0.3">
      <c r="A3664" t="s">
        <v>3735</v>
      </c>
      <c r="B3664" t="s">
        <v>2991</v>
      </c>
      <c r="C3664" t="s">
        <v>8990</v>
      </c>
      <c r="D3664" t="s">
        <v>8989</v>
      </c>
      <c r="E3664" t="s">
        <v>75</v>
      </c>
    </row>
    <row r="3665" spans="1:5" x14ac:dyDescent="0.3">
      <c r="A3665" t="s">
        <v>7022</v>
      </c>
      <c r="B3665" t="s">
        <v>8991</v>
      </c>
      <c r="C3665" t="s">
        <v>7262</v>
      </c>
      <c r="D3665" t="s">
        <v>8989</v>
      </c>
      <c r="E3665" t="s">
        <v>75</v>
      </c>
    </row>
    <row r="3666" spans="1:5" x14ac:dyDescent="0.3">
      <c r="A3666" t="s">
        <v>3493</v>
      </c>
      <c r="B3666" t="s">
        <v>8993</v>
      </c>
      <c r="C3666" t="s">
        <v>8992</v>
      </c>
      <c r="D3666" t="s">
        <v>768</v>
      </c>
      <c r="E3666" t="s">
        <v>1</v>
      </c>
    </row>
    <row r="3667" spans="1:5" x14ac:dyDescent="0.3">
      <c r="A3667" t="s">
        <v>22</v>
      </c>
      <c r="B3667" t="s">
        <v>3293</v>
      </c>
      <c r="C3667" t="s">
        <v>467</v>
      </c>
      <c r="D3667" t="s">
        <v>8994</v>
      </c>
      <c r="E3667" t="s">
        <v>75</v>
      </c>
    </row>
    <row r="3668" spans="1:5" x14ac:dyDescent="0.3">
      <c r="A3668" t="s">
        <v>264</v>
      </c>
      <c r="B3668" t="s">
        <v>8996</v>
      </c>
      <c r="C3668" t="s">
        <v>460</v>
      </c>
      <c r="D3668" t="s">
        <v>8995</v>
      </c>
      <c r="E3668" t="s">
        <v>75</v>
      </c>
    </row>
    <row r="3669" spans="1:5" x14ac:dyDescent="0.3">
      <c r="A3669" t="s">
        <v>290</v>
      </c>
      <c r="B3669" t="s">
        <v>880</v>
      </c>
      <c r="C3669" t="s">
        <v>467</v>
      </c>
      <c r="D3669" t="s">
        <v>8997</v>
      </c>
      <c r="E3669" t="s">
        <v>75</v>
      </c>
    </row>
    <row r="3670" spans="1:5" x14ac:dyDescent="0.3">
      <c r="A3670" t="s">
        <v>136</v>
      </c>
      <c r="B3670" t="s">
        <v>5739</v>
      </c>
      <c r="C3670" t="s">
        <v>460</v>
      </c>
      <c r="D3670" t="s">
        <v>8998</v>
      </c>
      <c r="E3670" t="s">
        <v>75</v>
      </c>
    </row>
    <row r="3671" spans="1:5" x14ac:dyDescent="0.3">
      <c r="A3671" t="s">
        <v>76</v>
      </c>
      <c r="B3671" t="s">
        <v>9000</v>
      </c>
      <c r="C3671" t="s">
        <v>8913</v>
      </c>
      <c r="D3671" t="s">
        <v>8999</v>
      </c>
      <c r="E3671" t="s">
        <v>75</v>
      </c>
    </row>
    <row r="3672" spans="1:5" x14ac:dyDescent="0.3">
      <c r="A3672" t="s">
        <v>116</v>
      </c>
      <c r="B3672" t="s">
        <v>9002</v>
      </c>
      <c r="C3672" t="s">
        <v>467</v>
      </c>
      <c r="D3672" t="s">
        <v>8781</v>
      </c>
      <c r="E3672" t="s">
        <v>75</v>
      </c>
    </row>
    <row r="3673" spans="1:5" x14ac:dyDescent="0.3">
      <c r="A3673" t="s">
        <v>133</v>
      </c>
      <c r="B3673" t="s">
        <v>2386</v>
      </c>
      <c r="C3673" t="s">
        <v>457</v>
      </c>
      <c r="D3673" t="s">
        <v>9003</v>
      </c>
      <c r="E3673" t="s">
        <v>75</v>
      </c>
    </row>
    <row r="3674" spans="1:5" x14ac:dyDescent="0.3">
      <c r="A3674" t="s">
        <v>195</v>
      </c>
      <c r="B3674" t="s">
        <v>142</v>
      </c>
      <c r="C3674" t="s">
        <v>467</v>
      </c>
      <c r="D3674" t="s">
        <v>9005</v>
      </c>
      <c r="E3674" t="s">
        <v>75</v>
      </c>
    </row>
    <row r="3675" spans="1:5" x14ac:dyDescent="0.3">
      <c r="A3675" t="s">
        <v>411</v>
      </c>
      <c r="B3675" t="s">
        <v>3193</v>
      </c>
      <c r="C3675" t="s">
        <v>9006</v>
      </c>
      <c r="D3675" t="s">
        <v>763</v>
      </c>
      <c r="E3675" t="s">
        <v>1</v>
      </c>
    </row>
    <row r="3676" spans="1:5" x14ac:dyDescent="0.3">
      <c r="A3676" t="s">
        <v>44</v>
      </c>
      <c r="B3676" t="s">
        <v>2080</v>
      </c>
      <c r="C3676" t="s">
        <v>467</v>
      </c>
      <c r="D3676" t="s">
        <v>9007</v>
      </c>
      <c r="E3676" t="s">
        <v>75</v>
      </c>
    </row>
    <row r="3677" spans="1:5" x14ac:dyDescent="0.3">
      <c r="A3677" t="s">
        <v>59</v>
      </c>
      <c r="B3677" t="s">
        <v>9009</v>
      </c>
      <c r="C3677" t="s">
        <v>457</v>
      </c>
      <c r="D3677" t="s">
        <v>9008</v>
      </c>
      <c r="E3677" t="s">
        <v>75</v>
      </c>
    </row>
    <row r="3678" spans="1:5" x14ac:dyDescent="0.3">
      <c r="A3678" t="s">
        <v>112</v>
      </c>
      <c r="B3678" t="s">
        <v>3873</v>
      </c>
      <c r="C3678" t="s">
        <v>457</v>
      </c>
      <c r="D3678" t="s">
        <v>9010</v>
      </c>
      <c r="E3678" t="s">
        <v>75</v>
      </c>
    </row>
    <row r="3679" spans="1:5" x14ac:dyDescent="0.3">
      <c r="A3679" t="s">
        <v>740</v>
      </c>
      <c r="B3679" t="s">
        <v>9012</v>
      </c>
      <c r="C3679" t="s">
        <v>467</v>
      </c>
      <c r="D3679" t="s">
        <v>9011</v>
      </c>
      <c r="E3679" t="s">
        <v>75</v>
      </c>
    </row>
    <row r="3680" spans="1:5" x14ac:dyDescent="0.3">
      <c r="A3680" t="s">
        <v>160</v>
      </c>
      <c r="B3680" t="s">
        <v>179</v>
      </c>
      <c r="C3680" t="s">
        <v>457</v>
      </c>
      <c r="D3680" t="s">
        <v>9013</v>
      </c>
      <c r="E3680" t="s">
        <v>75</v>
      </c>
    </row>
    <row r="3681" spans="1:5" x14ac:dyDescent="0.3">
      <c r="A3681" t="s">
        <v>2918</v>
      </c>
      <c r="B3681" t="s">
        <v>9015</v>
      </c>
      <c r="C3681" t="s">
        <v>467</v>
      </c>
      <c r="D3681" t="s">
        <v>9014</v>
      </c>
      <c r="E3681" t="s">
        <v>75</v>
      </c>
    </row>
    <row r="3682" spans="1:5" x14ac:dyDescent="0.3">
      <c r="A3682" t="s">
        <v>50</v>
      </c>
      <c r="B3682" t="s">
        <v>108</v>
      </c>
      <c r="C3682" t="s">
        <v>8354</v>
      </c>
      <c r="D3682" t="s">
        <v>9016</v>
      </c>
      <c r="E3682" t="s">
        <v>75</v>
      </c>
    </row>
    <row r="3683" spans="1:5" x14ac:dyDescent="0.3">
      <c r="A3683" t="s">
        <v>3472</v>
      </c>
      <c r="B3683" t="s">
        <v>9019</v>
      </c>
      <c r="C3683" t="s">
        <v>460</v>
      </c>
      <c r="D3683" t="s">
        <v>9018</v>
      </c>
      <c r="E3683" t="s">
        <v>75</v>
      </c>
    </row>
    <row r="3684" spans="1:5" x14ac:dyDescent="0.3">
      <c r="A3684" t="s">
        <v>1532</v>
      </c>
      <c r="B3684" t="s">
        <v>5341</v>
      </c>
      <c r="C3684" t="s">
        <v>862</v>
      </c>
      <c r="D3684" t="s">
        <v>883</v>
      </c>
      <c r="E3684" t="s">
        <v>1</v>
      </c>
    </row>
    <row r="3685" spans="1:5" x14ac:dyDescent="0.3">
      <c r="A3685" t="s">
        <v>3040</v>
      </c>
      <c r="B3685" t="s">
        <v>3649</v>
      </c>
      <c r="C3685" t="s">
        <v>467</v>
      </c>
      <c r="D3685" t="s">
        <v>9020</v>
      </c>
      <c r="E3685" t="s">
        <v>75</v>
      </c>
    </row>
    <row r="3686" spans="1:5" x14ac:dyDescent="0.3">
      <c r="A3686" t="s">
        <v>9021</v>
      </c>
      <c r="B3686" t="s">
        <v>9022</v>
      </c>
      <c r="C3686" t="s">
        <v>5328</v>
      </c>
      <c r="D3686" t="s">
        <v>9020</v>
      </c>
      <c r="E3686" t="s">
        <v>75</v>
      </c>
    </row>
    <row r="3687" spans="1:5" x14ac:dyDescent="0.3">
      <c r="A3687" t="s">
        <v>81</v>
      </c>
      <c r="B3687" t="s">
        <v>3395</v>
      </c>
      <c r="C3687" t="s">
        <v>9024</v>
      </c>
      <c r="D3687" t="s">
        <v>9023</v>
      </c>
      <c r="E3687" t="s">
        <v>75</v>
      </c>
    </row>
    <row r="3688" spans="1:5" x14ac:dyDescent="0.3">
      <c r="A3688" t="s">
        <v>2390</v>
      </c>
      <c r="B3688" t="s">
        <v>139</v>
      </c>
      <c r="C3688" t="s">
        <v>460</v>
      </c>
      <c r="D3688" t="s">
        <v>2545</v>
      </c>
      <c r="E3688" t="s">
        <v>75</v>
      </c>
    </row>
    <row r="3689" spans="1:5" x14ac:dyDescent="0.3">
      <c r="A3689" t="s">
        <v>27</v>
      </c>
      <c r="B3689" t="s">
        <v>139</v>
      </c>
      <c r="C3689" t="s">
        <v>455</v>
      </c>
      <c r="D3689" t="s">
        <v>2545</v>
      </c>
      <c r="E3689" t="s">
        <v>75</v>
      </c>
    </row>
    <row r="3690" spans="1:5" x14ac:dyDescent="0.3">
      <c r="A3690" t="s">
        <v>9025</v>
      </c>
      <c r="B3690" t="s">
        <v>2545</v>
      </c>
      <c r="C3690" t="s">
        <v>6009</v>
      </c>
      <c r="D3690" t="s">
        <v>2545</v>
      </c>
      <c r="E3690" t="s">
        <v>75</v>
      </c>
    </row>
    <row r="3691" spans="1:5" x14ac:dyDescent="0.3">
      <c r="A3691" t="s">
        <v>3390</v>
      </c>
      <c r="B3691" t="s">
        <v>2545</v>
      </c>
      <c r="C3691" t="s">
        <v>461</v>
      </c>
      <c r="D3691" t="s">
        <v>2545</v>
      </c>
      <c r="E3691" t="s">
        <v>75</v>
      </c>
    </row>
    <row r="3692" spans="1:5" x14ac:dyDescent="0.3">
      <c r="A3692" t="s">
        <v>752</v>
      </c>
      <c r="B3692" t="s">
        <v>102</v>
      </c>
      <c r="C3692" t="s">
        <v>467</v>
      </c>
      <c r="D3692" t="s">
        <v>9026</v>
      </c>
      <c r="E3692" t="s">
        <v>75</v>
      </c>
    </row>
    <row r="3693" spans="1:5" x14ac:dyDescent="0.3">
      <c r="A3693" t="s">
        <v>183</v>
      </c>
      <c r="B3693" t="s">
        <v>70</v>
      </c>
      <c r="C3693" t="s">
        <v>461</v>
      </c>
      <c r="D3693" t="s">
        <v>9027</v>
      </c>
      <c r="E3693" t="s">
        <v>75</v>
      </c>
    </row>
    <row r="3694" spans="1:5" x14ac:dyDescent="0.3">
      <c r="A3694" t="s">
        <v>209</v>
      </c>
      <c r="B3694" t="s">
        <v>9029</v>
      </c>
      <c r="C3694" t="s">
        <v>467</v>
      </c>
      <c r="D3694" t="s">
        <v>9028</v>
      </c>
      <c r="E3694" t="s">
        <v>75</v>
      </c>
    </row>
    <row r="3695" spans="1:5" x14ac:dyDescent="0.3">
      <c r="A3695" t="s">
        <v>1182</v>
      </c>
      <c r="B3695" t="s">
        <v>9032</v>
      </c>
      <c r="C3695" t="s">
        <v>9031</v>
      </c>
      <c r="D3695" t="s">
        <v>9030</v>
      </c>
      <c r="E3695" t="s">
        <v>75</v>
      </c>
    </row>
    <row r="3696" spans="1:5" x14ac:dyDescent="0.3">
      <c r="A3696" t="s">
        <v>1479</v>
      </c>
      <c r="B3696" t="s">
        <v>9033</v>
      </c>
      <c r="C3696" t="s">
        <v>9031</v>
      </c>
      <c r="D3696" t="s">
        <v>9030</v>
      </c>
      <c r="E3696" t="s">
        <v>75</v>
      </c>
    </row>
    <row r="3697" spans="1:5" x14ac:dyDescent="0.3">
      <c r="A3697" t="s">
        <v>8846</v>
      </c>
      <c r="B3697" t="s">
        <v>9035</v>
      </c>
      <c r="C3697" t="s">
        <v>467</v>
      </c>
      <c r="D3697" t="s">
        <v>9034</v>
      </c>
      <c r="E3697" t="s">
        <v>75</v>
      </c>
    </row>
    <row r="3698" spans="1:5" x14ac:dyDescent="0.3">
      <c r="A3698" t="s">
        <v>2388</v>
      </c>
      <c r="B3698" t="s">
        <v>9037</v>
      </c>
      <c r="C3698" t="s">
        <v>459</v>
      </c>
      <c r="D3698" t="s">
        <v>9036</v>
      </c>
      <c r="E3698" t="s">
        <v>75</v>
      </c>
    </row>
    <row r="3699" spans="1:5" x14ac:dyDescent="0.3">
      <c r="A3699" t="s">
        <v>772</v>
      </c>
      <c r="B3699" t="s">
        <v>9039</v>
      </c>
      <c r="C3699" t="s">
        <v>467</v>
      </c>
      <c r="D3699" t="s">
        <v>9038</v>
      </c>
      <c r="E3699" t="s">
        <v>75</v>
      </c>
    </row>
    <row r="3700" spans="1:5" x14ac:dyDescent="0.3">
      <c r="A3700" t="s">
        <v>179</v>
      </c>
      <c r="B3700" t="s">
        <v>866</v>
      </c>
      <c r="C3700" t="s">
        <v>461</v>
      </c>
      <c r="D3700" t="s">
        <v>9040</v>
      </c>
      <c r="E3700" t="s">
        <v>75</v>
      </c>
    </row>
    <row r="3701" spans="1:5" x14ac:dyDescent="0.3">
      <c r="A3701" t="s">
        <v>9042</v>
      </c>
      <c r="B3701" t="s">
        <v>7242</v>
      </c>
      <c r="C3701" t="s">
        <v>5054</v>
      </c>
      <c r="D3701" t="s">
        <v>9041</v>
      </c>
      <c r="E3701" t="s">
        <v>75</v>
      </c>
    </row>
    <row r="3702" spans="1:5" x14ac:dyDescent="0.3">
      <c r="A3702" t="s">
        <v>160</v>
      </c>
      <c r="B3702" t="s">
        <v>4033</v>
      </c>
      <c r="C3702" t="s">
        <v>467</v>
      </c>
      <c r="D3702" t="s">
        <v>9041</v>
      </c>
      <c r="E3702" t="s">
        <v>75</v>
      </c>
    </row>
    <row r="3703" spans="1:5" x14ac:dyDescent="0.3">
      <c r="A3703" t="s">
        <v>182</v>
      </c>
      <c r="B3703" t="s">
        <v>8495</v>
      </c>
      <c r="C3703" t="s">
        <v>9044</v>
      </c>
      <c r="D3703" t="s">
        <v>9043</v>
      </c>
      <c r="E3703" t="s">
        <v>75</v>
      </c>
    </row>
    <row r="3704" spans="1:5" x14ac:dyDescent="0.3">
      <c r="A3704" t="s">
        <v>9046</v>
      </c>
      <c r="B3704" t="s">
        <v>107</v>
      </c>
      <c r="C3704" t="s">
        <v>459</v>
      </c>
      <c r="D3704" t="s">
        <v>9045</v>
      </c>
      <c r="E3704" t="s">
        <v>75</v>
      </c>
    </row>
    <row r="3705" spans="1:5" x14ac:dyDescent="0.3">
      <c r="A3705" t="s">
        <v>1140</v>
      </c>
      <c r="B3705" t="s">
        <v>9048</v>
      </c>
      <c r="C3705" t="s">
        <v>467</v>
      </c>
      <c r="D3705" t="s">
        <v>9047</v>
      </c>
      <c r="E3705" t="s">
        <v>75</v>
      </c>
    </row>
    <row r="3706" spans="1:5" x14ac:dyDescent="0.3">
      <c r="A3706" t="s">
        <v>189</v>
      </c>
      <c r="B3706" t="s">
        <v>5182</v>
      </c>
      <c r="C3706" t="s">
        <v>461</v>
      </c>
      <c r="D3706" t="s">
        <v>9049</v>
      </c>
      <c r="E3706" t="s">
        <v>75</v>
      </c>
    </row>
    <row r="3707" spans="1:5" x14ac:dyDescent="0.3">
      <c r="A3707" t="s">
        <v>9051</v>
      </c>
      <c r="B3707" t="s">
        <v>2477</v>
      </c>
      <c r="C3707" t="s">
        <v>459</v>
      </c>
      <c r="D3707" t="s">
        <v>9050</v>
      </c>
      <c r="E3707" t="s">
        <v>75</v>
      </c>
    </row>
    <row r="3708" spans="1:5" x14ac:dyDescent="0.3">
      <c r="A3708" t="s">
        <v>224</v>
      </c>
      <c r="B3708" t="s">
        <v>9054</v>
      </c>
      <c r="C3708" t="s">
        <v>9053</v>
      </c>
      <c r="D3708" t="s">
        <v>9052</v>
      </c>
      <c r="E3708" t="s">
        <v>75</v>
      </c>
    </row>
    <row r="3709" spans="1:5" x14ac:dyDescent="0.3">
      <c r="A3709" t="s">
        <v>224</v>
      </c>
      <c r="B3709" t="s">
        <v>411</v>
      </c>
      <c r="C3709" t="s">
        <v>455</v>
      </c>
      <c r="D3709" t="s">
        <v>9056</v>
      </c>
      <c r="E3709" t="s">
        <v>75</v>
      </c>
    </row>
    <row r="3710" spans="1:5" x14ac:dyDescent="0.3">
      <c r="A3710" t="s">
        <v>1606</v>
      </c>
      <c r="B3710" t="s">
        <v>9059</v>
      </c>
      <c r="C3710" t="s">
        <v>460</v>
      </c>
      <c r="D3710" t="s">
        <v>9058</v>
      </c>
      <c r="E3710" t="s">
        <v>75</v>
      </c>
    </row>
    <row r="3711" spans="1:5" x14ac:dyDescent="0.3">
      <c r="A3711" t="s">
        <v>3137</v>
      </c>
      <c r="B3711" t="s">
        <v>2984</v>
      </c>
      <c r="C3711" t="s">
        <v>9061</v>
      </c>
      <c r="D3711" t="s">
        <v>9060</v>
      </c>
      <c r="E3711" t="s">
        <v>75</v>
      </c>
    </row>
    <row r="3712" spans="1:5" x14ac:dyDescent="0.3">
      <c r="A3712" t="s">
        <v>2599</v>
      </c>
      <c r="B3712" t="s">
        <v>4117</v>
      </c>
      <c r="C3712" t="s">
        <v>467</v>
      </c>
      <c r="D3712" t="s">
        <v>9062</v>
      </c>
      <c r="E3712" t="s">
        <v>75</v>
      </c>
    </row>
    <row r="3713" spans="1:5" x14ac:dyDescent="0.3">
      <c r="A3713" t="s">
        <v>38</v>
      </c>
      <c r="B3713" t="s">
        <v>4100</v>
      </c>
      <c r="C3713" t="s">
        <v>460</v>
      </c>
      <c r="D3713" t="s">
        <v>9063</v>
      </c>
      <c r="E3713" t="s">
        <v>75</v>
      </c>
    </row>
    <row r="3714" spans="1:5" x14ac:dyDescent="0.3">
      <c r="A3714" t="s">
        <v>399</v>
      </c>
      <c r="B3714" t="s">
        <v>4785</v>
      </c>
      <c r="C3714" t="s">
        <v>9065</v>
      </c>
      <c r="D3714" t="s">
        <v>9064</v>
      </c>
      <c r="E3714" t="s">
        <v>75</v>
      </c>
    </row>
    <row r="3715" spans="1:5" x14ac:dyDescent="0.3">
      <c r="A3715" t="s">
        <v>411</v>
      </c>
      <c r="B3715" t="s">
        <v>9067</v>
      </c>
      <c r="C3715" t="s">
        <v>461</v>
      </c>
      <c r="D3715" t="s">
        <v>9066</v>
      </c>
      <c r="E3715" t="s">
        <v>75</v>
      </c>
    </row>
    <row r="3716" spans="1:5" x14ac:dyDescent="0.3">
      <c r="A3716" t="s">
        <v>313</v>
      </c>
      <c r="B3716" t="s">
        <v>210</v>
      </c>
      <c r="C3716" t="s">
        <v>5858</v>
      </c>
      <c r="D3716" t="s">
        <v>9066</v>
      </c>
      <c r="E3716" t="s">
        <v>75</v>
      </c>
    </row>
    <row r="3717" spans="1:5" x14ac:dyDescent="0.3">
      <c r="A3717" t="s">
        <v>3182</v>
      </c>
      <c r="B3717" t="s">
        <v>8965</v>
      </c>
      <c r="C3717" t="s">
        <v>862</v>
      </c>
      <c r="D3717" t="s">
        <v>769</v>
      </c>
      <c r="E3717" t="s">
        <v>1</v>
      </c>
    </row>
    <row r="3718" spans="1:5" x14ac:dyDescent="0.3">
      <c r="A3718" t="s">
        <v>177</v>
      </c>
      <c r="B3718" t="s">
        <v>9068</v>
      </c>
      <c r="C3718" t="s">
        <v>461</v>
      </c>
      <c r="D3718" t="s">
        <v>9066</v>
      </c>
      <c r="E3718" t="s">
        <v>75</v>
      </c>
    </row>
    <row r="3719" spans="1:5" x14ac:dyDescent="0.3">
      <c r="A3719" t="s">
        <v>184</v>
      </c>
      <c r="B3719" t="s">
        <v>9070</v>
      </c>
      <c r="C3719" t="s">
        <v>460</v>
      </c>
      <c r="D3719" t="s">
        <v>9069</v>
      </c>
      <c r="E3719" t="s">
        <v>75</v>
      </c>
    </row>
    <row r="3720" spans="1:5" x14ac:dyDescent="0.3">
      <c r="A3720" t="s">
        <v>123</v>
      </c>
      <c r="B3720" t="s">
        <v>9072</v>
      </c>
      <c r="C3720" t="s">
        <v>467</v>
      </c>
      <c r="D3720" t="s">
        <v>9071</v>
      </c>
      <c r="E3720" t="s">
        <v>75</v>
      </c>
    </row>
    <row r="3721" spans="1:5" x14ac:dyDescent="0.3">
      <c r="A3721" t="s">
        <v>50</v>
      </c>
      <c r="B3721" t="s">
        <v>918</v>
      </c>
      <c r="C3721" t="s">
        <v>9075</v>
      </c>
      <c r="D3721" t="s">
        <v>9074</v>
      </c>
      <c r="E3721" t="s">
        <v>75</v>
      </c>
    </row>
    <row r="3722" spans="1:5" x14ac:dyDescent="0.3">
      <c r="A3722" t="s">
        <v>864</v>
      </c>
      <c r="B3722" t="s">
        <v>4479</v>
      </c>
      <c r="C3722" t="s">
        <v>457</v>
      </c>
      <c r="D3722" t="s">
        <v>9076</v>
      </c>
      <c r="E3722" t="s">
        <v>75</v>
      </c>
    </row>
    <row r="3723" spans="1:5" x14ac:dyDescent="0.3">
      <c r="A3723" t="s">
        <v>195</v>
      </c>
      <c r="B3723" t="s">
        <v>9078</v>
      </c>
      <c r="C3723" t="s">
        <v>467</v>
      </c>
      <c r="D3723" t="s">
        <v>9077</v>
      </c>
      <c r="E3723" t="s">
        <v>75</v>
      </c>
    </row>
    <row r="3724" spans="1:5" x14ac:dyDescent="0.3">
      <c r="A3724" t="s">
        <v>4142</v>
      </c>
      <c r="B3724" t="s">
        <v>9080</v>
      </c>
      <c r="C3724" t="s">
        <v>6394</v>
      </c>
      <c r="D3724" t="s">
        <v>9079</v>
      </c>
      <c r="E3724" t="s">
        <v>75</v>
      </c>
    </row>
    <row r="3725" spans="1:5" x14ac:dyDescent="0.3">
      <c r="A3725" t="s">
        <v>313</v>
      </c>
      <c r="B3725" t="s">
        <v>935</v>
      </c>
      <c r="C3725" t="s">
        <v>9083</v>
      </c>
      <c r="D3725" t="s">
        <v>9082</v>
      </c>
      <c r="E3725" t="s">
        <v>75</v>
      </c>
    </row>
    <row r="3726" spans="1:5" x14ac:dyDescent="0.3">
      <c r="A3726" t="s">
        <v>9084</v>
      </c>
      <c r="B3726" t="s">
        <v>9085</v>
      </c>
      <c r="C3726" t="s">
        <v>698</v>
      </c>
      <c r="D3726" t="s">
        <v>9079</v>
      </c>
      <c r="E3726" t="s">
        <v>75</v>
      </c>
    </row>
    <row r="3727" spans="1:5" x14ac:dyDescent="0.3">
      <c r="A3727" t="s">
        <v>1176</v>
      </c>
      <c r="B3727" t="s">
        <v>881</v>
      </c>
      <c r="C3727" t="s">
        <v>460</v>
      </c>
      <c r="D3727" t="s">
        <v>9086</v>
      </c>
      <c r="E3727" t="s">
        <v>75</v>
      </c>
    </row>
    <row r="3728" spans="1:5" x14ac:dyDescent="0.3">
      <c r="A3728" t="s">
        <v>181</v>
      </c>
      <c r="B3728" t="s">
        <v>9088</v>
      </c>
      <c r="C3728" t="s">
        <v>457</v>
      </c>
      <c r="D3728" t="s">
        <v>9087</v>
      </c>
      <c r="E3728" t="s">
        <v>75</v>
      </c>
    </row>
    <row r="3729" spans="1:5" x14ac:dyDescent="0.3">
      <c r="A3729" t="s">
        <v>445</v>
      </c>
      <c r="B3729" t="s">
        <v>269</v>
      </c>
      <c r="C3729" t="s">
        <v>467</v>
      </c>
      <c r="D3729" t="s">
        <v>9089</v>
      </c>
      <c r="E3729" t="s">
        <v>75</v>
      </c>
    </row>
    <row r="3730" spans="1:5" x14ac:dyDescent="0.3">
      <c r="A3730" t="s">
        <v>4898</v>
      </c>
      <c r="B3730" t="s">
        <v>9091</v>
      </c>
      <c r="C3730" t="s">
        <v>9090</v>
      </c>
      <c r="D3730" t="s">
        <v>9089</v>
      </c>
      <c r="E3730" t="s">
        <v>75</v>
      </c>
    </row>
    <row r="3731" spans="1:5" x14ac:dyDescent="0.3">
      <c r="A3731" t="s">
        <v>331</v>
      </c>
      <c r="B3731" t="s">
        <v>3653</v>
      </c>
      <c r="C3731" t="s">
        <v>459</v>
      </c>
      <c r="D3731" t="s">
        <v>9092</v>
      </c>
      <c r="E3731" t="s">
        <v>75</v>
      </c>
    </row>
    <row r="3732" spans="1:5" x14ac:dyDescent="0.3">
      <c r="A3732" t="s">
        <v>1283</v>
      </c>
      <c r="B3732" t="s">
        <v>7676</v>
      </c>
      <c r="C3732" t="s">
        <v>9094</v>
      </c>
      <c r="D3732" t="s">
        <v>9093</v>
      </c>
      <c r="E3732" t="s">
        <v>75</v>
      </c>
    </row>
    <row r="3733" spans="1:5" x14ac:dyDescent="0.3">
      <c r="A3733" t="s">
        <v>4978</v>
      </c>
      <c r="B3733" t="s">
        <v>9095</v>
      </c>
      <c r="C3733" t="s">
        <v>457</v>
      </c>
      <c r="D3733" t="s">
        <v>9079</v>
      </c>
      <c r="E3733" t="s">
        <v>75</v>
      </c>
    </row>
    <row r="3734" spans="1:5" x14ac:dyDescent="0.3">
      <c r="A3734" t="s">
        <v>116</v>
      </c>
      <c r="B3734" t="s">
        <v>6968</v>
      </c>
      <c r="C3734" t="s">
        <v>467</v>
      </c>
      <c r="D3734" t="s">
        <v>9096</v>
      </c>
      <c r="E3734" t="s">
        <v>75</v>
      </c>
    </row>
    <row r="3735" spans="1:5" x14ac:dyDescent="0.3">
      <c r="A3735" t="s">
        <v>183</v>
      </c>
      <c r="B3735" t="s">
        <v>1055</v>
      </c>
      <c r="C3735" t="s">
        <v>461</v>
      </c>
      <c r="D3735" t="s">
        <v>9097</v>
      </c>
      <c r="E3735" t="s">
        <v>75</v>
      </c>
    </row>
    <row r="3736" spans="1:5" x14ac:dyDescent="0.3">
      <c r="A3736" t="s">
        <v>112</v>
      </c>
      <c r="B3736" t="s">
        <v>3572</v>
      </c>
      <c r="C3736" t="s">
        <v>467</v>
      </c>
      <c r="D3736" t="s">
        <v>9098</v>
      </c>
      <c r="E3736" t="s">
        <v>75</v>
      </c>
    </row>
    <row r="3737" spans="1:5" x14ac:dyDescent="0.3">
      <c r="A3737" t="s">
        <v>35</v>
      </c>
      <c r="B3737" t="s">
        <v>2208</v>
      </c>
      <c r="C3737" t="s">
        <v>467</v>
      </c>
      <c r="D3737" t="s">
        <v>9100</v>
      </c>
      <c r="E3737" t="s">
        <v>75</v>
      </c>
    </row>
    <row r="3738" spans="1:5" x14ac:dyDescent="0.3">
      <c r="A3738" t="s">
        <v>160</v>
      </c>
      <c r="B3738" t="s">
        <v>5741</v>
      </c>
      <c r="C3738" t="s">
        <v>460</v>
      </c>
      <c r="D3738" t="s">
        <v>9102</v>
      </c>
      <c r="E3738" t="s">
        <v>75</v>
      </c>
    </row>
    <row r="3739" spans="1:5" x14ac:dyDescent="0.3">
      <c r="A3739" t="s">
        <v>50</v>
      </c>
      <c r="B3739" t="s">
        <v>9104</v>
      </c>
      <c r="C3739" t="s">
        <v>467</v>
      </c>
      <c r="D3739" t="s">
        <v>9103</v>
      </c>
      <c r="E3739" t="s">
        <v>75</v>
      </c>
    </row>
    <row r="3740" spans="1:5" x14ac:dyDescent="0.3">
      <c r="A3740" t="s">
        <v>132</v>
      </c>
      <c r="B3740" t="s">
        <v>1824</v>
      </c>
      <c r="C3740" t="s">
        <v>455</v>
      </c>
      <c r="D3740" t="s">
        <v>9105</v>
      </c>
      <c r="E3740" t="s">
        <v>75</v>
      </c>
    </row>
    <row r="3741" spans="1:5" x14ac:dyDescent="0.3">
      <c r="A3741" t="s">
        <v>224</v>
      </c>
      <c r="B3741" t="s">
        <v>9107</v>
      </c>
      <c r="C3741" t="s">
        <v>460</v>
      </c>
      <c r="D3741" t="s">
        <v>9106</v>
      </c>
      <c r="E3741" t="s">
        <v>75</v>
      </c>
    </row>
    <row r="3742" spans="1:5" x14ac:dyDescent="0.3">
      <c r="A3742" t="s">
        <v>1414</v>
      </c>
      <c r="B3742" t="s">
        <v>4118</v>
      </c>
      <c r="C3742" t="s">
        <v>467</v>
      </c>
      <c r="D3742" t="s">
        <v>9108</v>
      </c>
      <c r="E3742" t="s">
        <v>75</v>
      </c>
    </row>
    <row r="3743" spans="1:5" x14ac:dyDescent="0.3">
      <c r="A3743" t="s">
        <v>9110</v>
      </c>
      <c r="B3743" t="s">
        <v>9111</v>
      </c>
      <c r="C3743" t="s">
        <v>459</v>
      </c>
      <c r="D3743" t="s">
        <v>9109</v>
      </c>
      <c r="E3743" t="s">
        <v>75</v>
      </c>
    </row>
    <row r="3744" spans="1:5" x14ac:dyDescent="0.3">
      <c r="A3744" t="s">
        <v>326</v>
      </c>
      <c r="B3744" t="s">
        <v>9112</v>
      </c>
      <c r="C3744" t="s">
        <v>862</v>
      </c>
      <c r="D3744" t="s">
        <v>9109</v>
      </c>
      <c r="E3744" t="s">
        <v>75</v>
      </c>
    </row>
    <row r="3745" spans="1:5" x14ac:dyDescent="0.3">
      <c r="A3745" t="s">
        <v>251</v>
      </c>
      <c r="B3745" t="s">
        <v>9114</v>
      </c>
      <c r="C3745" t="s">
        <v>9113</v>
      </c>
      <c r="D3745" t="s">
        <v>9109</v>
      </c>
      <c r="E3745" t="s">
        <v>75</v>
      </c>
    </row>
    <row r="3746" spans="1:5" x14ac:dyDescent="0.3">
      <c r="A3746" t="s">
        <v>298</v>
      </c>
      <c r="B3746" t="s">
        <v>9118</v>
      </c>
      <c r="C3746" t="s">
        <v>467</v>
      </c>
      <c r="D3746" t="s">
        <v>9117</v>
      </c>
      <c r="E3746" t="s">
        <v>75</v>
      </c>
    </row>
    <row r="3747" spans="1:5" x14ac:dyDescent="0.3">
      <c r="A3747" t="s">
        <v>1044</v>
      </c>
      <c r="B3747" t="s">
        <v>1170</v>
      </c>
      <c r="C3747" t="s">
        <v>459</v>
      </c>
      <c r="D3747" t="s">
        <v>9119</v>
      </c>
      <c r="E3747" t="s">
        <v>75</v>
      </c>
    </row>
    <row r="3748" spans="1:5" x14ac:dyDescent="0.3">
      <c r="A3748" t="s">
        <v>150</v>
      </c>
      <c r="B3748" t="s">
        <v>9121</v>
      </c>
      <c r="C3748" t="s">
        <v>457</v>
      </c>
      <c r="D3748" t="s">
        <v>9120</v>
      </c>
      <c r="E3748" t="s">
        <v>75</v>
      </c>
    </row>
    <row r="3749" spans="1:5" x14ac:dyDescent="0.3">
      <c r="A3749" t="s">
        <v>3327</v>
      </c>
      <c r="B3749" t="s">
        <v>9123</v>
      </c>
      <c r="C3749" t="s">
        <v>461</v>
      </c>
      <c r="D3749" t="s">
        <v>9122</v>
      </c>
      <c r="E3749" t="s">
        <v>75</v>
      </c>
    </row>
    <row r="3750" spans="1:5" x14ac:dyDescent="0.3">
      <c r="A3750" t="s">
        <v>50</v>
      </c>
      <c r="B3750" t="s">
        <v>9125</v>
      </c>
      <c r="C3750" t="s">
        <v>459</v>
      </c>
      <c r="D3750" t="s">
        <v>9124</v>
      </c>
      <c r="E3750" t="s">
        <v>75</v>
      </c>
    </row>
    <row r="3751" spans="1:5" x14ac:dyDescent="0.3">
      <c r="A3751" t="s">
        <v>1489</v>
      </c>
      <c r="B3751" t="s">
        <v>740</v>
      </c>
      <c r="C3751" t="s">
        <v>460</v>
      </c>
      <c r="D3751" t="s">
        <v>9126</v>
      </c>
      <c r="E3751" t="s">
        <v>75</v>
      </c>
    </row>
    <row r="3752" spans="1:5" x14ac:dyDescent="0.3">
      <c r="A3752" t="s">
        <v>2373</v>
      </c>
      <c r="B3752" t="s">
        <v>52</v>
      </c>
      <c r="C3752" t="s">
        <v>467</v>
      </c>
      <c r="D3752" t="s">
        <v>9127</v>
      </c>
      <c r="E3752" t="s">
        <v>75</v>
      </c>
    </row>
    <row r="3753" spans="1:5" x14ac:dyDescent="0.3">
      <c r="A3753" t="s">
        <v>313</v>
      </c>
      <c r="B3753" t="s">
        <v>1244</v>
      </c>
      <c r="C3753" t="s">
        <v>461</v>
      </c>
      <c r="D3753" t="s">
        <v>9128</v>
      </c>
      <c r="E3753" t="s">
        <v>75</v>
      </c>
    </row>
    <row r="3754" spans="1:5" x14ac:dyDescent="0.3">
      <c r="A3754" t="s">
        <v>5382</v>
      </c>
      <c r="B3754" t="s">
        <v>5776</v>
      </c>
      <c r="C3754" t="s">
        <v>7619</v>
      </c>
      <c r="D3754" t="s">
        <v>9131</v>
      </c>
      <c r="E3754" t="s">
        <v>75</v>
      </c>
    </row>
    <row r="3755" spans="1:5" x14ac:dyDescent="0.3">
      <c r="A3755" t="s">
        <v>1169</v>
      </c>
      <c r="B3755" t="s">
        <v>9133</v>
      </c>
      <c r="C3755" t="s">
        <v>455</v>
      </c>
      <c r="D3755" t="s">
        <v>9132</v>
      </c>
      <c r="E3755" t="s">
        <v>75</v>
      </c>
    </row>
    <row r="3756" spans="1:5" x14ac:dyDescent="0.3">
      <c r="A3756" t="s">
        <v>3664</v>
      </c>
      <c r="B3756" t="s">
        <v>9136</v>
      </c>
      <c r="C3756" t="s">
        <v>9135</v>
      </c>
      <c r="D3756" t="s">
        <v>9134</v>
      </c>
      <c r="E3756" t="s">
        <v>75</v>
      </c>
    </row>
    <row r="3757" spans="1:5" x14ac:dyDescent="0.3">
      <c r="A3757" t="s">
        <v>65</v>
      </c>
      <c r="B3757" t="s">
        <v>9137</v>
      </c>
      <c r="C3757" t="s">
        <v>461</v>
      </c>
      <c r="D3757" t="s">
        <v>9134</v>
      </c>
      <c r="E3757" t="s">
        <v>75</v>
      </c>
    </row>
    <row r="3758" spans="1:5" x14ac:dyDescent="0.3">
      <c r="A3758" t="s">
        <v>116</v>
      </c>
      <c r="B3758" t="s">
        <v>1065</v>
      </c>
      <c r="C3758" t="s">
        <v>461</v>
      </c>
      <c r="D3758" t="s">
        <v>9138</v>
      </c>
      <c r="E3758" t="s">
        <v>13062</v>
      </c>
    </row>
    <row r="3759" spans="1:5" x14ac:dyDescent="0.3">
      <c r="A3759" t="s">
        <v>55</v>
      </c>
      <c r="B3759" t="s">
        <v>9140</v>
      </c>
      <c r="C3759" t="s">
        <v>461</v>
      </c>
      <c r="D3759" t="s">
        <v>9139</v>
      </c>
      <c r="E3759" t="s">
        <v>13062</v>
      </c>
    </row>
    <row r="3760" spans="1:5" x14ac:dyDescent="0.3">
      <c r="A3760" t="s">
        <v>9143</v>
      </c>
      <c r="B3760" t="s">
        <v>7181</v>
      </c>
      <c r="C3760" t="s">
        <v>460</v>
      </c>
      <c r="D3760" t="s">
        <v>9142</v>
      </c>
      <c r="E3760" t="s">
        <v>75</v>
      </c>
    </row>
    <row r="3761" spans="1:5" x14ac:dyDescent="0.3">
      <c r="A3761" t="s">
        <v>9144</v>
      </c>
      <c r="B3761" t="s">
        <v>9145</v>
      </c>
      <c r="C3761" t="s">
        <v>467</v>
      </c>
      <c r="D3761" t="s">
        <v>9142</v>
      </c>
      <c r="E3761" t="s">
        <v>75</v>
      </c>
    </row>
    <row r="3762" spans="1:5" x14ac:dyDescent="0.3">
      <c r="A3762" t="s">
        <v>3069</v>
      </c>
      <c r="B3762" t="s">
        <v>9148</v>
      </c>
      <c r="C3762" t="s">
        <v>9147</v>
      </c>
      <c r="D3762" t="s">
        <v>9146</v>
      </c>
      <c r="E3762" t="s">
        <v>75</v>
      </c>
    </row>
    <row r="3763" spans="1:5" x14ac:dyDescent="0.3">
      <c r="A3763" t="s">
        <v>1656</v>
      </c>
      <c r="B3763" t="s">
        <v>97</v>
      </c>
      <c r="C3763" t="s">
        <v>467</v>
      </c>
      <c r="D3763" t="s">
        <v>9149</v>
      </c>
      <c r="E3763" t="s">
        <v>75</v>
      </c>
    </row>
    <row r="3764" spans="1:5" x14ac:dyDescent="0.3">
      <c r="A3764" t="s">
        <v>105</v>
      </c>
      <c r="B3764" t="s">
        <v>9151</v>
      </c>
      <c r="C3764" t="s">
        <v>3555</v>
      </c>
      <c r="D3764" t="s">
        <v>9150</v>
      </c>
      <c r="E3764" t="s">
        <v>75</v>
      </c>
    </row>
    <row r="3765" spans="1:5" x14ac:dyDescent="0.3">
      <c r="A3765" t="s">
        <v>146</v>
      </c>
      <c r="B3765" t="s">
        <v>6135</v>
      </c>
      <c r="C3765" t="s">
        <v>467</v>
      </c>
      <c r="D3765" t="s">
        <v>9152</v>
      </c>
      <c r="E3765" t="s">
        <v>75</v>
      </c>
    </row>
    <row r="3766" spans="1:5" x14ac:dyDescent="0.3">
      <c r="A3766" t="s">
        <v>3196</v>
      </c>
      <c r="B3766" t="s">
        <v>9154</v>
      </c>
      <c r="C3766" t="s">
        <v>457</v>
      </c>
      <c r="D3766" t="s">
        <v>9153</v>
      </c>
      <c r="E3766" t="s">
        <v>75</v>
      </c>
    </row>
    <row r="3767" spans="1:5" x14ac:dyDescent="0.3">
      <c r="A3767" t="s">
        <v>259</v>
      </c>
      <c r="B3767" t="s">
        <v>8209</v>
      </c>
      <c r="C3767" t="s">
        <v>460</v>
      </c>
      <c r="D3767" t="s">
        <v>9155</v>
      </c>
      <c r="E3767" t="s">
        <v>75</v>
      </c>
    </row>
    <row r="3768" spans="1:5" x14ac:dyDescent="0.3">
      <c r="A3768" t="s">
        <v>271</v>
      </c>
      <c r="B3768" t="s">
        <v>6158</v>
      </c>
      <c r="C3768" t="s">
        <v>467</v>
      </c>
      <c r="D3768" t="s">
        <v>9155</v>
      </c>
      <c r="E3768" t="s">
        <v>75</v>
      </c>
    </row>
    <row r="3769" spans="1:5" x14ac:dyDescent="0.3">
      <c r="A3769" t="s">
        <v>9157</v>
      </c>
      <c r="B3769" t="s">
        <v>9158</v>
      </c>
      <c r="C3769" t="s">
        <v>461</v>
      </c>
      <c r="D3769" t="s">
        <v>9156</v>
      </c>
      <c r="E3769" t="s">
        <v>75</v>
      </c>
    </row>
    <row r="3770" spans="1:5" x14ac:dyDescent="0.3">
      <c r="A3770" t="s">
        <v>41</v>
      </c>
      <c r="B3770" t="s">
        <v>2494</v>
      </c>
      <c r="C3770" t="s">
        <v>461</v>
      </c>
      <c r="D3770" t="s">
        <v>9159</v>
      </c>
      <c r="E3770" t="s">
        <v>75</v>
      </c>
    </row>
    <row r="3771" spans="1:5" x14ac:dyDescent="0.3">
      <c r="A3771" t="s">
        <v>313</v>
      </c>
      <c r="B3771" t="s">
        <v>9161</v>
      </c>
      <c r="C3771" t="s">
        <v>455</v>
      </c>
      <c r="D3771" t="s">
        <v>9160</v>
      </c>
      <c r="E3771" t="s">
        <v>75</v>
      </c>
    </row>
    <row r="3772" spans="1:5" x14ac:dyDescent="0.3">
      <c r="A3772" t="s">
        <v>230</v>
      </c>
      <c r="B3772" t="s">
        <v>182</v>
      </c>
      <c r="C3772" t="s">
        <v>9163</v>
      </c>
      <c r="D3772" t="s">
        <v>9162</v>
      </c>
      <c r="E3772" t="s">
        <v>75</v>
      </c>
    </row>
    <row r="3773" spans="1:5" x14ac:dyDescent="0.3">
      <c r="A3773" t="s">
        <v>3320</v>
      </c>
      <c r="B3773" t="s">
        <v>9165</v>
      </c>
      <c r="C3773" t="s">
        <v>467</v>
      </c>
      <c r="D3773" t="s">
        <v>9164</v>
      </c>
      <c r="E3773" t="s">
        <v>2175</v>
      </c>
    </row>
    <row r="3774" spans="1:5" x14ac:dyDescent="0.3">
      <c r="A3774" t="s">
        <v>290</v>
      </c>
      <c r="B3774" t="s">
        <v>9165</v>
      </c>
      <c r="C3774" t="s">
        <v>467</v>
      </c>
      <c r="D3774" t="s">
        <v>9164</v>
      </c>
      <c r="E3774" t="s">
        <v>2175</v>
      </c>
    </row>
    <row r="3775" spans="1:5" x14ac:dyDescent="0.3">
      <c r="A3775" t="s">
        <v>9166</v>
      </c>
      <c r="B3775" t="s">
        <v>8336</v>
      </c>
      <c r="C3775" t="s">
        <v>9167</v>
      </c>
      <c r="D3775" t="s">
        <v>9164</v>
      </c>
      <c r="E3775" t="s">
        <v>2175</v>
      </c>
    </row>
    <row r="3776" spans="1:5" x14ac:dyDescent="0.3">
      <c r="A3776" t="s">
        <v>150</v>
      </c>
      <c r="B3776" t="s">
        <v>3596</v>
      </c>
      <c r="C3776" t="s">
        <v>460</v>
      </c>
      <c r="D3776" t="s">
        <v>9164</v>
      </c>
      <c r="E3776" t="s">
        <v>2175</v>
      </c>
    </row>
    <row r="3777" spans="1:5" x14ac:dyDescent="0.3">
      <c r="A3777" t="s">
        <v>298</v>
      </c>
      <c r="B3777" t="s">
        <v>9168</v>
      </c>
      <c r="C3777" t="s">
        <v>459</v>
      </c>
      <c r="D3777" t="s">
        <v>9164</v>
      </c>
      <c r="E3777" t="s">
        <v>2175</v>
      </c>
    </row>
    <row r="3778" spans="1:5" x14ac:dyDescent="0.3">
      <c r="A3778" t="s">
        <v>9171</v>
      </c>
      <c r="B3778" t="s">
        <v>6115</v>
      </c>
      <c r="C3778" t="s">
        <v>461</v>
      </c>
      <c r="D3778" t="s">
        <v>9170</v>
      </c>
      <c r="E3778" t="s">
        <v>75</v>
      </c>
    </row>
    <row r="3779" spans="1:5" x14ac:dyDescent="0.3">
      <c r="A3779" t="s">
        <v>1410</v>
      </c>
      <c r="B3779" t="s">
        <v>9173</v>
      </c>
      <c r="C3779" t="s">
        <v>5366</v>
      </c>
      <c r="D3779" t="s">
        <v>9172</v>
      </c>
      <c r="E3779" t="s">
        <v>75</v>
      </c>
    </row>
    <row r="3780" spans="1:5" x14ac:dyDescent="0.3">
      <c r="A3780" t="s">
        <v>3790</v>
      </c>
      <c r="B3780" t="s">
        <v>4856</v>
      </c>
      <c r="C3780" t="s">
        <v>459</v>
      </c>
      <c r="D3780" t="s">
        <v>9174</v>
      </c>
      <c r="E3780" t="s">
        <v>75</v>
      </c>
    </row>
    <row r="3781" spans="1:5" x14ac:dyDescent="0.3">
      <c r="A3781" t="s">
        <v>224</v>
      </c>
      <c r="B3781" t="s">
        <v>9176</v>
      </c>
      <c r="C3781" t="s">
        <v>461</v>
      </c>
      <c r="D3781" t="s">
        <v>9175</v>
      </c>
      <c r="E3781" t="s">
        <v>75</v>
      </c>
    </row>
    <row r="3782" spans="1:5" x14ac:dyDescent="0.3">
      <c r="A3782" t="s">
        <v>828</v>
      </c>
      <c r="B3782" t="s">
        <v>9179</v>
      </c>
      <c r="C3782" t="s">
        <v>9178</v>
      </c>
      <c r="D3782" t="s">
        <v>3743</v>
      </c>
      <c r="E3782" t="s">
        <v>841</v>
      </c>
    </row>
    <row r="3783" spans="1:5" x14ac:dyDescent="0.3">
      <c r="A3783" t="s">
        <v>2785</v>
      </c>
      <c r="B3783" t="s">
        <v>4716</v>
      </c>
      <c r="C3783" t="s">
        <v>5054</v>
      </c>
      <c r="D3783" t="s">
        <v>9177</v>
      </c>
      <c r="E3783" t="s">
        <v>75</v>
      </c>
    </row>
    <row r="3784" spans="1:5" x14ac:dyDescent="0.3">
      <c r="A3784" t="s">
        <v>311</v>
      </c>
      <c r="B3784" t="s">
        <v>9181</v>
      </c>
      <c r="C3784" t="s">
        <v>9180</v>
      </c>
      <c r="D3784" t="s">
        <v>9177</v>
      </c>
      <c r="E3784" t="s">
        <v>75</v>
      </c>
    </row>
    <row r="3785" spans="1:5" x14ac:dyDescent="0.3">
      <c r="A3785" t="s">
        <v>1534</v>
      </c>
      <c r="B3785" t="s">
        <v>3212</v>
      </c>
      <c r="C3785" t="s">
        <v>467</v>
      </c>
      <c r="D3785" t="s">
        <v>9182</v>
      </c>
      <c r="E3785" t="s">
        <v>75</v>
      </c>
    </row>
    <row r="3786" spans="1:5" x14ac:dyDescent="0.3">
      <c r="A3786" t="s">
        <v>9183</v>
      </c>
      <c r="B3786" t="s">
        <v>2394</v>
      </c>
      <c r="C3786" t="s">
        <v>9184</v>
      </c>
      <c r="D3786" t="s">
        <v>9182</v>
      </c>
      <c r="E3786" t="s">
        <v>75</v>
      </c>
    </row>
    <row r="3787" spans="1:5" x14ac:dyDescent="0.3">
      <c r="A3787" t="s">
        <v>314</v>
      </c>
      <c r="B3787" t="s">
        <v>67</v>
      </c>
      <c r="C3787" t="s">
        <v>2571</v>
      </c>
      <c r="D3787" t="s">
        <v>751</v>
      </c>
      <c r="E3787" t="s">
        <v>1</v>
      </c>
    </row>
    <row r="3788" spans="1:5" x14ac:dyDescent="0.3">
      <c r="A3788" t="s">
        <v>3208</v>
      </c>
      <c r="B3788" t="s">
        <v>4664</v>
      </c>
      <c r="C3788" t="s">
        <v>461</v>
      </c>
      <c r="D3788" t="s">
        <v>9185</v>
      </c>
      <c r="E3788" t="s">
        <v>75</v>
      </c>
    </row>
    <row r="3789" spans="1:5" x14ac:dyDescent="0.3">
      <c r="A3789" t="s">
        <v>116</v>
      </c>
      <c r="B3789" t="s">
        <v>117</v>
      </c>
      <c r="C3789" t="s">
        <v>118</v>
      </c>
      <c r="D3789" t="s">
        <v>9186</v>
      </c>
      <c r="E3789" t="s">
        <v>75</v>
      </c>
    </row>
    <row r="3790" spans="1:5" x14ac:dyDescent="0.3">
      <c r="A3790" t="s">
        <v>1334</v>
      </c>
      <c r="B3790" t="s">
        <v>1976</v>
      </c>
      <c r="C3790" t="s">
        <v>467</v>
      </c>
      <c r="D3790" t="s">
        <v>9187</v>
      </c>
      <c r="E3790" t="s">
        <v>75</v>
      </c>
    </row>
    <row r="3791" spans="1:5" x14ac:dyDescent="0.3">
      <c r="A3791" t="s">
        <v>1212</v>
      </c>
      <c r="B3791" t="s">
        <v>7610</v>
      </c>
      <c r="C3791" t="s">
        <v>467</v>
      </c>
      <c r="D3791" t="s">
        <v>9188</v>
      </c>
      <c r="E3791" t="s">
        <v>75</v>
      </c>
    </row>
    <row r="3792" spans="1:5" x14ac:dyDescent="0.3">
      <c r="A3792" t="s">
        <v>224</v>
      </c>
      <c r="B3792" t="s">
        <v>9189</v>
      </c>
      <c r="C3792" t="s">
        <v>460</v>
      </c>
      <c r="D3792" t="s">
        <v>9188</v>
      </c>
      <c r="E3792" t="s">
        <v>75</v>
      </c>
    </row>
    <row r="3793" spans="1:5" x14ac:dyDescent="0.3">
      <c r="A3793" t="s">
        <v>4145</v>
      </c>
      <c r="B3793" t="s">
        <v>9192</v>
      </c>
      <c r="C3793" t="s">
        <v>451</v>
      </c>
      <c r="D3793" t="s">
        <v>9191</v>
      </c>
      <c r="E3793" t="s">
        <v>75</v>
      </c>
    </row>
    <row r="3794" spans="1:5" x14ac:dyDescent="0.3">
      <c r="A3794" t="s">
        <v>14</v>
      </c>
      <c r="B3794" t="s">
        <v>207</v>
      </c>
      <c r="C3794" t="s">
        <v>467</v>
      </c>
      <c r="D3794" t="s">
        <v>9193</v>
      </c>
      <c r="E3794" t="s">
        <v>75</v>
      </c>
    </row>
    <row r="3795" spans="1:5" x14ac:dyDescent="0.3">
      <c r="A3795" t="s">
        <v>298</v>
      </c>
      <c r="B3795" t="s">
        <v>9196</v>
      </c>
      <c r="C3795" t="s">
        <v>9195</v>
      </c>
      <c r="D3795" t="s">
        <v>9194</v>
      </c>
      <c r="E3795" t="s">
        <v>743</v>
      </c>
    </row>
    <row r="3796" spans="1:5" x14ac:dyDescent="0.3">
      <c r="A3796" t="s">
        <v>1195</v>
      </c>
      <c r="B3796" t="s">
        <v>2601</v>
      </c>
      <c r="C3796" t="s">
        <v>9198</v>
      </c>
      <c r="D3796" t="s">
        <v>9197</v>
      </c>
      <c r="E3796" t="s">
        <v>75</v>
      </c>
    </row>
    <row r="3797" spans="1:5" x14ac:dyDescent="0.3">
      <c r="A3797" t="s">
        <v>190</v>
      </c>
      <c r="B3797" t="s">
        <v>7284</v>
      </c>
      <c r="C3797" t="s">
        <v>461</v>
      </c>
      <c r="D3797" t="s">
        <v>9199</v>
      </c>
      <c r="E3797" t="s">
        <v>75</v>
      </c>
    </row>
    <row r="3798" spans="1:5" x14ac:dyDescent="0.3">
      <c r="A3798" t="s">
        <v>875</v>
      </c>
      <c r="B3798" t="s">
        <v>9201</v>
      </c>
      <c r="C3798" t="s">
        <v>461</v>
      </c>
      <c r="D3798" t="s">
        <v>9200</v>
      </c>
      <c r="E3798" t="s">
        <v>75</v>
      </c>
    </row>
    <row r="3799" spans="1:5" x14ac:dyDescent="0.3">
      <c r="A3799" t="s">
        <v>79</v>
      </c>
      <c r="B3799" t="s">
        <v>9206</v>
      </c>
      <c r="C3799" t="s">
        <v>467</v>
      </c>
      <c r="D3799" t="s">
        <v>9204</v>
      </c>
      <c r="E3799" t="s">
        <v>75</v>
      </c>
    </row>
    <row r="3800" spans="1:5" x14ac:dyDescent="0.3">
      <c r="A3800" t="s">
        <v>79</v>
      </c>
      <c r="B3800" t="s">
        <v>2627</v>
      </c>
      <c r="C3800" t="s">
        <v>460</v>
      </c>
      <c r="D3800" t="s">
        <v>9207</v>
      </c>
      <c r="E3800" t="s">
        <v>75</v>
      </c>
    </row>
    <row r="3801" spans="1:5" x14ac:dyDescent="0.3">
      <c r="A3801" t="s">
        <v>305</v>
      </c>
      <c r="B3801" t="s">
        <v>210</v>
      </c>
      <c r="C3801" t="s">
        <v>467</v>
      </c>
      <c r="D3801" t="s">
        <v>9208</v>
      </c>
      <c r="E3801" t="s">
        <v>75</v>
      </c>
    </row>
    <row r="3802" spans="1:5" x14ac:dyDescent="0.3">
      <c r="A3802" t="s">
        <v>195</v>
      </c>
      <c r="B3802" t="s">
        <v>9209</v>
      </c>
      <c r="C3802" t="s">
        <v>467</v>
      </c>
    </row>
    <row r="3803" spans="1:5" x14ac:dyDescent="0.3">
      <c r="A3803" t="s">
        <v>331</v>
      </c>
      <c r="B3803" t="s">
        <v>4229</v>
      </c>
      <c r="C3803" t="s">
        <v>862</v>
      </c>
      <c r="D3803" t="s">
        <v>751</v>
      </c>
      <c r="E3803" t="s">
        <v>1</v>
      </c>
    </row>
    <row r="3804" spans="1:5" x14ac:dyDescent="0.3">
      <c r="A3804" t="s">
        <v>132</v>
      </c>
      <c r="B3804" t="s">
        <v>107</v>
      </c>
      <c r="C3804" t="s">
        <v>461</v>
      </c>
      <c r="D3804" t="s">
        <v>9210</v>
      </c>
      <c r="E3804" t="s">
        <v>75</v>
      </c>
    </row>
    <row r="3805" spans="1:5" x14ac:dyDescent="0.3">
      <c r="A3805" t="s">
        <v>1471</v>
      </c>
      <c r="B3805" t="s">
        <v>3263</v>
      </c>
      <c r="C3805" t="s">
        <v>467</v>
      </c>
      <c r="D3805" t="s">
        <v>9211</v>
      </c>
      <c r="E3805" t="s">
        <v>75</v>
      </c>
    </row>
    <row r="3806" spans="1:5" x14ac:dyDescent="0.3">
      <c r="A3806" t="s">
        <v>82</v>
      </c>
      <c r="B3806" t="s">
        <v>9213</v>
      </c>
      <c r="C3806" t="s">
        <v>460</v>
      </c>
      <c r="D3806" t="s">
        <v>9212</v>
      </c>
      <c r="E3806" t="s">
        <v>75</v>
      </c>
    </row>
    <row r="3807" spans="1:5" x14ac:dyDescent="0.3">
      <c r="A3807" t="s">
        <v>190</v>
      </c>
      <c r="B3807" t="s">
        <v>4444</v>
      </c>
      <c r="C3807" t="s">
        <v>9214</v>
      </c>
      <c r="D3807" t="s">
        <v>751</v>
      </c>
      <c r="E3807" t="s">
        <v>1</v>
      </c>
    </row>
    <row r="3808" spans="1:5" x14ac:dyDescent="0.3">
      <c r="A3808" t="s">
        <v>161</v>
      </c>
      <c r="B3808" t="s">
        <v>1025</v>
      </c>
      <c r="C3808" t="s">
        <v>9217</v>
      </c>
      <c r="D3808" t="s">
        <v>9215</v>
      </c>
      <c r="E3808" t="s">
        <v>75</v>
      </c>
    </row>
    <row r="3809" spans="1:5" x14ac:dyDescent="0.3">
      <c r="A3809" t="s">
        <v>2833</v>
      </c>
      <c r="B3809" t="s">
        <v>4201</v>
      </c>
      <c r="C3809" t="s">
        <v>9218</v>
      </c>
      <c r="D3809" t="s">
        <v>2805</v>
      </c>
      <c r="E3809" t="s">
        <v>774</v>
      </c>
    </row>
    <row r="3810" spans="1:5" x14ac:dyDescent="0.3">
      <c r="A3810" t="s">
        <v>335</v>
      </c>
      <c r="B3810" t="s">
        <v>9219</v>
      </c>
      <c r="C3810" t="s">
        <v>461</v>
      </c>
      <c r="D3810" t="s">
        <v>2805</v>
      </c>
      <c r="E3810" t="s">
        <v>774</v>
      </c>
    </row>
    <row r="3811" spans="1:5" x14ac:dyDescent="0.3">
      <c r="A3811" t="s">
        <v>50</v>
      </c>
      <c r="B3811" t="s">
        <v>992</v>
      </c>
      <c r="C3811" t="s">
        <v>467</v>
      </c>
      <c r="D3811" t="s">
        <v>2805</v>
      </c>
      <c r="E3811" t="s">
        <v>774</v>
      </c>
    </row>
    <row r="3812" spans="1:5" x14ac:dyDescent="0.3">
      <c r="A3812" t="s">
        <v>56</v>
      </c>
      <c r="B3812" t="s">
        <v>9220</v>
      </c>
      <c r="C3812" t="s">
        <v>461</v>
      </c>
      <c r="D3812" t="s">
        <v>2805</v>
      </c>
      <c r="E3812" t="s">
        <v>774</v>
      </c>
    </row>
    <row r="3813" spans="1:5" x14ac:dyDescent="0.3">
      <c r="A3813" t="s">
        <v>1433</v>
      </c>
      <c r="B3813" t="s">
        <v>9221</v>
      </c>
      <c r="C3813" t="s">
        <v>461</v>
      </c>
      <c r="D3813" t="s">
        <v>2805</v>
      </c>
      <c r="E3813" t="s">
        <v>774</v>
      </c>
    </row>
    <row r="3814" spans="1:5" x14ac:dyDescent="0.3">
      <c r="A3814" t="s">
        <v>271</v>
      </c>
      <c r="B3814" t="s">
        <v>1538</v>
      </c>
      <c r="C3814" t="s">
        <v>467</v>
      </c>
      <c r="D3814" t="s">
        <v>9222</v>
      </c>
      <c r="E3814" t="s">
        <v>75</v>
      </c>
    </row>
    <row r="3815" spans="1:5" x14ac:dyDescent="0.3">
      <c r="A3815" t="s">
        <v>2599</v>
      </c>
      <c r="B3815" t="s">
        <v>4347</v>
      </c>
      <c r="C3815" t="s">
        <v>459</v>
      </c>
      <c r="D3815" t="s">
        <v>9223</v>
      </c>
      <c r="E3815" t="s">
        <v>75</v>
      </c>
    </row>
    <row r="3816" spans="1:5" x14ac:dyDescent="0.3">
      <c r="A3816" t="s">
        <v>404</v>
      </c>
      <c r="B3816" t="s">
        <v>9226</v>
      </c>
      <c r="C3816" t="s">
        <v>9225</v>
      </c>
      <c r="D3816" t="s">
        <v>9224</v>
      </c>
      <c r="E3816" t="s">
        <v>75</v>
      </c>
    </row>
    <row r="3817" spans="1:5" x14ac:dyDescent="0.3">
      <c r="A3817" t="s">
        <v>195</v>
      </c>
      <c r="B3817" t="s">
        <v>9229</v>
      </c>
      <c r="C3817" t="s">
        <v>9228</v>
      </c>
      <c r="D3817" t="s">
        <v>9227</v>
      </c>
      <c r="E3817" t="s">
        <v>75</v>
      </c>
    </row>
    <row r="3818" spans="1:5" x14ac:dyDescent="0.3">
      <c r="A3818" t="s">
        <v>5332</v>
      </c>
      <c r="B3818" t="s">
        <v>9232</v>
      </c>
      <c r="C3818" t="s">
        <v>9231</v>
      </c>
      <c r="D3818" t="s">
        <v>9230</v>
      </c>
      <c r="E3818" t="s">
        <v>75</v>
      </c>
    </row>
    <row r="3819" spans="1:5" x14ac:dyDescent="0.3">
      <c r="A3819" t="s">
        <v>1170</v>
      </c>
      <c r="B3819" t="s">
        <v>9233</v>
      </c>
      <c r="C3819" t="s">
        <v>5291</v>
      </c>
      <c r="D3819" t="s">
        <v>9230</v>
      </c>
      <c r="E3819" t="s">
        <v>75</v>
      </c>
    </row>
    <row r="3820" spans="1:5" x14ac:dyDescent="0.3">
      <c r="A3820" t="s">
        <v>112</v>
      </c>
      <c r="B3820" t="s">
        <v>4662</v>
      </c>
      <c r="C3820" t="s">
        <v>467</v>
      </c>
      <c r="D3820" t="s">
        <v>9234</v>
      </c>
      <c r="E3820" t="s">
        <v>75</v>
      </c>
    </row>
    <row r="3821" spans="1:5" x14ac:dyDescent="0.3">
      <c r="A3821" t="s">
        <v>9236</v>
      </c>
      <c r="B3821" t="s">
        <v>8199</v>
      </c>
      <c r="C3821" t="s">
        <v>461</v>
      </c>
      <c r="D3821" t="s">
        <v>9235</v>
      </c>
      <c r="E3821" t="s">
        <v>75</v>
      </c>
    </row>
    <row r="3822" spans="1:5" x14ac:dyDescent="0.3">
      <c r="A3822" t="s">
        <v>20</v>
      </c>
      <c r="B3822" t="s">
        <v>7761</v>
      </c>
      <c r="C3822" t="s">
        <v>9237</v>
      </c>
      <c r="D3822" t="s">
        <v>4774</v>
      </c>
      <c r="E3822" t="s">
        <v>761</v>
      </c>
    </row>
    <row r="3823" spans="1:5" x14ac:dyDescent="0.3">
      <c r="A3823" t="s">
        <v>224</v>
      </c>
      <c r="B3823" t="s">
        <v>1110</v>
      </c>
      <c r="C3823" t="s">
        <v>467</v>
      </c>
      <c r="D3823" t="s">
        <v>9238</v>
      </c>
      <c r="E3823" t="s">
        <v>75</v>
      </c>
    </row>
    <row r="3824" spans="1:5" x14ac:dyDescent="0.3">
      <c r="A3824" t="s">
        <v>844</v>
      </c>
      <c r="B3824" t="s">
        <v>4771</v>
      </c>
      <c r="C3824" t="s">
        <v>460</v>
      </c>
      <c r="D3824" t="s">
        <v>9238</v>
      </c>
      <c r="E3824" t="s">
        <v>75</v>
      </c>
    </row>
    <row r="3825" spans="1:5" x14ac:dyDescent="0.3">
      <c r="A3825" t="s">
        <v>181</v>
      </c>
      <c r="B3825" t="s">
        <v>182</v>
      </c>
      <c r="C3825" t="s">
        <v>457</v>
      </c>
      <c r="D3825" t="s">
        <v>9239</v>
      </c>
      <c r="E3825" t="s">
        <v>75</v>
      </c>
    </row>
    <row r="3826" spans="1:5" x14ac:dyDescent="0.3">
      <c r="A3826" t="s">
        <v>9055</v>
      </c>
      <c r="B3826" t="s">
        <v>9241</v>
      </c>
      <c r="C3826" t="s">
        <v>461</v>
      </c>
      <c r="D3826" t="s">
        <v>9240</v>
      </c>
      <c r="E3826" t="s">
        <v>75</v>
      </c>
    </row>
    <row r="3827" spans="1:5" x14ac:dyDescent="0.3">
      <c r="A3827" t="s">
        <v>9242</v>
      </c>
      <c r="B3827" t="s">
        <v>4887</v>
      </c>
      <c r="C3827" t="s">
        <v>9243</v>
      </c>
      <c r="D3827" t="s">
        <v>8814</v>
      </c>
      <c r="E3827" t="s">
        <v>75</v>
      </c>
    </row>
    <row r="3828" spans="1:5" x14ac:dyDescent="0.3">
      <c r="A3828" t="s">
        <v>9244</v>
      </c>
      <c r="B3828" t="s">
        <v>4314</v>
      </c>
      <c r="C3828" t="s">
        <v>9245</v>
      </c>
    </row>
    <row r="3829" spans="1:5" x14ac:dyDescent="0.3">
      <c r="A3829" t="s">
        <v>1954</v>
      </c>
      <c r="B3829" t="s">
        <v>6147</v>
      </c>
      <c r="C3829" t="s">
        <v>745</v>
      </c>
    </row>
    <row r="3830" spans="1:5" x14ac:dyDescent="0.3">
      <c r="A3830" t="s">
        <v>1172</v>
      </c>
      <c r="B3830" t="s">
        <v>9247</v>
      </c>
      <c r="C3830" t="s">
        <v>461</v>
      </c>
      <c r="D3830" t="s">
        <v>9246</v>
      </c>
      <c r="E3830" t="s">
        <v>75</v>
      </c>
    </row>
    <row r="3831" spans="1:5" x14ac:dyDescent="0.3">
      <c r="A3831" t="s">
        <v>195</v>
      </c>
      <c r="B3831" t="s">
        <v>7557</v>
      </c>
      <c r="C3831" t="s">
        <v>459</v>
      </c>
      <c r="D3831" t="s">
        <v>869</v>
      </c>
      <c r="E3831" t="s">
        <v>781</v>
      </c>
    </row>
    <row r="3832" spans="1:5" x14ac:dyDescent="0.3">
      <c r="A3832" t="s">
        <v>3891</v>
      </c>
      <c r="B3832" t="s">
        <v>9249</v>
      </c>
      <c r="C3832" t="s">
        <v>461</v>
      </c>
      <c r="D3832" t="s">
        <v>9248</v>
      </c>
      <c r="E3832" t="s">
        <v>75</v>
      </c>
    </row>
    <row r="3833" spans="1:5" x14ac:dyDescent="0.3">
      <c r="A3833" t="s">
        <v>875</v>
      </c>
      <c r="B3833" t="s">
        <v>9251</v>
      </c>
      <c r="C3833" t="s">
        <v>457</v>
      </c>
      <c r="D3833" t="s">
        <v>9250</v>
      </c>
      <c r="E3833" t="s">
        <v>75</v>
      </c>
    </row>
    <row r="3834" spans="1:5" x14ac:dyDescent="0.3">
      <c r="A3834" t="s">
        <v>157</v>
      </c>
      <c r="B3834" t="s">
        <v>1065</v>
      </c>
      <c r="C3834" t="s">
        <v>461</v>
      </c>
      <c r="D3834" t="s">
        <v>9253</v>
      </c>
      <c r="E3834" t="s">
        <v>75</v>
      </c>
    </row>
    <row r="3835" spans="1:5" x14ac:dyDescent="0.3">
      <c r="A3835" t="s">
        <v>851</v>
      </c>
      <c r="B3835" t="s">
        <v>5534</v>
      </c>
      <c r="C3835" t="s">
        <v>467</v>
      </c>
      <c r="D3835" t="s">
        <v>9253</v>
      </c>
      <c r="E3835" t="s">
        <v>75</v>
      </c>
    </row>
    <row r="3836" spans="1:5" x14ac:dyDescent="0.3">
      <c r="A3836" t="s">
        <v>44</v>
      </c>
      <c r="B3836" t="s">
        <v>9255</v>
      </c>
      <c r="C3836" t="s">
        <v>458</v>
      </c>
      <c r="D3836" t="s">
        <v>9254</v>
      </c>
      <c r="E3836" t="s">
        <v>75</v>
      </c>
    </row>
    <row r="3837" spans="1:5" x14ac:dyDescent="0.3">
      <c r="A3837" t="s">
        <v>9257</v>
      </c>
      <c r="B3837" t="s">
        <v>9259</v>
      </c>
      <c r="C3837" t="s">
        <v>9258</v>
      </c>
      <c r="D3837" t="s">
        <v>9256</v>
      </c>
      <c r="E3837" t="s">
        <v>75</v>
      </c>
    </row>
    <row r="3838" spans="1:5" x14ac:dyDescent="0.3">
      <c r="A3838" t="s">
        <v>58</v>
      </c>
      <c r="B3838" t="s">
        <v>9261</v>
      </c>
      <c r="C3838" t="s">
        <v>862</v>
      </c>
      <c r="D3838" t="s">
        <v>751</v>
      </c>
      <c r="E3838" t="s">
        <v>1</v>
      </c>
    </row>
    <row r="3839" spans="1:5" x14ac:dyDescent="0.3">
      <c r="A3839" t="s">
        <v>50</v>
      </c>
      <c r="B3839" t="s">
        <v>9262</v>
      </c>
      <c r="C3839" t="s">
        <v>461</v>
      </c>
      <c r="D3839" t="s">
        <v>9260</v>
      </c>
      <c r="E3839" t="s">
        <v>75</v>
      </c>
    </row>
    <row r="3840" spans="1:5" x14ac:dyDescent="0.3">
      <c r="A3840" t="s">
        <v>69</v>
      </c>
      <c r="B3840" t="s">
        <v>9264</v>
      </c>
      <c r="C3840" t="s">
        <v>862</v>
      </c>
      <c r="D3840" t="s">
        <v>751</v>
      </c>
      <c r="E3840" t="s">
        <v>1</v>
      </c>
    </row>
    <row r="3841" spans="1:5" x14ac:dyDescent="0.3">
      <c r="A3841" t="s">
        <v>5380</v>
      </c>
      <c r="B3841" t="s">
        <v>9130</v>
      </c>
      <c r="C3841" t="s">
        <v>862</v>
      </c>
      <c r="D3841" t="s">
        <v>9263</v>
      </c>
      <c r="E3841" t="s">
        <v>75</v>
      </c>
    </row>
    <row r="3842" spans="1:5" x14ac:dyDescent="0.3">
      <c r="A3842" t="s">
        <v>60</v>
      </c>
      <c r="B3842" t="s">
        <v>5672</v>
      </c>
      <c r="C3842" t="s">
        <v>460</v>
      </c>
      <c r="D3842" t="s">
        <v>9265</v>
      </c>
      <c r="E3842" t="s">
        <v>75</v>
      </c>
    </row>
    <row r="3843" spans="1:5" x14ac:dyDescent="0.3">
      <c r="A3843" t="s">
        <v>843</v>
      </c>
      <c r="B3843" t="s">
        <v>1293</v>
      </c>
      <c r="C3843" t="s">
        <v>460</v>
      </c>
      <c r="D3843" t="s">
        <v>9265</v>
      </c>
      <c r="E3843" t="s">
        <v>75</v>
      </c>
    </row>
    <row r="3844" spans="1:5" x14ac:dyDescent="0.3">
      <c r="A3844" t="s">
        <v>4614</v>
      </c>
      <c r="B3844" t="s">
        <v>9268</v>
      </c>
      <c r="C3844" t="s">
        <v>467</v>
      </c>
      <c r="D3844" t="s">
        <v>9267</v>
      </c>
      <c r="E3844" t="s">
        <v>75</v>
      </c>
    </row>
    <row r="3845" spans="1:5" x14ac:dyDescent="0.3">
      <c r="A3845" t="s">
        <v>112</v>
      </c>
      <c r="B3845" t="s">
        <v>9270</v>
      </c>
      <c r="C3845" t="s">
        <v>9269</v>
      </c>
      <c r="D3845" t="s">
        <v>9267</v>
      </c>
      <c r="E3845" t="s">
        <v>75</v>
      </c>
    </row>
    <row r="3846" spans="1:5" x14ac:dyDescent="0.3">
      <c r="A3846" t="s">
        <v>1532</v>
      </c>
      <c r="B3846" t="s">
        <v>364</v>
      </c>
      <c r="C3846" t="s">
        <v>698</v>
      </c>
      <c r="D3846" t="s">
        <v>9266</v>
      </c>
      <c r="E3846" t="s">
        <v>75</v>
      </c>
    </row>
    <row r="3847" spans="1:5" x14ac:dyDescent="0.3">
      <c r="A3847" t="s">
        <v>271</v>
      </c>
      <c r="B3847" t="s">
        <v>196</v>
      </c>
      <c r="C3847" t="s">
        <v>467</v>
      </c>
      <c r="D3847" t="s">
        <v>9271</v>
      </c>
      <c r="E3847" t="s">
        <v>75</v>
      </c>
    </row>
    <row r="3848" spans="1:5" x14ac:dyDescent="0.3">
      <c r="A3848" t="s">
        <v>206</v>
      </c>
      <c r="B3848" t="s">
        <v>6462</v>
      </c>
      <c r="C3848" t="s">
        <v>6069</v>
      </c>
      <c r="D3848" t="s">
        <v>9272</v>
      </c>
      <c r="E3848" t="s">
        <v>75</v>
      </c>
    </row>
    <row r="3849" spans="1:5" x14ac:dyDescent="0.3">
      <c r="A3849" t="s">
        <v>150</v>
      </c>
      <c r="B3849" t="s">
        <v>5138</v>
      </c>
      <c r="C3849" t="s">
        <v>698</v>
      </c>
      <c r="D3849" t="s">
        <v>6378</v>
      </c>
      <c r="E3849" t="s">
        <v>781</v>
      </c>
    </row>
    <row r="3850" spans="1:5" x14ac:dyDescent="0.3">
      <c r="A3850" t="s">
        <v>279</v>
      </c>
      <c r="B3850" t="s">
        <v>9279</v>
      </c>
      <c r="C3850" t="s">
        <v>467</v>
      </c>
      <c r="D3850" t="s">
        <v>9278</v>
      </c>
      <c r="E3850" t="s">
        <v>75</v>
      </c>
    </row>
    <row r="3851" spans="1:5" x14ac:dyDescent="0.3">
      <c r="A3851" t="s">
        <v>2689</v>
      </c>
      <c r="B3851" t="s">
        <v>9281</v>
      </c>
      <c r="C3851" t="s">
        <v>862</v>
      </c>
      <c r="D3851" t="s">
        <v>9280</v>
      </c>
      <c r="E3851" t="s">
        <v>75</v>
      </c>
    </row>
    <row r="3852" spans="1:5" x14ac:dyDescent="0.3">
      <c r="A3852" t="s">
        <v>3636</v>
      </c>
      <c r="B3852" t="s">
        <v>3035</v>
      </c>
      <c r="C3852" t="s">
        <v>461</v>
      </c>
      <c r="D3852" t="s">
        <v>9282</v>
      </c>
      <c r="E3852" t="s">
        <v>75</v>
      </c>
    </row>
    <row r="3853" spans="1:5" x14ac:dyDescent="0.3">
      <c r="A3853" t="s">
        <v>3118</v>
      </c>
      <c r="B3853" t="s">
        <v>9283</v>
      </c>
      <c r="C3853" t="s">
        <v>455</v>
      </c>
      <c r="D3853" t="s">
        <v>9282</v>
      </c>
      <c r="E3853" t="s">
        <v>75</v>
      </c>
    </row>
    <row r="3854" spans="1:5" x14ac:dyDescent="0.3">
      <c r="A3854" t="s">
        <v>220</v>
      </c>
      <c r="B3854" t="s">
        <v>4664</v>
      </c>
      <c r="C3854" t="s">
        <v>9285</v>
      </c>
      <c r="D3854" t="s">
        <v>9284</v>
      </c>
      <c r="E3854" t="s">
        <v>75</v>
      </c>
    </row>
    <row r="3855" spans="1:5" x14ac:dyDescent="0.3">
      <c r="A3855" t="s">
        <v>195</v>
      </c>
      <c r="B3855" t="s">
        <v>9288</v>
      </c>
      <c r="C3855" t="s">
        <v>467</v>
      </c>
      <c r="D3855" t="s">
        <v>9287</v>
      </c>
      <c r="E3855" t="s">
        <v>75</v>
      </c>
    </row>
    <row r="3856" spans="1:5" x14ac:dyDescent="0.3">
      <c r="A3856" t="s">
        <v>222</v>
      </c>
      <c r="B3856" t="s">
        <v>4770</v>
      </c>
      <c r="C3856" t="s">
        <v>459</v>
      </c>
      <c r="D3856" t="s">
        <v>9289</v>
      </c>
      <c r="E3856" t="s">
        <v>75</v>
      </c>
    </row>
    <row r="3857" spans="1:5" x14ac:dyDescent="0.3">
      <c r="A3857" t="s">
        <v>6570</v>
      </c>
      <c r="B3857" t="s">
        <v>9292</v>
      </c>
      <c r="C3857" t="s">
        <v>9291</v>
      </c>
      <c r="D3857" t="s">
        <v>9290</v>
      </c>
      <c r="E3857" t="s">
        <v>75</v>
      </c>
    </row>
    <row r="3858" spans="1:5" x14ac:dyDescent="0.3">
      <c r="A3858" t="s">
        <v>1720</v>
      </c>
      <c r="B3858" t="s">
        <v>1292</v>
      </c>
      <c r="C3858" t="s">
        <v>9294</v>
      </c>
      <c r="D3858" t="s">
        <v>9293</v>
      </c>
      <c r="E3858" t="s">
        <v>75</v>
      </c>
    </row>
    <row r="3859" spans="1:5" x14ac:dyDescent="0.3">
      <c r="A3859" t="s">
        <v>9296</v>
      </c>
      <c r="B3859" t="s">
        <v>111</v>
      </c>
      <c r="C3859" t="s">
        <v>467</v>
      </c>
      <c r="D3859" t="s">
        <v>9295</v>
      </c>
      <c r="E3859" t="s">
        <v>75</v>
      </c>
    </row>
    <row r="3860" spans="1:5" x14ac:dyDescent="0.3">
      <c r="A3860" t="s">
        <v>44</v>
      </c>
      <c r="B3860" t="s">
        <v>834</v>
      </c>
      <c r="C3860" t="s">
        <v>467</v>
      </c>
      <c r="D3860" t="s">
        <v>9297</v>
      </c>
      <c r="E3860" t="s">
        <v>75</v>
      </c>
    </row>
    <row r="3861" spans="1:5" x14ac:dyDescent="0.3">
      <c r="A3861" t="s">
        <v>146</v>
      </c>
      <c r="B3861" t="s">
        <v>9299</v>
      </c>
      <c r="C3861" t="s">
        <v>9298</v>
      </c>
      <c r="D3861" t="s">
        <v>1554</v>
      </c>
      <c r="E3861" t="s">
        <v>1</v>
      </c>
    </row>
    <row r="3862" spans="1:5" x14ac:dyDescent="0.3">
      <c r="A3862" t="s">
        <v>820</v>
      </c>
      <c r="B3862" t="s">
        <v>7297</v>
      </c>
      <c r="C3862" t="s">
        <v>9304</v>
      </c>
      <c r="D3862" t="s">
        <v>883</v>
      </c>
      <c r="E3862" t="s">
        <v>1</v>
      </c>
    </row>
    <row r="3863" spans="1:5" x14ac:dyDescent="0.3">
      <c r="A3863" t="s">
        <v>131</v>
      </c>
      <c r="B3863" t="s">
        <v>3761</v>
      </c>
      <c r="C3863" t="s">
        <v>455</v>
      </c>
      <c r="D3863" t="s">
        <v>9305</v>
      </c>
      <c r="E3863" t="s">
        <v>75</v>
      </c>
    </row>
    <row r="3864" spans="1:5" x14ac:dyDescent="0.3">
      <c r="A3864" t="s">
        <v>2143</v>
      </c>
      <c r="B3864" t="s">
        <v>210</v>
      </c>
      <c r="C3864" t="s">
        <v>3299</v>
      </c>
      <c r="D3864" t="s">
        <v>8107</v>
      </c>
      <c r="E3864" t="s">
        <v>75</v>
      </c>
    </row>
    <row r="3865" spans="1:5" x14ac:dyDescent="0.3">
      <c r="A3865" t="s">
        <v>157</v>
      </c>
      <c r="B3865" t="s">
        <v>5278</v>
      </c>
      <c r="C3865" t="s">
        <v>862</v>
      </c>
      <c r="D3865" t="s">
        <v>8107</v>
      </c>
      <c r="E3865" t="s">
        <v>75</v>
      </c>
    </row>
    <row r="3866" spans="1:5" x14ac:dyDescent="0.3">
      <c r="A3866" t="s">
        <v>60</v>
      </c>
      <c r="B3866" t="s">
        <v>9308</v>
      </c>
      <c r="C3866" t="s">
        <v>2571</v>
      </c>
      <c r="D3866" t="s">
        <v>8107</v>
      </c>
      <c r="E3866" t="s">
        <v>75</v>
      </c>
    </row>
    <row r="3867" spans="1:5" x14ac:dyDescent="0.3">
      <c r="A3867" t="s">
        <v>9310</v>
      </c>
      <c r="B3867" t="s">
        <v>1945</v>
      </c>
      <c r="C3867" t="s">
        <v>457</v>
      </c>
      <c r="D3867" t="s">
        <v>9309</v>
      </c>
      <c r="E3867" t="s">
        <v>75</v>
      </c>
    </row>
    <row r="3868" spans="1:5" x14ac:dyDescent="0.3">
      <c r="A3868" t="s">
        <v>160</v>
      </c>
      <c r="B3868" t="s">
        <v>4966</v>
      </c>
      <c r="C3868" t="s">
        <v>459</v>
      </c>
      <c r="D3868" t="s">
        <v>9311</v>
      </c>
      <c r="E3868" t="s">
        <v>75</v>
      </c>
    </row>
    <row r="3869" spans="1:5" x14ac:dyDescent="0.3">
      <c r="A3869" t="s">
        <v>131</v>
      </c>
      <c r="B3869" t="s">
        <v>4594</v>
      </c>
      <c r="C3869" t="s">
        <v>461</v>
      </c>
      <c r="D3869" t="s">
        <v>9311</v>
      </c>
      <c r="E3869" t="s">
        <v>75</v>
      </c>
    </row>
    <row r="3870" spans="1:5" x14ac:dyDescent="0.3">
      <c r="A3870" t="s">
        <v>1822</v>
      </c>
      <c r="B3870" t="s">
        <v>301</v>
      </c>
      <c r="C3870" t="s">
        <v>9313</v>
      </c>
      <c r="D3870" t="s">
        <v>9312</v>
      </c>
      <c r="E3870" t="s">
        <v>75</v>
      </c>
    </row>
    <row r="3871" spans="1:5" x14ac:dyDescent="0.3">
      <c r="A3871" t="s">
        <v>3580</v>
      </c>
      <c r="B3871" t="s">
        <v>7853</v>
      </c>
      <c r="C3871" t="s">
        <v>9313</v>
      </c>
      <c r="D3871" t="s">
        <v>9312</v>
      </c>
      <c r="E3871" t="s">
        <v>75</v>
      </c>
    </row>
    <row r="3872" spans="1:5" x14ac:dyDescent="0.3">
      <c r="A3872" t="s">
        <v>918</v>
      </c>
      <c r="B3872" t="s">
        <v>1814</v>
      </c>
      <c r="C3872" t="s">
        <v>467</v>
      </c>
      <c r="D3872" t="s">
        <v>9314</v>
      </c>
      <c r="E3872" t="s">
        <v>75</v>
      </c>
    </row>
    <row r="3873" spans="1:5" x14ac:dyDescent="0.3">
      <c r="A3873" t="s">
        <v>262</v>
      </c>
      <c r="B3873" t="s">
        <v>1814</v>
      </c>
      <c r="C3873" t="s">
        <v>467</v>
      </c>
      <c r="D3873" t="s">
        <v>9314</v>
      </c>
      <c r="E3873" t="s">
        <v>75</v>
      </c>
    </row>
    <row r="3874" spans="1:5" x14ac:dyDescent="0.3">
      <c r="A3874" t="s">
        <v>411</v>
      </c>
      <c r="B3874" t="s">
        <v>9316</v>
      </c>
      <c r="C3874" t="s">
        <v>457</v>
      </c>
      <c r="D3874" t="s">
        <v>9315</v>
      </c>
      <c r="E3874" t="s">
        <v>75</v>
      </c>
    </row>
    <row r="3875" spans="1:5" x14ac:dyDescent="0.3">
      <c r="A3875" t="s">
        <v>3196</v>
      </c>
      <c r="B3875" t="s">
        <v>3848</v>
      </c>
      <c r="C3875" t="s">
        <v>9317</v>
      </c>
    </row>
    <row r="3876" spans="1:5" x14ac:dyDescent="0.3">
      <c r="A3876" t="s">
        <v>5036</v>
      </c>
      <c r="B3876" t="s">
        <v>9319</v>
      </c>
      <c r="C3876" t="s">
        <v>460</v>
      </c>
      <c r="D3876" t="s">
        <v>9318</v>
      </c>
      <c r="E3876" t="s">
        <v>75</v>
      </c>
    </row>
    <row r="3877" spans="1:5" x14ac:dyDescent="0.3">
      <c r="A3877" t="s">
        <v>9321</v>
      </c>
      <c r="B3877" t="s">
        <v>3522</v>
      </c>
      <c r="C3877" t="s">
        <v>862</v>
      </c>
      <c r="D3877" t="s">
        <v>9320</v>
      </c>
      <c r="E3877" t="s">
        <v>75</v>
      </c>
    </row>
    <row r="3878" spans="1:5" x14ac:dyDescent="0.3">
      <c r="A3878" t="s">
        <v>41</v>
      </c>
      <c r="B3878" t="s">
        <v>1420</v>
      </c>
      <c r="C3878" t="s">
        <v>4449</v>
      </c>
      <c r="D3878" t="s">
        <v>9320</v>
      </c>
      <c r="E3878" t="s">
        <v>75</v>
      </c>
    </row>
    <row r="3879" spans="1:5" x14ac:dyDescent="0.3">
      <c r="A3879" t="s">
        <v>131</v>
      </c>
      <c r="B3879" t="s">
        <v>2975</v>
      </c>
      <c r="C3879" t="s">
        <v>9322</v>
      </c>
      <c r="D3879" t="s">
        <v>9320</v>
      </c>
      <c r="E3879" t="s">
        <v>75</v>
      </c>
    </row>
    <row r="3880" spans="1:5" x14ac:dyDescent="0.3">
      <c r="A3880" t="s">
        <v>9324</v>
      </c>
      <c r="B3880" t="s">
        <v>9325</v>
      </c>
      <c r="C3880" t="s">
        <v>461</v>
      </c>
      <c r="D3880" t="s">
        <v>9323</v>
      </c>
      <c r="E3880" t="s">
        <v>75</v>
      </c>
    </row>
    <row r="3881" spans="1:5" x14ac:dyDescent="0.3">
      <c r="A3881" t="s">
        <v>1591</v>
      </c>
      <c r="B3881" t="s">
        <v>9327</v>
      </c>
      <c r="C3881" t="s">
        <v>460</v>
      </c>
      <c r="D3881" t="s">
        <v>9326</v>
      </c>
      <c r="E3881" t="s">
        <v>75</v>
      </c>
    </row>
    <row r="3882" spans="1:5" x14ac:dyDescent="0.3">
      <c r="A3882" t="s">
        <v>3703</v>
      </c>
      <c r="B3882" t="s">
        <v>9330</v>
      </c>
      <c r="C3882" t="s">
        <v>9329</v>
      </c>
      <c r="D3882" t="s">
        <v>9328</v>
      </c>
      <c r="E3882" t="s">
        <v>75</v>
      </c>
    </row>
    <row r="3883" spans="1:5" x14ac:dyDescent="0.3">
      <c r="A3883" t="s">
        <v>6557</v>
      </c>
      <c r="B3883" t="s">
        <v>9067</v>
      </c>
      <c r="C3883" t="s">
        <v>9332</v>
      </c>
      <c r="D3883" t="s">
        <v>9331</v>
      </c>
      <c r="E3883" t="s">
        <v>75</v>
      </c>
    </row>
    <row r="3884" spans="1:5" x14ac:dyDescent="0.3">
      <c r="A3884" t="s">
        <v>313</v>
      </c>
      <c r="B3884" t="s">
        <v>210</v>
      </c>
      <c r="C3884" t="s">
        <v>9333</v>
      </c>
      <c r="D3884" t="s">
        <v>9331</v>
      </c>
      <c r="E3884" t="s">
        <v>75</v>
      </c>
    </row>
    <row r="3885" spans="1:5" x14ac:dyDescent="0.3">
      <c r="A3885" t="s">
        <v>5788</v>
      </c>
      <c r="B3885" t="s">
        <v>9334</v>
      </c>
      <c r="C3885" t="s">
        <v>460</v>
      </c>
      <c r="D3885" t="s">
        <v>9331</v>
      </c>
      <c r="E3885" t="s">
        <v>75</v>
      </c>
    </row>
    <row r="3886" spans="1:5" x14ac:dyDescent="0.3">
      <c r="A3886" t="s">
        <v>271</v>
      </c>
      <c r="B3886" t="s">
        <v>9336</v>
      </c>
      <c r="C3886" t="s">
        <v>455</v>
      </c>
      <c r="D3886" t="s">
        <v>9335</v>
      </c>
      <c r="E3886" t="s">
        <v>75</v>
      </c>
    </row>
    <row r="3887" spans="1:5" x14ac:dyDescent="0.3">
      <c r="A3887" t="s">
        <v>66</v>
      </c>
      <c r="B3887" t="s">
        <v>4289</v>
      </c>
      <c r="C3887" t="s">
        <v>461</v>
      </c>
      <c r="D3887" t="s">
        <v>9337</v>
      </c>
      <c r="E3887" t="s">
        <v>75</v>
      </c>
    </row>
    <row r="3888" spans="1:5" x14ac:dyDescent="0.3">
      <c r="A3888" t="s">
        <v>6066</v>
      </c>
      <c r="B3888" t="s">
        <v>5844</v>
      </c>
      <c r="C3888" t="s">
        <v>459</v>
      </c>
      <c r="D3888" t="s">
        <v>9337</v>
      </c>
      <c r="E3888" t="s">
        <v>75</v>
      </c>
    </row>
    <row r="3889" spans="1:5" x14ac:dyDescent="0.3">
      <c r="A3889" t="s">
        <v>2176</v>
      </c>
      <c r="B3889" t="s">
        <v>9341</v>
      </c>
      <c r="C3889" t="s">
        <v>9340</v>
      </c>
      <c r="D3889" t="s">
        <v>9339</v>
      </c>
      <c r="E3889" t="s">
        <v>75</v>
      </c>
    </row>
    <row r="3890" spans="1:5" x14ac:dyDescent="0.3">
      <c r="A3890" t="s">
        <v>4038</v>
      </c>
      <c r="B3890" t="s">
        <v>1560</v>
      </c>
      <c r="C3890" t="s">
        <v>460</v>
      </c>
      <c r="D3890" t="s">
        <v>9342</v>
      </c>
      <c r="E3890" t="s">
        <v>75</v>
      </c>
    </row>
    <row r="3891" spans="1:5" x14ac:dyDescent="0.3">
      <c r="A3891" t="s">
        <v>9343</v>
      </c>
      <c r="B3891" t="s">
        <v>1953</v>
      </c>
      <c r="C3891" t="s">
        <v>9344</v>
      </c>
      <c r="D3891" t="s">
        <v>8845</v>
      </c>
      <c r="E3891" t="s">
        <v>75</v>
      </c>
    </row>
    <row r="3892" spans="1:5" x14ac:dyDescent="0.3">
      <c r="A3892" t="s">
        <v>7043</v>
      </c>
      <c r="B3892" t="s">
        <v>9345</v>
      </c>
      <c r="C3892" t="s">
        <v>459</v>
      </c>
      <c r="D3892" t="s">
        <v>9342</v>
      </c>
      <c r="E3892" t="s">
        <v>75</v>
      </c>
    </row>
    <row r="3893" spans="1:5" x14ac:dyDescent="0.3">
      <c r="A3893" t="s">
        <v>3196</v>
      </c>
      <c r="B3893" t="s">
        <v>2513</v>
      </c>
      <c r="C3893" t="s">
        <v>9346</v>
      </c>
      <c r="D3893" t="s">
        <v>1716</v>
      </c>
      <c r="E3893" t="s">
        <v>741</v>
      </c>
    </row>
    <row r="3894" spans="1:5" x14ac:dyDescent="0.3">
      <c r="A3894" t="s">
        <v>246</v>
      </c>
      <c r="B3894" t="s">
        <v>2813</v>
      </c>
      <c r="C3894" t="s">
        <v>4214</v>
      </c>
      <c r="D3894" t="s">
        <v>9347</v>
      </c>
      <c r="E3894" t="s">
        <v>75</v>
      </c>
    </row>
    <row r="3895" spans="1:5" x14ac:dyDescent="0.3">
      <c r="A3895" t="s">
        <v>7320</v>
      </c>
      <c r="B3895" t="s">
        <v>9349</v>
      </c>
      <c r="C3895" t="s">
        <v>461</v>
      </c>
      <c r="D3895" t="s">
        <v>9348</v>
      </c>
      <c r="E3895" t="s">
        <v>75</v>
      </c>
    </row>
    <row r="3896" spans="1:5" x14ac:dyDescent="0.3">
      <c r="A3896" t="s">
        <v>2109</v>
      </c>
      <c r="B3896" t="s">
        <v>9351</v>
      </c>
      <c r="C3896" t="s">
        <v>461</v>
      </c>
      <c r="D3896" t="s">
        <v>9350</v>
      </c>
      <c r="E3896" t="s">
        <v>75</v>
      </c>
    </row>
    <row r="3897" spans="1:5" x14ac:dyDescent="0.3">
      <c r="A3897" t="s">
        <v>3097</v>
      </c>
      <c r="B3897" t="s">
        <v>9353</v>
      </c>
      <c r="C3897" t="s">
        <v>460</v>
      </c>
      <c r="D3897" t="s">
        <v>9352</v>
      </c>
      <c r="E3897" t="s">
        <v>75</v>
      </c>
    </row>
    <row r="3898" spans="1:5" x14ac:dyDescent="0.3">
      <c r="A3898" t="s">
        <v>9356</v>
      </c>
      <c r="B3898" t="s">
        <v>4862</v>
      </c>
      <c r="C3898" t="s">
        <v>467</v>
      </c>
      <c r="D3898" t="s">
        <v>9354</v>
      </c>
      <c r="E3898" t="s">
        <v>75</v>
      </c>
    </row>
    <row r="3899" spans="1:5" x14ac:dyDescent="0.3">
      <c r="A3899" t="s">
        <v>4045</v>
      </c>
      <c r="B3899" t="s">
        <v>414</v>
      </c>
      <c r="C3899" t="s">
        <v>9358</v>
      </c>
      <c r="D3899" t="s">
        <v>9357</v>
      </c>
      <c r="E3899" t="s">
        <v>75</v>
      </c>
    </row>
    <row r="3900" spans="1:5" x14ac:dyDescent="0.3">
      <c r="A3900" t="s">
        <v>1213</v>
      </c>
      <c r="B3900" t="s">
        <v>1113</v>
      </c>
      <c r="C3900" t="s">
        <v>6044</v>
      </c>
      <c r="D3900" t="s">
        <v>9359</v>
      </c>
      <c r="E3900" t="s">
        <v>75</v>
      </c>
    </row>
    <row r="3901" spans="1:5" x14ac:dyDescent="0.3">
      <c r="A3901" t="s">
        <v>30</v>
      </c>
      <c r="B3901" t="s">
        <v>433</v>
      </c>
      <c r="C3901" t="s">
        <v>460</v>
      </c>
      <c r="D3901" t="s">
        <v>9360</v>
      </c>
      <c r="E3901" t="s">
        <v>75</v>
      </c>
    </row>
    <row r="3902" spans="1:5" x14ac:dyDescent="0.3">
      <c r="A3902" t="s">
        <v>119</v>
      </c>
      <c r="B3902" t="s">
        <v>40</v>
      </c>
      <c r="C3902" t="s">
        <v>467</v>
      </c>
      <c r="D3902" t="s">
        <v>9360</v>
      </c>
      <c r="E3902" t="s">
        <v>75</v>
      </c>
    </row>
    <row r="3903" spans="1:5" x14ac:dyDescent="0.3">
      <c r="A3903" t="s">
        <v>5857</v>
      </c>
      <c r="B3903" t="s">
        <v>3733</v>
      </c>
      <c r="C3903" t="s">
        <v>467</v>
      </c>
      <c r="D3903" t="s">
        <v>9361</v>
      </c>
      <c r="E3903" t="s">
        <v>75</v>
      </c>
    </row>
    <row r="3904" spans="1:5" x14ac:dyDescent="0.3">
      <c r="A3904" t="s">
        <v>77</v>
      </c>
      <c r="B3904" t="s">
        <v>824</v>
      </c>
      <c r="C3904" t="s">
        <v>467</v>
      </c>
      <c r="D3904" t="s">
        <v>9362</v>
      </c>
      <c r="E3904" t="s">
        <v>75</v>
      </c>
    </row>
    <row r="3905" spans="1:5" x14ac:dyDescent="0.3">
      <c r="A3905" t="s">
        <v>2391</v>
      </c>
      <c r="B3905" t="s">
        <v>5049</v>
      </c>
      <c r="C3905" t="s">
        <v>460</v>
      </c>
      <c r="D3905" t="s">
        <v>9363</v>
      </c>
      <c r="E3905" t="s">
        <v>75</v>
      </c>
    </row>
    <row r="3906" spans="1:5" x14ac:dyDescent="0.3">
      <c r="A3906" t="s">
        <v>79</v>
      </c>
      <c r="B3906" t="s">
        <v>6903</v>
      </c>
      <c r="C3906" t="s">
        <v>460</v>
      </c>
      <c r="D3906" t="s">
        <v>9364</v>
      </c>
      <c r="E3906" t="s">
        <v>75</v>
      </c>
    </row>
    <row r="3907" spans="1:5" x14ac:dyDescent="0.3">
      <c r="A3907" t="s">
        <v>79</v>
      </c>
      <c r="B3907" t="s">
        <v>1427</v>
      </c>
      <c r="C3907" t="s">
        <v>9366</v>
      </c>
      <c r="D3907" t="s">
        <v>9365</v>
      </c>
      <c r="E3907" t="s">
        <v>75</v>
      </c>
    </row>
    <row r="3908" spans="1:5" x14ac:dyDescent="0.3">
      <c r="A3908" t="s">
        <v>41</v>
      </c>
      <c r="B3908" t="s">
        <v>9368</v>
      </c>
      <c r="C3908" t="s">
        <v>460</v>
      </c>
      <c r="D3908" t="s">
        <v>9367</v>
      </c>
      <c r="E3908" t="s">
        <v>75</v>
      </c>
    </row>
    <row r="3909" spans="1:5" x14ac:dyDescent="0.3">
      <c r="A3909" t="s">
        <v>867</v>
      </c>
      <c r="B3909" t="s">
        <v>2559</v>
      </c>
      <c r="C3909" t="s">
        <v>460</v>
      </c>
      <c r="D3909" t="s">
        <v>9371</v>
      </c>
      <c r="E3909" t="s">
        <v>75</v>
      </c>
    </row>
    <row r="3910" spans="1:5" x14ac:dyDescent="0.3">
      <c r="A3910" t="s">
        <v>2695</v>
      </c>
      <c r="B3910" t="s">
        <v>7839</v>
      </c>
      <c r="C3910" t="s">
        <v>460</v>
      </c>
      <c r="D3910" t="s">
        <v>9373</v>
      </c>
      <c r="E3910" t="s">
        <v>75</v>
      </c>
    </row>
    <row r="3911" spans="1:5" x14ac:dyDescent="0.3">
      <c r="A3911" t="s">
        <v>4907</v>
      </c>
      <c r="B3911" t="s">
        <v>1837</v>
      </c>
      <c r="C3911" t="s">
        <v>467</v>
      </c>
      <c r="D3911" t="s">
        <v>9374</v>
      </c>
      <c r="E3911" t="s">
        <v>75</v>
      </c>
    </row>
    <row r="3912" spans="1:5" x14ac:dyDescent="0.3">
      <c r="A3912" t="s">
        <v>9376</v>
      </c>
      <c r="B3912" t="s">
        <v>1143</v>
      </c>
      <c r="C3912" t="s">
        <v>461</v>
      </c>
      <c r="D3912" t="s">
        <v>9375</v>
      </c>
      <c r="E3912" t="s">
        <v>75</v>
      </c>
    </row>
    <row r="3913" spans="1:5" x14ac:dyDescent="0.3">
      <c r="A3913" t="s">
        <v>195</v>
      </c>
      <c r="B3913" t="s">
        <v>962</v>
      </c>
      <c r="C3913" t="s">
        <v>457</v>
      </c>
      <c r="D3913" t="s">
        <v>9377</v>
      </c>
      <c r="E3913" t="s">
        <v>75</v>
      </c>
    </row>
    <row r="3914" spans="1:5" x14ac:dyDescent="0.3">
      <c r="A3914" t="s">
        <v>2952</v>
      </c>
      <c r="B3914" t="s">
        <v>4232</v>
      </c>
      <c r="C3914" t="s">
        <v>9379</v>
      </c>
      <c r="D3914" t="s">
        <v>9378</v>
      </c>
      <c r="E3914" t="s">
        <v>75</v>
      </c>
    </row>
    <row r="3915" spans="1:5" x14ac:dyDescent="0.3">
      <c r="A3915" t="s">
        <v>1169</v>
      </c>
      <c r="B3915" t="s">
        <v>1001</v>
      </c>
      <c r="C3915" t="s">
        <v>9380</v>
      </c>
      <c r="D3915" t="s">
        <v>9378</v>
      </c>
      <c r="E3915" t="s">
        <v>75</v>
      </c>
    </row>
    <row r="3916" spans="1:5" x14ac:dyDescent="0.3">
      <c r="A3916" t="s">
        <v>315</v>
      </c>
      <c r="B3916" t="s">
        <v>9384</v>
      </c>
      <c r="C3916" t="s">
        <v>9383</v>
      </c>
      <c r="D3916" t="s">
        <v>9382</v>
      </c>
      <c r="E3916" t="s">
        <v>774</v>
      </c>
    </row>
    <row r="3917" spans="1:5" x14ac:dyDescent="0.3">
      <c r="A3917" t="s">
        <v>5359</v>
      </c>
      <c r="B3917" t="s">
        <v>3852</v>
      </c>
      <c r="C3917" t="s">
        <v>9386</v>
      </c>
      <c r="D3917" t="s">
        <v>9385</v>
      </c>
      <c r="E3917" t="s">
        <v>75</v>
      </c>
    </row>
    <row r="3918" spans="1:5" x14ac:dyDescent="0.3">
      <c r="A3918" t="s">
        <v>44</v>
      </c>
      <c r="B3918" t="s">
        <v>9388</v>
      </c>
      <c r="C3918" t="s">
        <v>457</v>
      </c>
      <c r="D3918" t="s">
        <v>9387</v>
      </c>
      <c r="E3918" t="s">
        <v>75</v>
      </c>
    </row>
    <row r="3919" spans="1:5" x14ac:dyDescent="0.3">
      <c r="A3919" t="s">
        <v>68</v>
      </c>
      <c r="B3919" t="s">
        <v>9391</v>
      </c>
      <c r="C3919" t="s">
        <v>9390</v>
      </c>
      <c r="D3919" t="s">
        <v>9389</v>
      </c>
      <c r="E3919" t="s">
        <v>75</v>
      </c>
    </row>
    <row r="3920" spans="1:5" x14ac:dyDescent="0.3">
      <c r="A3920" t="s">
        <v>177</v>
      </c>
      <c r="B3920" t="s">
        <v>76</v>
      </c>
      <c r="C3920" t="s">
        <v>460</v>
      </c>
      <c r="D3920" t="s">
        <v>9392</v>
      </c>
      <c r="E3920" t="s">
        <v>75</v>
      </c>
    </row>
    <row r="3921" spans="1:5" x14ac:dyDescent="0.3">
      <c r="A3921" t="s">
        <v>9394</v>
      </c>
      <c r="B3921" t="s">
        <v>9395</v>
      </c>
      <c r="C3921" t="s">
        <v>460</v>
      </c>
      <c r="D3921" t="s">
        <v>9393</v>
      </c>
      <c r="E3921" t="s">
        <v>75</v>
      </c>
    </row>
    <row r="3922" spans="1:5" x14ac:dyDescent="0.3">
      <c r="A3922" t="s">
        <v>326</v>
      </c>
      <c r="B3922" t="s">
        <v>9397</v>
      </c>
      <c r="C3922" t="s">
        <v>459</v>
      </c>
      <c r="D3922" t="s">
        <v>9396</v>
      </c>
      <c r="E3922" t="s">
        <v>75</v>
      </c>
    </row>
    <row r="3923" spans="1:5" x14ac:dyDescent="0.3">
      <c r="A3923" t="s">
        <v>195</v>
      </c>
      <c r="B3923" t="s">
        <v>9399</v>
      </c>
      <c r="C3923" t="s">
        <v>9398</v>
      </c>
      <c r="D3923" t="s">
        <v>8583</v>
      </c>
      <c r="E3923" t="s">
        <v>75</v>
      </c>
    </row>
    <row r="3924" spans="1:5" x14ac:dyDescent="0.3">
      <c r="A3924" t="s">
        <v>3603</v>
      </c>
      <c r="B3924" t="s">
        <v>210</v>
      </c>
      <c r="C3924" t="s">
        <v>455</v>
      </c>
      <c r="D3924" t="s">
        <v>9400</v>
      </c>
      <c r="E3924" t="s">
        <v>75</v>
      </c>
    </row>
    <row r="3925" spans="1:5" x14ac:dyDescent="0.3">
      <c r="A3925" t="s">
        <v>4250</v>
      </c>
      <c r="B3925" t="s">
        <v>4251</v>
      </c>
      <c r="C3925" t="s">
        <v>467</v>
      </c>
      <c r="D3925" t="s">
        <v>9401</v>
      </c>
      <c r="E3925" t="s">
        <v>75</v>
      </c>
    </row>
    <row r="3926" spans="1:5" x14ac:dyDescent="0.3">
      <c r="A3926" t="s">
        <v>9403</v>
      </c>
      <c r="B3926" t="s">
        <v>2501</v>
      </c>
      <c r="C3926" t="s">
        <v>9404</v>
      </c>
      <c r="D3926" t="s">
        <v>9402</v>
      </c>
      <c r="E3926" t="s">
        <v>75</v>
      </c>
    </row>
    <row r="3927" spans="1:5" x14ac:dyDescent="0.3">
      <c r="A3927" t="s">
        <v>404</v>
      </c>
      <c r="B3927" t="s">
        <v>9406</v>
      </c>
      <c r="C3927" t="s">
        <v>467</v>
      </c>
      <c r="D3927" t="s">
        <v>9405</v>
      </c>
      <c r="E3927" t="s">
        <v>75</v>
      </c>
    </row>
    <row r="3928" spans="1:5" x14ac:dyDescent="0.3">
      <c r="A3928" t="s">
        <v>936</v>
      </c>
      <c r="B3928" t="s">
        <v>2620</v>
      </c>
      <c r="C3928" t="s">
        <v>455</v>
      </c>
      <c r="D3928" t="s">
        <v>9407</v>
      </c>
      <c r="E3928" t="s">
        <v>75</v>
      </c>
    </row>
    <row r="3929" spans="1:5" x14ac:dyDescent="0.3">
      <c r="A3929" t="s">
        <v>1636</v>
      </c>
      <c r="B3929" t="s">
        <v>3500</v>
      </c>
      <c r="C3929" t="s">
        <v>460</v>
      </c>
      <c r="D3929" t="s">
        <v>9408</v>
      </c>
      <c r="E3929" t="s">
        <v>75</v>
      </c>
    </row>
    <row r="3930" spans="1:5" x14ac:dyDescent="0.3">
      <c r="A3930" t="s">
        <v>220</v>
      </c>
      <c r="B3930" t="s">
        <v>2736</v>
      </c>
      <c r="C3930" t="s">
        <v>3109</v>
      </c>
      <c r="D3930" t="s">
        <v>9409</v>
      </c>
      <c r="E3930" t="s">
        <v>75</v>
      </c>
    </row>
    <row r="3931" spans="1:5" x14ac:dyDescent="0.3">
      <c r="A3931" t="s">
        <v>2143</v>
      </c>
      <c r="B3931" t="s">
        <v>824</v>
      </c>
      <c r="C3931" t="s">
        <v>9410</v>
      </c>
      <c r="D3931" t="s">
        <v>9409</v>
      </c>
      <c r="E3931" t="s">
        <v>75</v>
      </c>
    </row>
    <row r="3932" spans="1:5" x14ac:dyDescent="0.3">
      <c r="A3932" t="s">
        <v>860</v>
      </c>
      <c r="B3932" t="s">
        <v>199</v>
      </c>
      <c r="C3932" t="s">
        <v>9411</v>
      </c>
      <c r="D3932" t="s">
        <v>9409</v>
      </c>
      <c r="E3932" t="s">
        <v>75</v>
      </c>
    </row>
    <row r="3933" spans="1:5" x14ac:dyDescent="0.3">
      <c r="A3933" t="s">
        <v>9004</v>
      </c>
      <c r="B3933" t="s">
        <v>3617</v>
      </c>
      <c r="C3933" t="s">
        <v>9412</v>
      </c>
      <c r="D3933" t="s">
        <v>9409</v>
      </c>
      <c r="E3933" t="s">
        <v>75</v>
      </c>
    </row>
    <row r="3934" spans="1:5" x14ac:dyDescent="0.3">
      <c r="A3934" t="s">
        <v>130</v>
      </c>
      <c r="B3934" t="s">
        <v>196</v>
      </c>
      <c r="C3934" t="s">
        <v>9413</v>
      </c>
      <c r="D3934" t="s">
        <v>9409</v>
      </c>
      <c r="E3934" t="s">
        <v>75</v>
      </c>
    </row>
    <row r="3935" spans="1:5" x14ac:dyDescent="0.3">
      <c r="A3935" t="s">
        <v>2962</v>
      </c>
      <c r="B3935" t="s">
        <v>2968</v>
      </c>
      <c r="C3935" t="s">
        <v>9411</v>
      </c>
      <c r="D3935" t="s">
        <v>9409</v>
      </c>
      <c r="E3935" t="s">
        <v>75</v>
      </c>
    </row>
    <row r="3936" spans="1:5" x14ac:dyDescent="0.3">
      <c r="A3936" t="s">
        <v>1438</v>
      </c>
      <c r="B3936" t="s">
        <v>221</v>
      </c>
      <c r="C3936" t="s">
        <v>995</v>
      </c>
      <c r="D3936" t="s">
        <v>9409</v>
      </c>
      <c r="E3936" t="s">
        <v>75</v>
      </c>
    </row>
    <row r="3937" spans="1:5" x14ac:dyDescent="0.3">
      <c r="A3937" t="s">
        <v>1513</v>
      </c>
      <c r="B3937" t="s">
        <v>3407</v>
      </c>
      <c r="C3937" t="s">
        <v>9414</v>
      </c>
      <c r="D3937" t="s">
        <v>9409</v>
      </c>
      <c r="E3937" t="s">
        <v>75</v>
      </c>
    </row>
    <row r="3938" spans="1:5" x14ac:dyDescent="0.3">
      <c r="A3938" t="s">
        <v>2775</v>
      </c>
      <c r="B3938" t="s">
        <v>196</v>
      </c>
      <c r="C3938" t="s">
        <v>862</v>
      </c>
      <c r="D3938" t="s">
        <v>9409</v>
      </c>
      <c r="E3938" t="s">
        <v>75</v>
      </c>
    </row>
    <row r="3939" spans="1:5" x14ac:dyDescent="0.3">
      <c r="A3939" t="s">
        <v>230</v>
      </c>
      <c r="B3939" t="s">
        <v>3655</v>
      </c>
      <c r="C3939" t="s">
        <v>862</v>
      </c>
      <c r="D3939" t="s">
        <v>9409</v>
      </c>
      <c r="E3939" t="s">
        <v>75</v>
      </c>
    </row>
    <row r="3940" spans="1:5" x14ac:dyDescent="0.3">
      <c r="A3940" t="s">
        <v>20</v>
      </c>
      <c r="B3940" t="s">
        <v>134</v>
      </c>
      <c r="C3940" t="s">
        <v>9415</v>
      </c>
      <c r="D3940" t="s">
        <v>9409</v>
      </c>
      <c r="E3940" t="s">
        <v>75</v>
      </c>
    </row>
    <row r="3941" spans="1:5" x14ac:dyDescent="0.3">
      <c r="A3941" t="s">
        <v>9416</v>
      </c>
      <c r="B3941" t="s">
        <v>9418</v>
      </c>
      <c r="C3941" t="s">
        <v>9417</v>
      </c>
      <c r="D3941" t="s">
        <v>9409</v>
      </c>
      <c r="E3941" t="s">
        <v>75</v>
      </c>
    </row>
    <row r="3942" spans="1:5" x14ac:dyDescent="0.3">
      <c r="A3942" t="s">
        <v>44</v>
      </c>
      <c r="B3942" t="s">
        <v>1761</v>
      </c>
      <c r="C3942" t="s">
        <v>461</v>
      </c>
      <c r="D3942" t="s">
        <v>8342</v>
      </c>
      <c r="E3942" t="s">
        <v>75</v>
      </c>
    </row>
    <row r="3943" spans="1:5" x14ac:dyDescent="0.3">
      <c r="A3943" t="s">
        <v>352</v>
      </c>
      <c r="B3943" t="s">
        <v>9420</v>
      </c>
      <c r="C3943" t="s">
        <v>460</v>
      </c>
      <c r="D3943" t="s">
        <v>9419</v>
      </c>
      <c r="E3943" t="s">
        <v>75</v>
      </c>
    </row>
    <row r="3944" spans="1:5" x14ac:dyDescent="0.3">
      <c r="A3944" t="s">
        <v>1170</v>
      </c>
      <c r="B3944" t="s">
        <v>5145</v>
      </c>
      <c r="C3944" t="s">
        <v>467</v>
      </c>
      <c r="D3944" t="s">
        <v>9421</v>
      </c>
      <c r="E3944" t="s">
        <v>75</v>
      </c>
    </row>
    <row r="3945" spans="1:5" x14ac:dyDescent="0.3">
      <c r="A3945" t="s">
        <v>9423</v>
      </c>
      <c r="B3945" t="s">
        <v>824</v>
      </c>
      <c r="C3945" t="s">
        <v>467</v>
      </c>
      <c r="D3945" t="s">
        <v>9422</v>
      </c>
      <c r="E3945" t="s">
        <v>75</v>
      </c>
    </row>
    <row r="3946" spans="1:5" x14ac:dyDescent="0.3">
      <c r="A3946" t="s">
        <v>3196</v>
      </c>
      <c r="B3946" t="s">
        <v>9424</v>
      </c>
      <c r="C3946" t="s">
        <v>9218</v>
      </c>
    </row>
    <row r="3947" spans="1:5" x14ac:dyDescent="0.3">
      <c r="A3947" t="s">
        <v>224</v>
      </c>
      <c r="B3947" t="s">
        <v>4006</v>
      </c>
      <c r="C3947" t="s">
        <v>461</v>
      </c>
      <c r="D3947" t="s">
        <v>9426</v>
      </c>
      <c r="E3947" t="s">
        <v>75</v>
      </c>
    </row>
    <row r="3948" spans="1:5" x14ac:dyDescent="0.3">
      <c r="A3948" t="s">
        <v>160</v>
      </c>
      <c r="B3948" t="s">
        <v>3954</v>
      </c>
      <c r="C3948" t="s">
        <v>459</v>
      </c>
      <c r="D3948" t="s">
        <v>9426</v>
      </c>
      <c r="E3948" t="s">
        <v>75</v>
      </c>
    </row>
    <row r="3949" spans="1:5" x14ac:dyDescent="0.3">
      <c r="A3949" t="s">
        <v>29</v>
      </c>
      <c r="B3949" t="s">
        <v>319</v>
      </c>
      <c r="C3949" t="s">
        <v>467</v>
      </c>
      <c r="D3949" t="s">
        <v>9427</v>
      </c>
      <c r="E3949" t="s">
        <v>75</v>
      </c>
    </row>
    <row r="3950" spans="1:5" x14ac:dyDescent="0.3">
      <c r="A3950" t="s">
        <v>9429</v>
      </c>
      <c r="B3950" t="s">
        <v>107</v>
      </c>
      <c r="C3950" t="s">
        <v>459</v>
      </c>
      <c r="D3950" t="s">
        <v>9428</v>
      </c>
      <c r="E3950" t="s">
        <v>75</v>
      </c>
    </row>
    <row r="3951" spans="1:5" x14ac:dyDescent="0.3">
      <c r="A3951" t="s">
        <v>7939</v>
      </c>
      <c r="B3951" t="s">
        <v>4890</v>
      </c>
      <c r="C3951" t="s">
        <v>467</v>
      </c>
      <c r="D3951" t="s">
        <v>9430</v>
      </c>
      <c r="E3951" t="s">
        <v>75</v>
      </c>
    </row>
    <row r="3952" spans="1:5" x14ac:dyDescent="0.3">
      <c r="A3952" t="s">
        <v>65</v>
      </c>
      <c r="B3952" t="s">
        <v>5451</v>
      </c>
      <c r="C3952" t="s">
        <v>467</v>
      </c>
      <c r="D3952" t="s">
        <v>9431</v>
      </c>
      <c r="E3952" t="s">
        <v>75</v>
      </c>
    </row>
    <row r="3953" spans="1:5" x14ac:dyDescent="0.3">
      <c r="A3953" t="s">
        <v>3296</v>
      </c>
      <c r="B3953" t="s">
        <v>9433</v>
      </c>
      <c r="C3953" t="s">
        <v>9432</v>
      </c>
      <c r="D3953" t="s">
        <v>8859</v>
      </c>
      <c r="E3953" t="s">
        <v>75</v>
      </c>
    </row>
    <row r="3954" spans="1:5" x14ac:dyDescent="0.3">
      <c r="A3954" t="s">
        <v>4846</v>
      </c>
      <c r="B3954" t="s">
        <v>9435</v>
      </c>
      <c r="C3954" t="s">
        <v>467</v>
      </c>
      <c r="D3954" t="s">
        <v>9434</v>
      </c>
      <c r="E3954" t="s">
        <v>75</v>
      </c>
    </row>
    <row r="3955" spans="1:5" x14ac:dyDescent="0.3">
      <c r="A3955" t="s">
        <v>1429</v>
      </c>
      <c r="B3955" t="s">
        <v>899</v>
      </c>
      <c r="C3955" t="s">
        <v>467</v>
      </c>
      <c r="D3955" t="s">
        <v>9436</v>
      </c>
      <c r="E3955" t="s">
        <v>75</v>
      </c>
    </row>
    <row r="3956" spans="1:5" x14ac:dyDescent="0.3">
      <c r="A3956" t="s">
        <v>206</v>
      </c>
      <c r="B3956" t="s">
        <v>9439</v>
      </c>
      <c r="C3956" t="s">
        <v>9438</v>
      </c>
      <c r="D3956" t="s">
        <v>9437</v>
      </c>
      <c r="E3956" t="s">
        <v>75</v>
      </c>
    </row>
    <row r="3957" spans="1:5" x14ac:dyDescent="0.3">
      <c r="A3957" t="s">
        <v>251</v>
      </c>
      <c r="B3957" t="s">
        <v>9440</v>
      </c>
      <c r="C3957" t="s">
        <v>459</v>
      </c>
      <c r="D3957" t="s">
        <v>9437</v>
      </c>
      <c r="E3957" t="s">
        <v>75</v>
      </c>
    </row>
    <row r="3958" spans="1:5" x14ac:dyDescent="0.3">
      <c r="A3958" t="s">
        <v>438</v>
      </c>
      <c r="B3958" t="s">
        <v>9442</v>
      </c>
      <c r="C3958" t="s">
        <v>467</v>
      </c>
      <c r="D3958" t="s">
        <v>9441</v>
      </c>
      <c r="E3958" t="s">
        <v>75</v>
      </c>
    </row>
    <row r="3959" spans="1:5" x14ac:dyDescent="0.3">
      <c r="A3959" t="s">
        <v>190</v>
      </c>
      <c r="B3959" t="s">
        <v>76</v>
      </c>
      <c r="C3959" t="s">
        <v>7516</v>
      </c>
      <c r="D3959" t="s">
        <v>9443</v>
      </c>
      <c r="E3959" t="s">
        <v>75</v>
      </c>
    </row>
    <row r="3960" spans="1:5" x14ac:dyDescent="0.3">
      <c r="A3960" t="s">
        <v>9445</v>
      </c>
      <c r="B3960" t="s">
        <v>4705</v>
      </c>
      <c r="C3960" t="s">
        <v>5262</v>
      </c>
      <c r="D3960" t="s">
        <v>9444</v>
      </c>
      <c r="E3960" t="s">
        <v>75</v>
      </c>
    </row>
    <row r="3961" spans="1:5" x14ac:dyDescent="0.3">
      <c r="A3961" t="s">
        <v>3327</v>
      </c>
      <c r="B3961" t="s">
        <v>409</v>
      </c>
      <c r="C3961" t="s">
        <v>459</v>
      </c>
      <c r="D3961" t="s">
        <v>9446</v>
      </c>
      <c r="E3961" t="s">
        <v>75</v>
      </c>
    </row>
    <row r="3962" spans="1:5" x14ac:dyDescent="0.3">
      <c r="A3962" t="s">
        <v>3915</v>
      </c>
      <c r="B3962" t="s">
        <v>4402</v>
      </c>
      <c r="C3962" t="s">
        <v>9448</v>
      </c>
      <c r="D3962" t="s">
        <v>9447</v>
      </c>
      <c r="E3962" t="s">
        <v>75</v>
      </c>
    </row>
    <row r="3963" spans="1:5" x14ac:dyDescent="0.3">
      <c r="A3963" t="s">
        <v>9449</v>
      </c>
      <c r="B3963" t="s">
        <v>9270</v>
      </c>
      <c r="C3963" t="s">
        <v>460</v>
      </c>
      <c r="D3963" t="s">
        <v>9447</v>
      </c>
      <c r="E3963" t="s">
        <v>75</v>
      </c>
    </row>
    <row r="3964" spans="1:5" x14ac:dyDescent="0.3">
      <c r="A3964" t="s">
        <v>5947</v>
      </c>
      <c r="B3964" t="s">
        <v>1252</v>
      </c>
      <c r="C3964" t="s">
        <v>461</v>
      </c>
      <c r="D3964" t="s">
        <v>9447</v>
      </c>
      <c r="E3964" t="s">
        <v>75</v>
      </c>
    </row>
    <row r="3965" spans="1:5" x14ac:dyDescent="0.3">
      <c r="A3965" t="s">
        <v>9451</v>
      </c>
      <c r="B3965" t="s">
        <v>1837</v>
      </c>
      <c r="C3965" t="s">
        <v>461</v>
      </c>
      <c r="D3965" t="s">
        <v>9450</v>
      </c>
      <c r="E3965" t="s">
        <v>75</v>
      </c>
    </row>
    <row r="3966" spans="1:5" x14ac:dyDescent="0.3">
      <c r="A3966" t="s">
        <v>1630</v>
      </c>
      <c r="B3966" t="s">
        <v>9453</v>
      </c>
      <c r="C3966" t="s">
        <v>467</v>
      </c>
      <c r="D3966" t="s">
        <v>9452</v>
      </c>
      <c r="E3966" t="s">
        <v>75</v>
      </c>
    </row>
    <row r="3967" spans="1:5" x14ac:dyDescent="0.3">
      <c r="A3967" t="s">
        <v>2501</v>
      </c>
      <c r="B3967" t="s">
        <v>3925</v>
      </c>
      <c r="C3967" t="s">
        <v>467</v>
      </c>
      <c r="D3967" t="s">
        <v>9454</v>
      </c>
      <c r="E3967" t="s">
        <v>75</v>
      </c>
    </row>
    <row r="3968" spans="1:5" x14ac:dyDescent="0.3">
      <c r="A3968" t="s">
        <v>50</v>
      </c>
      <c r="B3968" t="s">
        <v>3924</v>
      </c>
      <c r="C3968" t="s">
        <v>460</v>
      </c>
      <c r="D3968" t="s">
        <v>9455</v>
      </c>
      <c r="E3968" t="s">
        <v>75</v>
      </c>
    </row>
    <row r="3969" spans="1:5" x14ac:dyDescent="0.3">
      <c r="A3969" t="s">
        <v>3090</v>
      </c>
      <c r="B3969" t="s">
        <v>9457</v>
      </c>
      <c r="C3969" t="s">
        <v>451</v>
      </c>
      <c r="D3969" t="s">
        <v>9456</v>
      </c>
      <c r="E3969" t="s">
        <v>75</v>
      </c>
    </row>
    <row r="3970" spans="1:5" x14ac:dyDescent="0.3">
      <c r="A3970" t="s">
        <v>304</v>
      </c>
      <c r="B3970" t="s">
        <v>4299</v>
      </c>
      <c r="C3970" t="s">
        <v>455</v>
      </c>
      <c r="D3970" t="s">
        <v>9458</v>
      </c>
      <c r="E3970" t="s">
        <v>75</v>
      </c>
    </row>
    <row r="3971" spans="1:5" x14ac:dyDescent="0.3">
      <c r="A3971" t="s">
        <v>9460</v>
      </c>
      <c r="B3971" t="s">
        <v>9461</v>
      </c>
      <c r="C3971" t="s">
        <v>461</v>
      </c>
    </row>
    <row r="3972" spans="1:5" x14ac:dyDescent="0.3">
      <c r="A3972" t="s">
        <v>4006</v>
      </c>
      <c r="B3972" t="s">
        <v>3983</v>
      </c>
      <c r="C3972" t="s">
        <v>3299</v>
      </c>
      <c r="D3972" t="s">
        <v>9459</v>
      </c>
      <c r="E3972" t="s">
        <v>75</v>
      </c>
    </row>
    <row r="3973" spans="1:5" x14ac:dyDescent="0.3">
      <c r="A3973" t="s">
        <v>864</v>
      </c>
      <c r="B3973" t="s">
        <v>3119</v>
      </c>
      <c r="C3973" t="s">
        <v>9462</v>
      </c>
      <c r="D3973" t="s">
        <v>9459</v>
      </c>
      <c r="E3973" t="s">
        <v>75</v>
      </c>
    </row>
    <row r="3974" spans="1:5" x14ac:dyDescent="0.3">
      <c r="A3974" t="s">
        <v>380</v>
      </c>
      <c r="B3974" t="s">
        <v>434</v>
      </c>
      <c r="C3974" t="s">
        <v>467</v>
      </c>
      <c r="D3974" t="s">
        <v>9459</v>
      </c>
      <c r="E3974" t="s">
        <v>75</v>
      </c>
    </row>
    <row r="3975" spans="1:5" x14ac:dyDescent="0.3">
      <c r="A3975" t="s">
        <v>313</v>
      </c>
      <c r="B3975" t="s">
        <v>2507</v>
      </c>
      <c r="C3975" t="s">
        <v>457</v>
      </c>
      <c r="D3975" t="s">
        <v>9459</v>
      </c>
      <c r="E3975" t="s">
        <v>75</v>
      </c>
    </row>
    <row r="3976" spans="1:5" x14ac:dyDescent="0.3">
      <c r="A3976" t="s">
        <v>851</v>
      </c>
      <c r="B3976" t="s">
        <v>4952</v>
      </c>
      <c r="C3976" t="s">
        <v>7516</v>
      </c>
      <c r="D3976" t="s">
        <v>9463</v>
      </c>
      <c r="E3976" t="s">
        <v>75</v>
      </c>
    </row>
    <row r="3977" spans="1:5" x14ac:dyDescent="0.3">
      <c r="A3977" t="s">
        <v>3688</v>
      </c>
      <c r="B3977" t="s">
        <v>301</v>
      </c>
      <c r="C3977" t="s">
        <v>467</v>
      </c>
      <c r="D3977" t="s">
        <v>9464</v>
      </c>
      <c r="E3977" t="s">
        <v>75</v>
      </c>
    </row>
    <row r="3978" spans="1:5" x14ac:dyDescent="0.3">
      <c r="A3978" t="s">
        <v>864</v>
      </c>
      <c r="B3978" t="s">
        <v>9466</v>
      </c>
      <c r="C3978" t="s">
        <v>461</v>
      </c>
      <c r="D3978" t="s">
        <v>9465</v>
      </c>
      <c r="E3978" t="s">
        <v>75</v>
      </c>
    </row>
    <row r="3979" spans="1:5" x14ac:dyDescent="0.3">
      <c r="A3979" t="s">
        <v>3631</v>
      </c>
      <c r="B3979" t="s">
        <v>3636</v>
      </c>
      <c r="C3979" t="s">
        <v>460</v>
      </c>
      <c r="D3979" t="s">
        <v>9468</v>
      </c>
      <c r="E3979" t="s">
        <v>75</v>
      </c>
    </row>
    <row r="3980" spans="1:5" x14ac:dyDescent="0.3">
      <c r="A3980" t="s">
        <v>132</v>
      </c>
      <c r="B3980" t="s">
        <v>9470</v>
      </c>
      <c r="C3980" t="s">
        <v>461</v>
      </c>
      <c r="D3980" t="s">
        <v>9469</v>
      </c>
      <c r="E3980" t="s">
        <v>75</v>
      </c>
    </row>
    <row r="3981" spans="1:5" x14ac:dyDescent="0.3">
      <c r="A3981" t="s">
        <v>9473</v>
      </c>
      <c r="B3981" t="s">
        <v>7239</v>
      </c>
      <c r="C3981" t="s">
        <v>461</v>
      </c>
      <c r="D3981" t="s">
        <v>9472</v>
      </c>
      <c r="E3981" t="s">
        <v>75</v>
      </c>
    </row>
    <row r="3982" spans="1:5" x14ac:dyDescent="0.3">
      <c r="A3982" t="s">
        <v>153</v>
      </c>
      <c r="B3982" t="s">
        <v>3960</v>
      </c>
      <c r="C3982" t="s">
        <v>461</v>
      </c>
      <c r="D3982" t="s">
        <v>9474</v>
      </c>
      <c r="E3982" t="s">
        <v>75</v>
      </c>
    </row>
    <row r="3983" spans="1:5" x14ac:dyDescent="0.3">
      <c r="A3983" t="s">
        <v>4631</v>
      </c>
      <c r="B3983" t="s">
        <v>9477</v>
      </c>
      <c r="C3983" t="s">
        <v>9476</v>
      </c>
      <c r="D3983" t="s">
        <v>9475</v>
      </c>
      <c r="E3983" t="s">
        <v>5931</v>
      </c>
    </row>
    <row r="3984" spans="1:5" x14ac:dyDescent="0.3">
      <c r="A3984" t="s">
        <v>179</v>
      </c>
      <c r="B3984" t="s">
        <v>13063</v>
      </c>
      <c r="C3984" t="s">
        <v>461</v>
      </c>
      <c r="D3984" t="s">
        <v>9478</v>
      </c>
      <c r="E3984" t="s">
        <v>75</v>
      </c>
    </row>
    <row r="3985" spans="1:5" x14ac:dyDescent="0.3">
      <c r="A3985" t="s">
        <v>116</v>
      </c>
      <c r="B3985" t="s">
        <v>9480</v>
      </c>
      <c r="C3985" t="s">
        <v>461</v>
      </c>
      <c r="D3985" t="s">
        <v>9479</v>
      </c>
      <c r="E3985" t="s">
        <v>75</v>
      </c>
    </row>
    <row r="3986" spans="1:5" x14ac:dyDescent="0.3">
      <c r="A3986" t="s">
        <v>195</v>
      </c>
      <c r="B3986" t="s">
        <v>9483</v>
      </c>
      <c r="C3986" t="s">
        <v>6179</v>
      </c>
      <c r="D3986" t="s">
        <v>9482</v>
      </c>
      <c r="E3986" t="s">
        <v>75</v>
      </c>
    </row>
    <row r="3987" spans="1:5" x14ac:dyDescent="0.3">
      <c r="A3987" t="s">
        <v>3255</v>
      </c>
      <c r="B3987" t="s">
        <v>9485</v>
      </c>
      <c r="C3987" t="s">
        <v>459</v>
      </c>
      <c r="D3987" t="s">
        <v>9484</v>
      </c>
      <c r="E3987" t="s">
        <v>75</v>
      </c>
    </row>
    <row r="3988" spans="1:5" x14ac:dyDescent="0.3">
      <c r="A3988" t="s">
        <v>3034</v>
      </c>
      <c r="B3988" t="s">
        <v>9487</v>
      </c>
      <c r="C3988" t="s">
        <v>460</v>
      </c>
      <c r="D3988" t="s">
        <v>9486</v>
      </c>
      <c r="E3988" t="s">
        <v>75</v>
      </c>
    </row>
    <row r="3989" spans="1:5" x14ac:dyDescent="0.3">
      <c r="A3989" t="s">
        <v>195</v>
      </c>
      <c r="B3989" t="s">
        <v>3356</v>
      </c>
      <c r="C3989" t="s">
        <v>467</v>
      </c>
      <c r="D3989" t="s">
        <v>9488</v>
      </c>
      <c r="E3989" t="s">
        <v>75</v>
      </c>
    </row>
    <row r="3990" spans="1:5" x14ac:dyDescent="0.3">
      <c r="A3990" t="s">
        <v>153</v>
      </c>
      <c r="B3990" t="s">
        <v>348</v>
      </c>
      <c r="C3990" t="s">
        <v>9490</v>
      </c>
      <c r="D3990" t="s">
        <v>9489</v>
      </c>
      <c r="E3990" t="s">
        <v>75</v>
      </c>
    </row>
    <row r="3991" spans="1:5" x14ac:dyDescent="0.3">
      <c r="A3991" t="s">
        <v>2069</v>
      </c>
      <c r="B3991" t="s">
        <v>9492</v>
      </c>
      <c r="C3991" t="s">
        <v>9491</v>
      </c>
      <c r="D3991" t="s">
        <v>771</v>
      </c>
      <c r="E3991" t="s">
        <v>743</v>
      </c>
    </row>
    <row r="3992" spans="1:5" x14ac:dyDescent="0.3">
      <c r="A3992" t="s">
        <v>9493</v>
      </c>
      <c r="B3992" t="s">
        <v>9494</v>
      </c>
      <c r="C3992" t="s">
        <v>459</v>
      </c>
      <c r="D3992" t="s">
        <v>9489</v>
      </c>
      <c r="E3992" t="s">
        <v>75</v>
      </c>
    </row>
    <row r="3993" spans="1:5" x14ac:dyDescent="0.3">
      <c r="A3993" t="s">
        <v>177</v>
      </c>
      <c r="B3993" t="s">
        <v>9495</v>
      </c>
      <c r="C3993" t="s">
        <v>461</v>
      </c>
      <c r="D3993" t="s">
        <v>9489</v>
      </c>
      <c r="E3993" t="s">
        <v>75</v>
      </c>
    </row>
    <row r="3994" spans="1:5" x14ac:dyDescent="0.3">
      <c r="A3994" t="s">
        <v>4831</v>
      </c>
      <c r="B3994" t="s">
        <v>9497</v>
      </c>
      <c r="C3994" t="s">
        <v>457</v>
      </c>
      <c r="D3994" t="s">
        <v>9496</v>
      </c>
      <c r="E3994" t="s">
        <v>75</v>
      </c>
    </row>
    <row r="3995" spans="1:5" x14ac:dyDescent="0.3">
      <c r="A3995" t="s">
        <v>34</v>
      </c>
      <c r="B3995" t="s">
        <v>3664</v>
      </c>
      <c r="C3995" t="s">
        <v>460</v>
      </c>
      <c r="D3995" t="s">
        <v>9496</v>
      </c>
      <c r="E3995" t="s">
        <v>75</v>
      </c>
    </row>
    <row r="3996" spans="1:5" x14ac:dyDescent="0.3">
      <c r="A3996" t="s">
        <v>179</v>
      </c>
      <c r="B3996" t="s">
        <v>36</v>
      </c>
      <c r="C3996" t="s">
        <v>459</v>
      </c>
      <c r="D3996" t="s">
        <v>5060</v>
      </c>
      <c r="E3996" t="s">
        <v>743</v>
      </c>
    </row>
    <row r="3997" spans="1:5" x14ac:dyDescent="0.3">
      <c r="A3997" t="s">
        <v>5663</v>
      </c>
      <c r="B3997" t="s">
        <v>9499</v>
      </c>
      <c r="C3997" t="s">
        <v>467</v>
      </c>
      <c r="D3997" t="s">
        <v>9498</v>
      </c>
      <c r="E3997" t="s">
        <v>75</v>
      </c>
    </row>
    <row r="3998" spans="1:5" x14ac:dyDescent="0.3">
      <c r="A3998" t="s">
        <v>9501</v>
      </c>
      <c r="B3998" t="s">
        <v>9502</v>
      </c>
      <c r="C3998" t="s">
        <v>467</v>
      </c>
      <c r="D3998" t="s">
        <v>9500</v>
      </c>
      <c r="E3998" t="s">
        <v>75</v>
      </c>
    </row>
    <row r="3999" spans="1:5" x14ac:dyDescent="0.3">
      <c r="A3999" t="s">
        <v>3325</v>
      </c>
      <c r="B3999" t="s">
        <v>9504</v>
      </c>
      <c r="C3999" t="s">
        <v>460</v>
      </c>
      <c r="D3999" t="s">
        <v>9503</v>
      </c>
      <c r="E3999" t="s">
        <v>75</v>
      </c>
    </row>
    <row r="4000" spans="1:5" x14ac:dyDescent="0.3">
      <c r="A4000" t="s">
        <v>184</v>
      </c>
      <c r="B4000" t="s">
        <v>3826</v>
      </c>
      <c r="C4000" t="s">
        <v>467</v>
      </c>
      <c r="D4000" t="s">
        <v>9506</v>
      </c>
      <c r="E4000" t="s">
        <v>781</v>
      </c>
    </row>
    <row r="4001" spans="1:5" x14ac:dyDescent="0.3">
      <c r="A4001" t="s">
        <v>9509</v>
      </c>
      <c r="B4001" t="s">
        <v>9511</v>
      </c>
      <c r="C4001" t="s">
        <v>9510</v>
      </c>
      <c r="D4001" t="s">
        <v>9508</v>
      </c>
      <c r="E4001" t="s">
        <v>75</v>
      </c>
    </row>
    <row r="4002" spans="1:5" x14ac:dyDescent="0.3">
      <c r="A4002" t="s">
        <v>3579</v>
      </c>
      <c r="B4002" t="s">
        <v>9512</v>
      </c>
      <c r="C4002" t="s">
        <v>698</v>
      </c>
      <c r="D4002" t="s">
        <v>9508</v>
      </c>
      <c r="E4002" t="s">
        <v>75</v>
      </c>
    </row>
    <row r="4003" spans="1:5" x14ac:dyDescent="0.3">
      <c r="A4003" t="s">
        <v>153</v>
      </c>
      <c r="B4003" t="s">
        <v>9513</v>
      </c>
      <c r="C4003" t="s">
        <v>454</v>
      </c>
      <c r="D4003" t="s">
        <v>9508</v>
      </c>
      <c r="E4003" t="s">
        <v>75</v>
      </c>
    </row>
    <row r="4004" spans="1:5" x14ac:dyDescent="0.3">
      <c r="A4004" t="s">
        <v>1297</v>
      </c>
      <c r="B4004" t="s">
        <v>171</v>
      </c>
      <c r="C4004" t="s">
        <v>467</v>
      </c>
      <c r="D4004" t="s">
        <v>9514</v>
      </c>
      <c r="E4004" t="s">
        <v>75</v>
      </c>
    </row>
    <row r="4005" spans="1:5" x14ac:dyDescent="0.3">
      <c r="A4005" t="s">
        <v>756</v>
      </c>
      <c r="B4005" t="s">
        <v>3195</v>
      </c>
      <c r="C4005" t="s">
        <v>456</v>
      </c>
    </row>
    <row r="4006" spans="1:5" x14ac:dyDescent="0.3">
      <c r="A4006" t="s">
        <v>13064</v>
      </c>
      <c r="B4006" t="s">
        <v>13065</v>
      </c>
      <c r="C4006" t="s">
        <v>467</v>
      </c>
      <c r="D4006" t="s">
        <v>9515</v>
      </c>
      <c r="E4006" t="s">
        <v>75</v>
      </c>
    </row>
    <row r="4007" spans="1:5" x14ac:dyDescent="0.3">
      <c r="A4007" t="s">
        <v>1556</v>
      </c>
      <c r="B4007" t="s">
        <v>3990</v>
      </c>
      <c r="C4007" t="s">
        <v>461</v>
      </c>
      <c r="D4007" t="s">
        <v>9515</v>
      </c>
      <c r="E4007" t="s">
        <v>75</v>
      </c>
    </row>
    <row r="4008" spans="1:5" x14ac:dyDescent="0.3">
      <c r="A4008" t="s">
        <v>59</v>
      </c>
      <c r="B4008" t="s">
        <v>9517</v>
      </c>
      <c r="C4008" t="s">
        <v>457</v>
      </c>
      <c r="D4008" t="s">
        <v>9516</v>
      </c>
      <c r="E4008" t="s">
        <v>75</v>
      </c>
    </row>
    <row r="4009" spans="1:5" x14ac:dyDescent="0.3">
      <c r="A4009" t="s">
        <v>4784</v>
      </c>
      <c r="B4009" t="s">
        <v>9520</v>
      </c>
      <c r="C4009" t="s">
        <v>461</v>
      </c>
      <c r="D4009" t="s">
        <v>9519</v>
      </c>
      <c r="E4009" t="s">
        <v>75</v>
      </c>
    </row>
    <row r="4010" spans="1:5" x14ac:dyDescent="0.3">
      <c r="A4010" t="s">
        <v>3562</v>
      </c>
      <c r="B4010" t="s">
        <v>3566</v>
      </c>
      <c r="C4010" t="s">
        <v>862</v>
      </c>
      <c r="D4010" t="s">
        <v>8874</v>
      </c>
      <c r="E4010" t="s">
        <v>75</v>
      </c>
    </row>
    <row r="4011" spans="1:5" x14ac:dyDescent="0.3">
      <c r="A4011" t="s">
        <v>50</v>
      </c>
      <c r="B4011" t="s">
        <v>9522</v>
      </c>
      <c r="C4011" t="s">
        <v>461</v>
      </c>
      <c r="D4011" t="s">
        <v>9521</v>
      </c>
      <c r="E4011" t="s">
        <v>75</v>
      </c>
    </row>
    <row r="4012" spans="1:5" x14ac:dyDescent="0.3">
      <c r="A4012" t="s">
        <v>347</v>
      </c>
      <c r="B4012" t="s">
        <v>9525</v>
      </c>
      <c r="C4012" t="s">
        <v>455</v>
      </c>
      <c r="D4012" t="s">
        <v>9524</v>
      </c>
      <c r="E4012" t="s">
        <v>75</v>
      </c>
    </row>
    <row r="4013" spans="1:5" x14ac:dyDescent="0.3">
      <c r="A4013" t="s">
        <v>3415</v>
      </c>
      <c r="B4013" t="s">
        <v>9527</v>
      </c>
      <c r="C4013" t="s">
        <v>460</v>
      </c>
      <c r="D4013" t="s">
        <v>9526</v>
      </c>
      <c r="E4013" t="s">
        <v>75</v>
      </c>
    </row>
    <row r="4014" spans="1:5" x14ac:dyDescent="0.3">
      <c r="A4014" t="s">
        <v>3277</v>
      </c>
      <c r="B4014" t="s">
        <v>1241</v>
      </c>
      <c r="C4014" t="s">
        <v>459</v>
      </c>
      <c r="D4014" t="s">
        <v>9526</v>
      </c>
      <c r="E4014" t="s">
        <v>75</v>
      </c>
    </row>
    <row r="4015" spans="1:5" x14ac:dyDescent="0.3">
      <c r="A4015" t="s">
        <v>331</v>
      </c>
      <c r="B4015" t="s">
        <v>4258</v>
      </c>
      <c r="C4015" t="s">
        <v>456</v>
      </c>
      <c r="D4015" t="s">
        <v>9528</v>
      </c>
      <c r="E4015" t="s">
        <v>75</v>
      </c>
    </row>
    <row r="4016" spans="1:5" x14ac:dyDescent="0.3">
      <c r="A4016" t="s">
        <v>50</v>
      </c>
      <c r="B4016" t="s">
        <v>3259</v>
      </c>
      <c r="C4016" t="s">
        <v>467</v>
      </c>
      <c r="D4016" t="s">
        <v>9529</v>
      </c>
      <c r="E4016" t="s">
        <v>75</v>
      </c>
    </row>
    <row r="4017" spans="1:5" x14ac:dyDescent="0.3">
      <c r="A4017" t="s">
        <v>209</v>
      </c>
      <c r="B4017" t="s">
        <v>4286</v>
      </c>
      <c r="C4017" t="s">
        <v>460</v>
      </c>
      <c r="D4017" t="s">
        <v>9529</v>
      </c>
      <c r="E4017" t="s">
        <v>75</v>
      </c>
    </row>
    <row r="4018" spans="1:5" x14ac:dyDescent="0.3">
      <c r="A4018" t="s">
        <v>2821</v>
      </c>
      <c r="B4018" t="s">
        <v>3369</v>
      </c>
      <c r="C4018" t="s">
        <v>455</v>
      </c>
      <c r="D4018" t="s">
        <v>9530</v>
      </c>
      <c r="E4018" t="s">
        <v>75</v>
      </c>
    </row>
    <row r="4019" spans="1:5" x14ac:dyDescent="0.3">
      <c r="A4019" t="s">
        <v>224</v>
      </c>
      <c r="B4019" t="s">
        <v>1305</v>
      </c>
      <c r="C4019" t="s">
        <v>467</v>
      </c>
      <c r="D4019" t="s">
        <v>9531</v>
      </c>
      <c r="E4019" t="s">
        <v>75</v>
      </c>
    </row>
    <row r="4020" spans="1:5" x14ac:dyDescent="0.3">
      <c r="A4020" t="s">
        <v>7679</v>
      </c>
      <c r="B4020" t="s">
        <v>9252</v>
      </c>
      <c r="C4020" t="s">
        <v>9532</v>
      </c>
      <c r="D4020" t="s">
        <v>9531</v>
      </c>
      <c r="E4020" t="s">
        <v>75</v>
      </c>
    </row>
    <row r="4021" spans="1:5" x14ac:dyDescent="0.3">
      <c r="A4021" t="s">
        <v>9536</v>
      </c>
      <c r="B4021" t="s">
        <v>4879</v>
      </c>
      <c r="C4021" t="s">
        <v>458</v>
      </c>
      <c r="D4021" t="s">
        <v>9535</v>
      </c>
      <c r="E4021" t="s">
        <v>75</v>
      </c>
    </row>
    <row r="4022" spans="1:5" x14ac:dyDescent="0.3">
      <c r="A4022" t="s">
        <v>150</v>
      </c>
      <c r="B4022" t="s">
        <v>260</v>
      </c>
      <c r="C4022" t="s">
        <v>467</v>
      </c>
      <c r="D4022" t="s">
        <v>9537</v>
      </c>
      <c r="E4022" t="s">
        <v>75</v>
      </c>
    </row>
    <row r="4023" spans="1:5" x14ac:dyDescent="0.3">
      <c r="A4023" t="s">
        <v>826</v>
      </c>
      <c r="B4023" t="s">
        <v>3142</v>
      </c>
      <c r="C4023" t="s">
        <v>4102</v>
      </c>
      <c r="D4023" t="s">
        <v>1673</v>
      </c>
      <c r="E4023" t="s">
        <v>758</v>
      </c>
    </row>
    <row r="4024" spans="1:5" x14ac:dyDescent="0.3">
      <c r="A4024" t="s">
        <v>4053</v>
      </c>
      <c r="B4024" t="s">
        <v>3191</v>
      </c>
      <c r="C4024" t="s">
        <v>467</v>
      </c>
      <c r="D4024" t="s">
        <v>9538</v>
      </c>
      <c r="E4024" t="s">
        <v>75</v>
      </c>
    </row>
    <row r="4025" spans="1:5" x14ac:dyDescent="0.3">
      <c r="A4025" t="s">
        <v>347</v>
      </c>
      <c r="B4025" t="s">
        <v>8658</v>
      </c>
      <c r="C4025" t="s">
        <v>459</v>
      </c>
      <c r="D4025" t="s">
        <v>9539</v>
      </c>
      <c r="E4025" t="s">
        <v>75</v>
      </c>
    </row>
    <row r="4026" spans="1:5" x14ac:dyDescent="0.3">
      <c r="A4026" t="s">
        <v>5349</v>
      </c>
      <c r="B4026" t="s">
        <v>9541</v>
      </c>
      <c r="C4026" t="s">
        <v>461</v>
      </c>
      <c r="D4026" t="s">
        <v>9540</v>
      </c>
      <c r="E4026" t="s">
        <v>75</v>
      </c>
    </row>
    <row r="4027" spans="1:5" x14ac:dyDescent="0.3">
      <c r="A4027" t="s">
        <v>1339</v>
      </c>
      <c r="B4027" t="s">
        <v>6318</v>
      </c>
      <c r="C4027" t="s">
        <v>862</v>
      </c>
      <c r="D4027" t="s">
        <v>951</v>
      </c>
      <c r="E4027" t="s">
        <v>1</v>
      </c>
    </row>
    <row r="4028" spans="1:5" x14ac:dyDescent="0.3">
      <c r="A4028" t="s">
        <v>264</v>
      </c>
      <c r="B4028" t="s">
        <v>321</v>
      </c>
      <c r="C4028" t="s">
        <v>467</v>
      </c>
      <c r="D4028" t="s">
        <v>9542</v>
      </c>
      <c r="E4028" t="s">
        <v>75</v>
      </c>
    </row>
    <row r="4029" spans="1:5" x14ac:dyDescent="0.3">
      <c r="A4029" t="s">
        <v>404</v>
      </c>
      <c r="B4029" t="s">
        <v>9406</v>
      </c>
      <c r="C4029" t="s">
        <v>467</v>
      </c>
      <c r="D4029" t="s">
        <v>2547</v>
      </c>
      <c r="E4029" t="s">
        <v>75</v>
      </c>
    </row>
    <row r="4030" spans="1:5" x14ac:dyDescent="0.3">
      <c r="A4030" t="s">
        <v>864</v>
      </c>
      <c r="B4030" t="s">
        <v>9545</v>
      </c>
      <c r="C4030" t="s">
        <v>460</v>
      </c>
      <c r="D4030" t="s">
        <v>9544</v>
      </c>
      <c r="E4030" t="s">
        <v>75</v>
      </c>
    </row>
    <row r="4031" spans="1:5" x14ac:dyDescent="0.3">
      <c r="A4031" t="s">
        <v>150</v>
      </c>
      <c r="B4031" t="s">
        <v>9547</v>
      </c>
      <c r="C4031" t="s">
        <v>460</v>
      </c>
      <c r="D4031" t="s">
        <v>9546</v>
      </c>
      <c r="E4031" t="s">
        <v>75</v>
      </c>
    </row>
    <row r="4032" spans="1:5" x14ac:dyDescent="0.3">
      <c r="A4032" t="s">
        <v>262</v>
      </c>
      <c r="B4032" t="s">
        <v>4532</v>
      </c>
      <c r="C4032" t="s">
        <v>460</v>
      </c>
      <c r="D4032" t="s">
        <v>9546</v>
      </c>
      <c r="E4032" t="s">
        <v>75</v>
      </c>
    </row>
    <row r="4033" spans="1:5" x14ac:dyDescent="0.3">
      <c r="A4033" t="s">
        <v>205</v>
      </c>
      <c r="B4033" t="s">
        <v>1187</v>
      </c>
      <c r="C4033" t="s">
        <v>455</v>
      </c>
      <c r="D4033" t="s">
        <v>9548</v>
      </c>
      <c r="E4033" t="s">
        <v>75</v>
      </c>
    </row>
    <row r="4034" spans="1:5" x14ac:dyDescent="0.3">
      <c r="A4034" t="s">
        <v>9550</v>
      </c>
      <c r="B4034" t="s">
        <v>9551</v>
      </c>
      <c r="C4034" t="s">
        <v>459</v>
      </c>
      <c r="D4034" t="s">
        <v>9549</v>
      </c>
      <c r="E4034" t="s">
        <v>75</v>
      </c>
    </row>
    <row r="4035" spans="1:5" x14ac:dyDescent="0.3">
      <c r="B4035" t="s">
        <v>9553</v>
      </c>
      <c r="C4035" t="s">
        <v>461</v>
      </c>
      <c r="D4035" t="s">
        <v>9552</v>
      </c>
      <c r="E4035" t="s">
        <v>75</v>
      </c>
    </row>
    <row r="4036" spans="1:5" x14ac:dyDescent="0.3">
      <c r="A4036" t="s">
        <v>339</v>
      </c>
      <c r="B4036" t="s">
        <v>9555</v>
      </c>
      <c r="C4036" t="s">
        <v>862</v>
      </c>
      <c r="D4036" t="s">
        <v>9554</v>
      </c>
      <c r="E4036" t="s">
        <v>75</v>
      </c>
    </row>
    <row r="4037" spans="1:5" x14ac:dyDescent="0.3">
      <c r="A4037" t="s">
        <v>224</v>
      </c>
      <c r="B4037" t="s">
        <v>9556</v>
      </c>
      <c r="C4037" t="s">
        <v>628</v>
      </c>
      <c r="D4037" t="s">
        <v>6845</v>
      </c>
      <c r="E4037" t="s">
        <v>75</v>
      </c>
    </row>
    <row r="4038" spans="1:5" x14ac:dyDescent="0.3">
      <c r="A4038" t="s">
        <v>9557</v>
      </c>
      <c r="B4038" t="s">
        <v>1336</v>
      </c>
      <c r="C4038" t="s">
        <v>9558</v>
      </c>
      <c r="D4038" t="s">
        <v>865</v>
      </c>
      <c r="E4038" t="s">
        <v>75</v>
      </c>
    </row>
    <row r="4039" spans="1:5" x14ac:dyDescent="0.3">
      <c r="A4039" t="s">
        <v>274</v>
      </c>
      <c r="B4039" t="s">
        <v>9560</v>
      </c>
      <c r="C4039" t="s">
        <v>467</v>
      </c>
      <c r="D4039" t="s">
        <v>9559</v>
      </c>
      <c r="E4039" t="s">
        <v>75</v>
      </c>
    </row>
    <row r="4040" spans="1:5" x14ac:dyDescent="0.3">
      <c r="A4040" t="s">
        <v>1479</v>
      </c>
      <c r="B4040" t="s">
        <v>9561</v>
      </c>
      <c r="C4040" t="s">
        <v>461</v>
      </c>
      <c r="D4040" t="s">
        <v>9559</v>
      </c>
      <c r="E4040" t="s">
        <v>75</v>
      </c>
    </row>
    <row r="4041" spans="1:5" x14ac:dyDescent="0.3">
      <c r="A4041" t="s">
        <v>9562</v>
      </c>
      <c r="B4041" t="s">
        <v>4363</v>
      </c>
      <c r="C4041" t="s">
        <v>461</v>
      </c>
      <c r="D4041" t="s">
        <v>9559</v>
      </c>
      <c r="E4041" t="s">
        <v>75</v>
      </c>
    </row>
    <row r="4042" spans="1:5" x14ac:dyDescent="0.3">
      <c r="A4042" t="s">
        <v>9565</v>
      </c>
      <c r="B4042" t="s">
        <v>9566</v>
      </c>
      <c r="C4042" t="s">
        <v>461</v>
      </c>
      <c r="D4042" t="s">
        <v>9564</v>
      </c>
      <c r="E4042" t="s">
        <v>75</v>
      </c>
    </row>
    <row r="4043" spans="1:5" x14ac:dyDescent="0.3">
      <c r="A4043" t="s">
        <v>1386</v>
      </c>
      <c r="B4043" t="s">
        <v>4024</v>
      </c>
      <c r="C4043" t="s">
        <v>451</v>
      </c>
      <c r="D4043" t="s">
        <v>9567</v>
      </c>
      <c r="E4043" t="s">
        <v>75</v>
      </c>
    </row>
    <row r="4044" spans="1:5" x14ac:dyDescent="0.3">
      <c r="A4044" t="s">
        <v>9569</v>
      </c>
      <c r="B4044" t="s">
        <v>9570</v>
      </c>
      <c r="C4044" t="s">
        <v>460</v>
      </c>
      <c r="D4044" t="s">
        <v>9568</v>
      </c>
      <c r="E4044" t="s">
        <v>75</v>
      </c>
    </row>
    <row r="4045" spans="1:5" x14ac:dyDescent="0.3">
      <c r="A4045" t="s">
        <v>851</v>
      </c>
      <c r="B4045" t="s">
        <v>7929</v>
      </c>
      <c r="C4045" t="s">
        <v>467</v>
      </c>
      <c r="D4045" t="s">
        <v>9568</v>
      </c>
      <c r="E4045" t="s">
        <v>75</v>
      </c>
    </row>
    <row r="4046" spans="1:5" x14ac:dyDescent="0.3">
      <c r="A4046" t="s">
        <v>195</v>
      </c>
      <c r="B4046" t="s">
        <v>2695</v>
      </c>
      <c r="C4046" t="s">
        <v>460</v>
      </c>
      <c r="D4046" t="s">
        <v>9571</v>
      </c>
      <c r="E4046" t="s">
        <v>75</v>
      </c>
    </row>
    <row r="4047" spans="1:5" x14ac:dyDescent="0.3">
      <c r="A4047" t="s">
        <v>9573</v>
      </c>
      <c r="B4047" t="s">
        <v>9574</v>
      </c>
      <c r="C4047" t="s">
        <v>467</v>
      </c>
      <c r="D4047" t="s">
        <v>9572</v>
      </c>
      <c r="E4047" t="s">
        <v>75</v>
      </c>
    </row>
    <row r="4048" spans="1:5" x14ac:dyDescent="0.3">
      <c r="A4048" t="s">
        <v>131</v>
      </c>
      <c r="B4048" t="s">
        <v>9576</v>
      </c>
      <c r="C4048" t="s">
        <v>467</v>
      </c>
      <c r="D4048" t="s">
        <v>9575</v>
      </c>
      <c r="E4048" t="s">
        <v>75</v>
      </c>
    </row>
    <row r="4049" spans="1:5" x14ac:dyDescent="0.3">
      <c r="A4049" t="s">
        <v>1479</v>
      </c>
      <c r="B4049" t="s">
        <v>9578</v>
      </c>
      <c r="C4049" t="s">
        <v>461</v>
      </c>
      <c r="D4049" t="s">
        <v>9577</v>
      </c>
      <c r="E4049" t="s">
        <v>75</v>
      </c>
    </row>
    <row r="4050" spans="1:5" x14ac:dyDescent="0.3">
      <c r="A4050" t="s">
        <v>82</v>
      </c>
      <c r="B4050" t="s">
        <v>2782</v>
      </c>
      <c r="C4050" t="s">
        <v>8855</v>
      </c>
      <c r="D4050" t="s">
        <v>9580</v>
      </c>
      <c r="E4050" t="s">
        <v>75</v>
      </c>
    </row>
    <row r="4051" spans="1:5" x14ac:dyDescent="0.3">
      <c r="A4051" t="s">
        <v>113</v>
      </c>
      <c r="B4051" t="s">
        <v>2200</v>
      </c>
      <c r="C4051" t="s">
        <v>467</v>
      </c>
      <c r="D4051" t="s">
        <v>9581</v>
      </c>
      <c r="E4051" t="s">
        <v>75</v>
      </c>
    </row>
    <row r="4052" spans="1:5" x14ac:dyDescent="0.3">
      <c r="A4052" t="s">
        <v>66</v>
      </c>
      <c r="B4052" t="s">
        <v>439</v>
      </c>
      <c r="C4052" t="s">
        <v>454</v>
      </c>
      <c r="D4052" t="s">
        <v>9582</v>
      </c>
      <c r="E4052" t="s">
        <v>75</v>
      </c>
    </row>
    <row r="4053" spans="1:5" x14ac:dyDescent="0.3">
      <c r="A4053" t="s">
        <v>160</v>
      </c>
      <c r="B4053" t="s">
        <v>7659</v>
      </c>
      <c r="C4053" t="s">
        <v>467</v>
      </c>
      <c r="D4053" t="s">
        <v>9583</v>
      </c>
      <c r="E4053" t="s">
        <v>75</v>
      </c>
    </row>
    <row r="4054" spans="1:5" x14ac:dyDescent="0.3">
      <c r="A4054" t="s">
        <v>342</v>
      </c>
      <c r="B4054" t="s">
        <v>3893</v>
      </c>
      <c r="C4054" t="s">
        <v>461</v>
      </c>
      <c r="D4054" t="s">
        <v>9584</v>
      </c>
      <c r="E4054" t="s">
        <v>75</v>
      </c>
    </row>
    <row r="4055" spans="1:5" x14ac:dyDescent="0.3">
      <c r="A4055" t="s">
        <v>246</v>
      </c>
      <c r="B4055" t="s">
        <v>6173</v>
      </c>
      <c r="C4055" t="s">
        <v>467</v>
      </c>
      <c r="D4055" t="s">
        <v>9584</v>
      </c>
      <c r="E4055" t="s">
        <v>75</v>
      </c>
    </row>
    <row r="4056" spans="1:5" x14ac:dyDescent="0.3">
      <c r="A4056" t="s">
        <v>1647</v>
      </c>
      <c r="B4056" t="s">
        <v>9586</v>
      </c>
      <c r="C4056" t="s">
        <v>461</v>
      </c>
      <c r="D4056" t="s">
        <v>9585</v>
      </c>
      <c r="E4056" t="s">
        <v>75</v>
      </c>
    </row>
    <row r="4057" spans="1:5" x14ac:dyDescent="0.3">
      <c r="A4057" t="s">
        <v>795</v>
      </c>
      <c r="B4057" t="s">
        <v>9588</v>
      </c>
      <c r="C4057" t="s">
        <v>467</v>
      </c>
      <c r="D4057" t="s">
        <v>9587</v>
      </c>
      <c r="E4057" t="s">
        <v>75</v>
      </c>
    </row>
    <row r="4058" spans="1:5" x14ac:dyDescent="0.3">
      <c r="A4058" t="s">
        <v>131</v>
      </c>
      <c r="B4058" t="s">
        <v>9591</v>
      </c>
      <c r="C4058" t="s">
        <v>862</v>
      </c>
      <c r="D4058" t="s">
        <v>9590</v>
      </c>
      <c r="E4058" t="s">
        <v>741</v>
      </c>
    </row>
    <row r="4059" spans="1:5" x14ac:dyDescent="0.3">
      <c r="A4059" t="s">
        <v>331</v>
      </c>
      <c r="B4059" t="s">
        <v>9593</v>
      </c>
      <c r="C4059" t="s">
        <v>862</v>
      </c>
      <c r="D4059" t="s">
        <v>9592</v>
      </c>
      <c r="E4059" t="s">
        <v>75</v>
      </c>
    </row>
    <row r="4060" spans="1:5" x14ac:dyDescent="0.3">
      <c r="A4060" t="s">
        <v>347</v>
      </c>
      <c r="B4060" t="s">
        <v>2457</v>
      </c>
      <c r="C4060" t="s">
        <v>460</v>
      </c>
      <c r="D4060" t="s">
        <v>9596</v>
      </c>
      <c r="E4060" t="s">
        <v>75</v>
      </c>
    </row>
    <row r="4061" spans="1:5" x14ac:dyDescent="0.3">
      <c r="A4061" t="s">
        <v>1720</v>
      </c>
      <c r="B4061" t="s">
        <v>9598</v>
      </c>
      <c r="C4061" t="s">
        <v>467</v>
      </c>
      <c r="D4061" t="s">
        <v>9597</v>
      </c>
      <c r="E4061" t="s">
        <v>75</v>
      </c>
    </row>
    <row r="4062" spans="1:5" x14ac:dyDescent="0.3">
      <c r="A4062" t="s">
        <v>146</v>
      </c>
      <c r="B4062" t="s">
        <v>9600</v>
      </c>
      <c r="C4062" t="s">
        <v>467</v>
      </c>
      <c r="D4062" t="s">
        <v>9599</v>
      </c>
      <c r="E4062" t="s">
        <v>75</v>
      </c>
    </row>
    <row r="4063" spans="1:5" x14ac:dyDescent="0.3">
      <c r="A4063" t="s">
        <v>9602</v>
      </c>
      <c r="B4063" t="s">
        <v>9603</v>
      </c>
      <c r="C4063" t="s">
        <v>467</v>
      </c>
      <c r="D4063" t="s">
        <v>9601</v>
      </c>
      <c r="E4063" t="s">
        <v>75</v>
      </c>
    </row>
    <row r="4064" spans="1:5" x14ac:dyDescent="0.3">
      <c r="A4064" t="s">
        <v>275</v>
      </c>
      <c r="B4064" t="s">
        <v>9604</v>
      </c>
      <c r="C4064" t="s">
        <v>467</v>
      </c>
      <c r="D4064" t="s">
        <v>9601</v>
      </c>
      <c r="E4064" t="s">
        <v>75</v>
      </c>
    </row>
    <row r="4065" spans="1:5" x14ac:dyDescent="0.3">
      <c r="A4065" t="s">
        <v>9606</v>
      </c>
      <c r="B4065" t="s">
        <v>9607</v>
      </c>
      <c r="C4065" t="s">
        <v>456</v>
      </c>
      <c r="D4065" t="s">
        <v>9605</v>
      </c>
      <c r="E4065" t="s">
        <v>75</v>
      </c>
    </row>
    <row r="4066" spans="1:5" x14ac:dyDescent="0.3">
      <c r="A4066" t="s">
        <v>224</v>
      </c>
      <c r="B4066" t="s">
        <v>9608</v>
      </c>
      <c r="C4066" t="s">
        <v>461</v>
      </c>
      <c r="D4066" t="s">
        <v>9605</v>
      </c>
      <c r="E4066" t="s">
        <v>75</v>
      </c>
    </row>
    <row r="4067" spans="1:5" x14ac:dyDescent="0.3">
      <c r="A4067" t="s">
        <v>298</v>
      </c>
      <c r="B4067" t="s">
        <v>210</v>
      </c>
      <c r="C4067" t="s">
        <v>459</v>
      </c>
      <c r="D4067" t="s">
        <v>9609</v>
      </c>
      <c r="E4067" t="s">
        <v>75</v>
      </c>
    </row>
    <row r="4068" spans="1:5" x14ac:dyDescent="0.3">
      <c r="A4068" t="s">
        <v>8914</v>
      </c>
      <c r="B4068" t="s">
        <v>4719</v>
      </c>
      <c r="C4068" t="s">
        <v>467</v>
      </c>
      <c r="D4068" t="s">
        <v>9610</v>
      </c>
      <c r="E4068" t="s">
        <v>75</v>
      </c>
    </row>
    <row r="4069" spans="1:5" x14ac:dyDescent="0.3">
      <c r="A4069" t="s">
        <v>936</v>
      </c>
      <c r="B4069" t="s">
        <v>5195</v>
      </c>
      <c r="C4069" t="s">
        <v>4555</v>
      </c>
      <c r="D4069" t="s">
        <v>9611</v>
      </c>
      <c r="E4069" t="s">
        <v>75</v>
      </c>
    </row>
    <row r="4070" spans="1:5" x14ac:dyDescent="0.3">
      <c r="A4070" t="s">
        <v>22</v>
      </c>
      <c r="B4070" t="s">
        <v>313</v>
      </c>
      <c r="C4070" t="s">
        <v>467</v>
      </c>
      <c r="D4070" t="s">
        <v>9611</v>
      </c>
      <c r="E4070" t="s">
        <v>75</v>
      </c>
    </row>
    <row r="4071" spans="1:5" x14ac:dyDescent="0.3">
      <c r="A4071" t="s">
        <v>1569</v>
      </c>
      <c r="B4071" t="s">
        <v>9613</v>
      </c>
      <c r="C4071" t="s">
        <v>459</v>
      </c>
      <c r="D4071" t="s">
        <v>9612</v>
      </c>
      <c r="E4071" t="s">
        <v>75</v>
      </c>
    </row>
    <row r="4072" spans="1:5" x14ac:dyDescent="0.3">
      <c r="A4072" t="s">
        <v>160</v>
      </c>
      <c r="B4072" t="s">
        <v>7089</v>
      </c>
      <c r="C4072" t="s">
        <v>461</v>
      </c>
      <c r="D4072" t="s">
        <v>9612</v>
      </c>
      <c r="E4072" t="s">
        <v>75</v>
      </c>
    </row>
    <row r="4073" spans="1:5" x14ac:dyDescent="0.3">
      <c r="A4073" t="s">
        <v>183</v>
      </c>
      <c r="B4073" t="s">
        <v>210</v>
      </c>
      <c r="C4073" t="s">
        <v>467</v>
      </c>
      <c r="D4073" t="s">
        <v>9614</v>
      </c>
      <c r="E4073" t="s">
        <v>75</v>
      </c>
    </row>
    <row r="4074" spans="1:5" x14ac:dyDescent="0.3">
      <c r="A4074" t="s">
        <v>159</v>
      </c>
      <c r="B4074" t="s">
        <v>9616</v>
      </c>
      <c r="C4074" t="s">
        <v>467</v>
      </c>
      <c r="D4074" t="s">
        <v>9615</v>
      </c>
      <c r="E4074" t="s">
        <v>75</v>
      </c>
    </row>
    <row r="4075" spans="1:5" x14ac:dyDescent="0.3">
      <c r="A4075" t="s">
        <v>9619</v>
      </c>
      <c r="B4075" t="s">
        <v>13066</v>
      </c>
      <c r="C4075" t="s">
        <v>461</v>
      </c>
      <c r="D4075" t="s">
        <v>9618</v>
      </c>
      <c r="E4075" t="s">
        <v>75</v>
      </c>
    </row>
    <row r="4076" spans="1:5" x14ac:dyDescent="0.3">
      <c r="A4076" t="s">
        <v>112</v>
      </c>
      <c r="B4076" t="s">
        <v>9620</v>
      </c>
      <c r="C4076" t="s">
        <v>460</v>
      </c>
      <c r="D4076" t="s">
        <v>9618</v>
      </c>
      <c r="E4076" t="s">
        <v>75</v>
      </c>
    </row>
    <row r="4077" spans="1:5" x14ac:dyDescent="0.3">
      <c r="A4077" t="s">
        <v>810</v>
      </c>
      <c r="B4077" t="s">
        <v>3259</v>
      </c>
      <c r="C4077" t="s">
        <v>460</v>
      </c>
      <c r="D4077" t="s">
        <v>9618</v>
      </c>
      <c r="E4077" t="s">
        <v>75</v>
      </c>
    </row>
    <row r="4078" spans="1:5" x14ac:dyDescent="0.3">
      <c r="A4078" t="s">
        <v>1572</v>
      </c>
      <c r="B4078" t="s">
        <v>3396</v>
      </c>
      <c r="C4078" t="s">
        <v>467</v>
      </c>
      <c r="D4078" t="s">
        <v>9621</v>
      </c>
      <c r="E4078" t="s">
        <v>75</v>
      </c>
    </row>
    <row r="4079" spans="1:5" x14ac:dyDescent="0.3">
      <c r="A4079" t="s">
        <v>2408</v>
      </c>
      <c r="B4079" t="s">
        <v>9623</v>
      </c>
      <c r="C4079" t="s">
        <v>9622</v>
      </c>
    </row>
    <row r="4080" spans="1:5" x14ac:dyDescent="0.3">
      <c r="A4080" t="s">
        <v>244</v>
      </c>
      <c r="B4080" t="s">
        <v>1728</v>
      </c>
      <c r="C4080" t="s">
        <v>9624</v>
      </c>
    </row>
    <row r="4081" spans="1:5" x14ac:dyDescent="0.3">
      <c r="A4081" t="s">
        <v>1433</v>
      </c>
      <c r="B4081" t="s">
        <v>9625</v>
      </c>
      <c r="C4081" t="s">
        <v>467</v>
      </c>
    </row>
    <row r="4082" spans="1:5" x14ac:dyDescent="0.3">
      <c r="A4082" t="s">
        <v>1386</v>
      </c>
      <c r="B4082" t="s">
        <v>9627</v>
      </c>
      <c r="C4082" t="s">
        <v>459</v>
      </c>
      <c r="D4082" t="s">
        <v>9626</v>
      </c>
      <c r="E4082" t="s">
        <v>75</v>
      </c>
    </row>
    <row r="4083" spans="1:5" x14ac:dyDescent="0.3">
      <c r="A4083" t="s">
        <v>79</v>
      </c>
      <c r="B4083" t="s">
        <v>9628</v>
      </c>
      <c r="C4083" t="s">
        <v>460</v>
      </c>
      <c r="D4083" t="s">
        <v>2979</v>
      </c>
      <c r="E4083" t="s">
        <v>75</v>
      </c>
    </row>
    <row r="4084" spans="1:5" x14ac:dyDescent="0.3">
      <c r="A4084" t="s">
        <v>138</v>
      </c>
      <c r="B4084" t="s">
        <v>4378</v>
      </c>
      <c r="C4084" t="s">
        <v>7516</v>
      </c>
      <c r="D4084" t="s">
        <v>9631</v>
      </c>
      <c r="E4084" t="s">
        <v>75</v>
      </c>
    </row>
    <row r="4085" spans="1:5" x14ac:dyDescent="0.3">
      <c r="A4085" t="s">
        <v>131</v>
      </c>
      <c r="B4085" t="s">
        <v>9634</v>
      </c>
      <c r="C4085" t="s">
        <v>9633</v>
      </c>
      <c r="D4085" t="s">
        <v>9632</v>
      </c>
      <c r="E4085" t="s">
        <v>75</v>
      </c>
    </row>
    <row r="4086" spans="1:5" x14ac:dyDescent="0.3">
      <c r="A4086" t="s">
        <v>177</v>
      </c>
      <c r="B4086" t="s">
        <v>285</v>
      </c>
      <c r="C4086" t="s">
        <v>9635</v>
      </c>
      <c r="D4086" t="s">
        <v>9632</v>
      </c>
      <c r="E4086" t="s">
        <v>75</v>
      </c>
    </row>
    <row r="4087" spans="1:5" x14ac:dyDescent="0.3">
      <c r="A4087" t="s">
        <v>65</v>
      </c>
      <c r="B4087" t="s">
        <v>5576</v>
      </c>
      <c r="C4087" t="s">
        <v>2571</v>
      </c>
      <c r="D4087" t="s">
        <v>9636</v>
      </c>
      <c r="E4087" t="s">
        <v>75</v>
      </c>
    </row>
    <row r="4088" spans="1:5" x14ac:dyDescent="0.3">
      <c r="A4088" t="s">
        <v>82</v>
      </c>
      <c r="B4088" t="s">
        <v>9637</v>
      </c>
      <c r="C4088" t="s">
        <v>862</v>
      </c>
      <c r="D4088" t="s">
        <v>9636</v>
      </c>
      <c r="E4088" t="s">
        <v>75</v>
      </c>
    </row>
    <row r="4089" spans="1:5" x14ac:dyDescent="0.3">
      <c r="A4089" t="s">
        <v>339</v>
      </c>
      <c r="B4089" t="s">
        <v>9639</v>
      </c>
      <c r="C4089" t="s">
        <v>460</v>
      </c>
      <c r="D4089" t="s">
        <v>8904</v>
      </c>
      <c r="E4089" t="s">
        <v>75</v>
      </c>
    </row>
    <row r="4090" spans="1:5" x14ac:dyDescent="0.3">
      <c r="A4090" t="s">
        <v>44</v>
      </c>
      <c r="B4090" t="s">
        <v>2060</v>
      </c>
      <c r="C4090" t="s">
        <v>467</v>
      </c>
      <c r="D4090" t="s">
        <v>9638</v>
      </c>
      <c r="E4090" t="s">
        <v>75</v>
      </c>
    </row>
    <row r="4091" spans="1:5" x14ac:dyDescent="0.3">
      <c r="A4091" t="s">
        <v>14</v>
      </c>
      <c r="B4091" t="s">
        <v>9641</v>
      </c>
      <c r="C4091" t="s">
        <v>460</v>
      </c>
      <c r="D4091" t="s">
        <v>9640</v>
      </c>
      <c r="E4091" t="s">
        <v>75</v>
      </c>
    </row>
    <row r="4092" spans="1:5" x14ac:dyDescent="0.3">
      <c r="A4092" t="s">
        <v>219</v>
      </c>
      <c r="B4092" t="s">
        <v>9643</v>
      </c>
      <c r="C4092" t="s">
        <v>467</v>
      </c>
      <c r="D4092" t="s">
        <v>9642</v>
      </c>
      <c r="E4092" t="s">
        <v>75</v>
      </c>
    </row>
    <row r="4093" spans="1:5" x14ac:dyDescent="0.3">
      <c r="A4093" t="s">
        <v>313</v>
      </c>
      <c r="B4093" t="s">
        <v>9645</v>
      </c>
      <c r="C4093" t="s">
        <v>467</v>
      </c>
      <c r="D4093" t="s">
        <v>9644</v>
      </c>
      <c r="E4093" t="s">
        <v>75</v>
      </c>
    </row>
    <row r="4094" spans="1:5" x14ac:dyDescent="0.3">
      <c r="A4094" t="s">
        <v>146</v>
      </c>
      <c r="B4094" t="s">
        <v>9647</v>
      </c>
      <c r="C4094" t="s">
        <v>467</v>
      </c>
      <c r="D4094" t="s">
        <v>9646</v>
      </c>
      <c r="E4094" t="s">
        <v>75</v>
      </c>
    </row>
    <row r="4095" spans="1:5" x14ac:dyDescent="0.3">
      <c r="A4095" t="s">
        <v>435</v>
      </c>
      <c r="B4095" t="s">
        <v>3634</v>
      </c>
      <c r="C4095" t="s">
        <v>5670</v>
      </c>
      <c r="D4095" t="s">
        <v>9648</v>
      </c>
      <c r="E4095" t="s">
        <v>75</v>
      </c>
    </row>
    <row r="4096" spans="1:5" x14ac:dyDescent="0.3">
      <c r="A4096" t="s">
        <v>41</v>
      </c>
      <c r="B4096" t="s">
        <v>9650</v>
      </c>
      <c r="C4096" t="s">
        <v>467</v>
      </c>
      <c r="D4096" t="s">
        <v>9649</v>
      </c>
      <c r="E4096" t="s">
        <v>75</v>
      </c>
    </row>
    <row r="4097" spans="1:5" x14ac:dyDescent="0.3">
      <c r="A4097" t="s">
        <v>3241</v>
      </c>
      <c r="B4097" t="s">
        <v>9652</v>
      </c>
      <c r="C4097" t="s">
        <v>461</v>
      </c>
      <c r="D4097" t="s">
        <v>9651</v>
      </c>
      <c r="E4097" t="s">
        <v>75</v>
      </c>
    </row>
    <row r="4098" spans="1:5" x14ac:dyDescent="0.3">
      <c r="A4098" t="s">
        <v>119</v>
      </c>
      <c r="B4098" t="s">
        <v>120</v>
      </c>
      <c r="C4098" t="s">
        <v>121</v>
      </c>
      <c r="D4098" t="s">
        <v>8905</v>
      </c>
      <c r="E4098" t="s">
        <v>75</v>
      </c>
    </row>
    <row r="4099" spans="1:5" x14ac:dyDescent="0.3">
      <c r="A4099" t="s">
        <v>826</v>
      </c>
      <c r="B4099" t="s">
        <v>9653</v>
      </c>
      <c r="C4099" t="s">
        <v>461</v>
      </c>
      <c r="D4099" t="s">
        <v>5154</v>
      </c>
      <c r="E4099" t="s">
        <v>743</v>
      </c>
    </row>
    <row r="4100" spans="1:5" x14ac:dyDescent="0.3">
      <c r="A4100" t="s">
        <v>209</v>
      </c>
      <c r="B4100" t="s">
        <v>9655</v>
      </c>
      <c r="C4100" t="s">
        <v>460</v>
      </c>
      <c r="D4100" t="s">
        <v>9654</v>
      </c>
      <c r="E4100" t="s">
        <v>75</v>
      </c>
    </row>
    <row r="4101" spans="1:5" x14ac:dyDescent="0.3">
      <c r="A4101" t="s">
        <v>195</v>
      </c>
      <c r="B4101" t="s">
        <v>1105</v>
      </c>
      <c r="C4101" t="s">
        <v>457</v>
      </c>
      <c r="D4101" t="s">
        <v>9656</v>
      </c>
      <c r="E4101" t="s">
        <v>75</v>
      </c>
    </row>
    <row r="4102" spans="1:5" x14ac:dyDescent="0.3">
      <c r="A4102" t="s">
        <v>206</v>
      </c>
      <c r="B4102" t="s">
        <v>5913</v>
      </c>
      <c r="C4102" t="s">
        <v>9658</v>
      </c>
      <c r="D4102" t="s">
        <v>9657</v>
      </c>
      <c r="E4102" t="s">
        <v>75</v>
      </c>
    </row>
    <row r="4103" spans="1:5" x14ac:dyDescent="0.3">
      <c r="A4103" t="s">
        <v>1340</v>
      </c>
      <c r="B4103" t="s">
        <v>9660</v>
      </c>
      <c r="C4103" t="s">
        <v>467</v>
      </c>
      <c r="D4103" t="s">
        <v>9659</v>
      </c>
      <c r="E4103" t="s">
        <v>75</v>
      </c>
    </row>
    <row r="4104" spans="1:5" x14ac:dyDescent="0.3">
      <c r="A4104" t="s">
        <v>4822</v>
      </c>
      <c r="B4104" t="s">
        <v>331</v>
      </c>
      <c r="C4104" t="s">
        <v>467</v>
      </c>
      <c r="D4104" t="s">
        <v>9661</v>
      </c>
      <c r="E4104" t="s">
        <v>75</v>
      </c>
    </row>
    <row r="4105" spans="1:5" x14ac:dyDescent="0.3">
      <c r="A4105" t="s">
        <v>66</v>
      </c>
      <c r="B4105" t="s">
        <v>8392</v>
      </c>
      <c r="C4105" t="s">
        <v>467</v>
      </c>
      <c r="D4105" t="s">
        <v>9662</v>
      </c>
      <c r="E4105" t="s">
        <v>75</v>
      </c>
    </row>
    <row r="4106" spans="1:5" x14ac:dyDescent="0.3">
      <c r="A4106" t="s">
        <v>66</v>
      </c>
      <c r="B4106" t="s">
        <v>1630</v>
      </c>
      <c r="C4106" t="s">
        <v>460</v>
      </c>
      <c r="D4106" t="s">
        <v>9663</v>
      </c>
      <c r="E4106" t="s">
        <v>75</v>
      </c>
    </row>
    <row r="4107" spans="1:5" x14ac:dyDescent="0.3">
      <c r="A4107" t="s">
        <v>894</v>
      </c>
      <c r="B4107" t="s">
        <v>1073</v>
      </c>
      <c r="C4107" t="s">
        <v>7516</v>
      </c>
      <c r="D4107" t="s">
        <v>9664</v>
      </c>
      <c r="E4107" t="s">
        <v>75</v>
      </c>
    </row>
    <row r="4108" spans="1:5" x14ac:dyDescent="0.3">
      <c r="A4108" t="s">
        <v>153</v>
      </c>
      <c r="B4108" t="s">
        <v>8794</v>
      </c>
      <c r="C4108" t="s">
        <v>467</v>
      </c>
      <c r="D4108" t="s">
        <v>9665</v>
      </c>
      <c r="E4108" t="s">
        <v>75</v>
      </c>
    </row>
    <row r="4109" spans="1:5" x14ac:dyDescent="0.3">
      <c r="A4109" t="s">
        <v>1278</v>
      </c>
      <c r="B4109" t="s">
        <v>9668</v>
      </c>
      <c r="C4109" t="s">
        <v>9667</v>
      </c>
      <c r="D4109" t="s">
        <v>2478</v>
      </c>
      <c r="E4109" t="s">
        <v>841</v>
      </c>
    </row>
    <row r="4110" spans="1:5" x14ac:dyDescent="0.3">
      <c r="A4110" t="s">
        <v>41</v>
      </c>
      <c r="B4110" t="s">
        <v>9669</v>
      </c>
      <c r="C4110" t="s">
        <v>461</v>
      </c>
      <c r="D4110" t="s">
        <v>9666</v>
      </c>
      <c r="E4110" t="s">
        <v>75</v>
      </c>
    </row>
    <row r="4111" spans="1:5" x14ac:dyDescent="0.3">
      <c r="A4111" t="s">
        <v>9670</v>
      </c>
      <c r="B4111" t="s">
        <v>9671</v>
      </c>
      <c r="C4111" t="s">
        <v>457</v>
      </c>
      <c r="D4111" t="s">
        <v>5164</v>
      </c>
      <c r="E4111" t="s">
        <v>75</v>
      </c>
    </row>
    <row r="4112" spans="1:5" x14ac:dyDescent="0.3">
      <c r="A4112" t="s">
        <v>209</v>
      </c>
      <c r="B4112" t="s">
        <v>9672</v>
      </c>
      <c r="C4112" t="s">
        <v>467</v>
      </c>
      <c r="D4112" t="s">
        <v>5164</v>
      </c>
      <c r="E4112" t="s">
        <v>75</v>
      </c>
    </row>
    <row r="4113" spans="1:5" x14ac:dyDescent="0.3">
      <c r="A4113" t="s">
        <v>9674</v>
      </c>
      <c r="B4113" t="s">
        <v>9675</v>
      </c>
      <c r="C4113" t="s">
        <v>455</v>
      </c>
      <c r="D4113" t="s">
        <v>9673</v>
      </c>
      <c r="E4113" t="s">
        <v>75</v>
      </c>
    </row>
    <row r="4114" spans="1:5" x14ac:dyDescent="0.3">
      <c r="A4114" t="s">
        <v>116</v>
      </c>
      <c r="B4114" t="s">
        <v>6407</v>
      </c>
      <c r="C4114" t="s">
        <v>461</v>
      </c>
      <c r="D4114" t="s">
        <v>9676</v>
      </c>
      <c r="E4114" t="s">
        <v>75</v>
      </c>
    </row>
    <row r="4115" spans="1:5" x14ac:dyDescent="0.3">
      <c r="A4115" t="s">
        <v>326</v>
      </c>
      <c r="B4115" t="s">
        <v>9681</v>
      </c>
      <c r="C4115" t="s">
        <v>9680</v>
      </c>
      <c r="D4115" t="s">
        <v>9677</v>
      </c>
      <c r="E4115" t="s">
        <v>75</v>
      </c>
    </row>
    <row r="4116" spans="1:5" x14ac:dyDescent="0.3">
      <c r="A4116" t="s">
        <v>162</v>
      </c>
      <c r="B4116" t="s">
        <v>8580</v>
      </c>
      <c r="C4116" t="s">
        <v>467</v>
      </c>
      <c r="D4116" t="s">
        <v>9682</v>
      </c>
      <c r="E4116" t="s">
        <v>75</v>
      </c>
    </row>
    <row r="4117" spans="1:5" x14ac:dyDescent="0.3">
      <c r="A4117" t="s">
        <v>195</v>
      </c>
      <c r="B4117" t="s">
        <v>2637</v>
      </c>
      <c r="C4117" t="s">
        <v>461</v>
      </c>
      <c r="D4117" t="s">
        <v>9683</v>
      </c>
      <c r="E4117" t="s">
        <v>75</v>
      </c>
    </row>
    <row r="4118" spans="1:5" x14ac:dyDescent="0.3">
      <c r="A4118" t="s">
        <v>1247</v>
      </c>
      <c r="B4118" t="s">
        <v>9685</v>
      </c>
      <c r="C4118" t="s">
        <v>461</v>
      </c>
      <c r="D4118" t="s">
        <v>9684</v>
      </c>
      <c r="E4118" t="s">
        <v>75</v>
      </c>
    </row>
    <row r="4119" spans="1:5" x14ac:dyDescent="0.3">
      <c r="A4119" t="s">
        <v>3674</v>
      </c>
      <c r="B4119" t="s">
        <v>896</v>
      </c>
      <c r="C4119" t="s">
        <v>459</v>
      </c>
      <c r="D4119" t="s">
        <v>9686</v>
      </c>
      <c r="E4119" t="s">
        <v>75</v>
      </c>
    </row>
    <row r="4120" spans="1:5" x14ac:dyDescent="0.3">
      <c r="A4120" t="s">
        <v>2179</v>
      </c>
      <c r="B4120" t="s">
        <v>9688</v>
      </c>
      <c r="C4120" t="s">
        <v>457</v>
      </c>
      <c r="D4120" t="s">
        <v>9687</v>
      </c>
      <c r="E4120" t="s">
        <v>75</v>
      </c>
    </row>
    <row r="4121" spans="1:5" x14ac:dyDescent="0.3">
      <c r="A4121" t="s">
        <v>5717</v>
      </c>
      <c r="B4121" t="s">
        <v>9690</v>
      </c>
      <c r="C4121" t="s">
        <v>9689</v>
      </c>
    </row>
    <row r="4122" spans="1:5" x14ac:dyDescent="0.3">
      <c r="A4122" t="s">
        <v>2817</v>
      </c>
      <c r="B4122" t="s">
        <v>3173</v>
      </c>
      <c r="C4122" t="s">
        <v>9269</v>
      </c>
      <c r="D4122" t="s">
        <v>9691</v>
      </c>
      <c r="E4122" t="s">
        <v>75</v>
      </c>
    </row>
    <row r="4123" spans="1:5" x14ac:dyDescent="0.3">
      <c r="A4123" t="s">
        <v>9692</v>
      </c>
      <c r="B4123" t="s">
        <v>9693</v>
      </c>
      <c r="C4123" t="s">
        <v>467</v>
      </c>
      <c r="D4123" t="s">
        <v>9691</v>
      </c>
      <c r="E4123" t="s">
        <v>75</v>
      </c>
    </row>
    <row r="4124" spans="1:5" x14ac:dyDescent="0.3">
      <c r="A4124" t="s">
        <v>153</v>
      </c>
      <c r="B4124" t="s">
        <v>6391</v>
      </c>
      <c r="C4124" t="s">
        <v>457</v>
      </c>
      <c r="D4124" t="s">
        <v>9694</v>
      </c>
      <c r="E4124" t="s">
        <v>75</v>
      </c>
    </row>
    <row r="4125" spans="1:5" x14ac:dyDescent="0.3">
      <c r="A4125" t="s">
        <v>9696</v>
      </c>
      <c r="B4125" t="s">
        <v>4833</v>
      </c>
      <c r="C4125" t="s">
        <v>518</v>
      </c>
      <c r="D4125" t="s">
        <v>9695</v>
      </c>
      <c r="E4125" t="s">
        <v>75</v>
      </c>
    </row>
    <row r="4126" spans="1:5" x14ac:dyDescent="0.3">
      <c r="A4126" t="s">
        <v>7818</v>
      </c>
      <c r="B4126" t="s">
        <v>5636</v>
      </c>
      <c r="C4126" t="s">
        <v>720</v>
      </c>
      <c r="D4126" t="s">
        <v>9697</v>
      </c>
      <c r="E4126" t="s">
        <v>774</v>
      </c>
    </row>
    <row r="4127" spans="1:5" x14ac:dyDescent="0.3">
      <c r="A4127" t="s">
        <v>1579</v>
      </c>
      <c r="B4127" t="s">
        <v>9699</v>
      </c>
      <c r="C4127" t="s">
        <v>461</v>
      </c>
      <c r="D4127" t="s">
        <v>9698</v>
      </c>
      <c r="E4127" t="s">
        <v>75</v>
      </c>
    </row>
    <row r="4128" spans="1:5" x14ac:dyDescent="0.3">
      <c r="A4128" t="s">
        <v>224</v>
      </c>
      <c r="B4128" t="s">
        <v>821</v>
      </c>
      <c r="C4128" t="s">
        <v>3080</v>
      </c>
      <c r="D4128" t="s">
        <v>9700</v>
      </c>
      <c r="E4128" t="s">
        <v>75</v>
      </c>
    </row>
    <row r="4129" spans="1:5" x14ac:dyDescent="0.3">
      <c r="A4129" t="s">
        <v>3255</v>
      </c>
      <c r="B4129" t="s">
        <v>9703</v>
      </c>
      <c r="C4129" t="s">
        <v>9702</v>
      </c>
      <c r="D4129" t="s">
        <v>9701</v>
      </c>
      <c r="E4129" t="s">
        <v>75</v>
      </c>
    </row>
    <row r="4130" spans="1:5" x14ac:dyDescent="0.3">
      <c r="A4130" t="s">
        <v>1334</v>
      </c>
      <c r="B4130" t="s">
        <v>9705</v>
      </c>
      <c r="C4130" t="s">
        <v>9704</v>
      </c>
      <c r="D4130" t="s">
        <v>9701</v>
      </c>
      <c r="E4130" t="s">
        <v>75</v>
      </c>
    </row>
    <row r="4131" spans="1:5" x14ac:dyDescent="0.3">
      <c r="A4131" t="s">
        <v>860</v>
      </c>
      <c r="B4131" t="s">
        <v>197</v>
      </c>
      <c r="C4131" t="s">
        <v>457</v>
      </c>
      <c r="D4131" t="s">
        <v>9706</v>
      </c>
      <c r="E4131" t="s">
        <v>75</v>
      </c>
    </row>
    <row r="4132" spans="1:5" x14ac:dyDescent="0.3">
      <c r="A4132" t="s">
        <v>3579</v>
      </c>
      <c r="B4132" t="s">
        <v>6165</v>
      </c>
      <c r="C4132" t="s">
        <v>3109</v>
      </c>
      <c r="D4132" t="s">
        <v>9707</v>
      </c>
      <c r="E4132" t="s">
        <v>75</v>
      </c>
    </row>
    <row r="4133" spans="1:5" x14ac:dyDescent="0.3">
      <c r="A4133" t="s">
        <v>2768</v>
      </c>
      <c r="B4133" t="s">
        <v>1158</v>
      </c>
      <c r="C4133" t="s">
        <v>467</v>
      </c>
      <c r="D4133" t="s">
        <v>9708</v>
      </c>
      <c r="E4133" t="s">
        <v>75</v>
      </c>
    </row>
    <row r="4134" spans="1:5" x14ac:dyDescent="0.3">
      <c r="A4134" t="s">
        <v>224</v>
      </c>
      <c r="B4134" t="s">
        <v>9710</v>
      </c>
      <c r="C4134" t="s">
        <v>460</v>
      </c>
      <c r="D4134" t="s">
        <v>9709</v>
      </c>
      <c r="E4134" t="s">
        <v>75</v>
      </c>
    </row>
    <row r="4135" spans="1:5" x14ac:dyDescent="0.3">
      <c r="A4135" t="s">
        <v>409</v>
      </c>
      <c r="B4135" t="s">
        <v>9712</v>
      </c>
      <c r="C4135" t="s">
        <v>461</v>
      </c>
      <c r="D4135" t="s">
        <v>9711</v>
      </c>
      <c r="E4135" t="s">
        <v>75</v>
      </c>
    </row>
    <row r="4136" spans="1:5" x14ac:dyDescent="0.3">
      <c r="A4136" t="s">
        <v>331</v>
      </c>
      <c r="B4136" t="s">
        <v>9714</v>
      </c>
      <c r="C4136" t="s">
        <v>459</v>
      </c>
      <c r="D4136" t="s">
        <v>9713</v>
      </c>
      <c r="E4136" t="s">
        <v>75</v>
      </c>
    </row>
    <row r="4137" spans="1:5" x14ac:dyDescent="0.3">
      <c r="A4137" t="s">
        <v>111</v>
      </c>
      <c r="B4137" t="s">
        <v>8369</v>
      </c>
      <c r="C4137" t="s">
        <v>467</v>
      </c>
      <c r="D4137" t="s">
        <v>9715</v>
      </c>
      <c r="E4137" t="s">
        <v>75</v>
      </c>
    </row>
    <row r="4138" spans="1:5" x14ac:dyDescent="0.3">
      <c r="A4138" t="s">
        <v>1330</v>
      </c>
      <c r="B4138" t="s">
        <v>1065</v>
      </c>
      <c r="C4138" t="s">
        <v>460</v>
      </c>
      <c r="D4138" t="s">
        <v>9715</v>
      </c>
      <c r="E4138" t="s">
        <v>75</v>
      </c>
    </row>
    <row r="4139" spans="1:5" x14ac:dyDescent="0.3">
      <c r="A4139" t="s">
        <v>224</v>
      </c>
      <c r="B4139" t="s">
        <v>197</v>
      </c>
      <c r="C4139" t="s">
        <v>458</v>
      </c>
      <c r="D4139" t="s">
        <v>9716</v>
      </c>
      <c r="E4139" t="s">
        <v>75</v>
      </c>
    </row>
    <row r="4140" spans="1:5" x14ac:dyDescent="0.3">
      <c r="A4140" t="s">
        <v>9718</v>
      </c>
      <c r="B4140" t="s">
        <v>8926</v>
      </c>
      <c r="C4140" t="s">
        <v>459</v>
      </c>
      <c r="D4140" t="s">
        <v>9717</v>
      </c>
      <c r="E4140" t="s">
        <v>75</v>
      </c>
    </row>
    <row r="4141" spans="1:5" x14ac:dyDescent="0.3">
      <c r="A4141" t="s">
        <v>3164</v>
      </c>
      <c r="B4141" t="s">
        <v>3833</v>
      </c>
      <c r="C4141" t="s">
        <v>461</v>
      </c>
      <c r="D4141" t="s">
        <v>9719</v>
      </c>
      <c r="E4141" t="s">
        <v>75</v>
      </c>
    </row>
    <row r="4142" spans="1:5" x14ac:dyDescent="0.3">
      <c r="A4142" t="s">
        <v>2143</v>
      </c>
      <c r="B4142" t="s">
        <v>2382</v>
      </c>
      <c r="C4142" t="s">
        <v>460</v>
      </c>
      <c r="D4142" t="s">
        <v>9719</v>
      </c>
      <c r="E4142" t="s">
        <v>75</v>
      </c>
    </row>
    <row r="4143" spans="1:5" x14ac:dyDescent="0.3">
      <c r="A4143" t="s">
        <v>9721</v>
      </c>
      <c r="B4143" t="s">
        <v>9722</v>
      </c>
      <c r="C4143" t="s">
        <v>461</v>
      </c>
      <c r="D4143" t="s">
        <v>9720</v>
      </c>
      <c r="E4143" t="s">
        <v>75</v>
      </c>
    </row>
    <row r="4144" spans="1:5" x14ac:dyDescent="0.3">
      <c r="A4144" t="s">
        <v>182</v>
      </c>
      <c r="B4144" t="s">
        <v>9724</v>
      </c>
      <c r="C4144" t="s">
        <v>9723</v>
      </c>
      <c r="D4144" t="s">
        <v>9720</v>
      </c>
      <c r="E4144" t="s">
        <v>75</v>
      </c>
    </row>
    <row r="4145" spans="1:5" x14ac:dyDescent="0.3">
      <c r="A4145" t="s">
        <v>44</v>
      </c>
      <c r="B4145" t="s">
        <v>179</v>
      </c>
      <c r="C4145" t="s">
        <v>862</v>
      </c>
      <c r="D4145" t="s">
        <v>769</v>
      </c>
      <c r="E4145" t="s">
        <v>1</v>
      </c>
    </row>
    <row r="4146" spans="1:5" x14ac:dyDescent="0.3">
      <c r="A4146" t="s">
        <v>918</v>
      </c>
      <c r="B4146" t="s">
        <v>331</v>
      </c>
      <c r="C4146" t="s">
        <v>9725</v>
      </c>
      <c r="D4146" t="s">
        <v>769</v>
      </c>
      <c r="E4146" t="s">
        <v>1</v>
      </c>
    </row>
    <row r="4147" spans="1:5" x14ac:dyDescent="0.3">
      <c r="A4147" t="s">
        <v>4607</v>
      </c>
      <c r="B4147" t="s">
        <v>9726</v>
      </c>
      <c r="C4147" t="s">
        <v>862</v>
      </c>
      <c r="D4147" t="s">
        <v>769</v>
      </c>
      <c r="E4147" t="s">
        <v>1</v>
      </c>
    </row>
    <row r="4148" spans="1:5" x14ac:dyDescent="0.3">
      <c r="A4148" t="s">
        <v>66</v>
      </c>
      <c r="B4148" t="s">
        <v>942</v>
      </c>
      <c r="C4148" t="s">
        <v>467</v>
      </c>
      <c r="D4148" t="s">
        <v>9727</v>
      </c>
      <c r="E4148" t="s">
        <v>75</v>
      </c>
    </row>
    <row r="4149" spans="1:5" x14ac:dyDescent="0.3">
      <c r="A4149" t="s">
        <v>56</v>
      </c>
      <c r="B4149" t="s">
        <v>9728</v>
      </c>
      <c r="C4149" t="s">
        <v>467</v>
      </c>
      <c r="D4149" t="s">
        <v>9727</v>
      </c>
      <c r="E4149" t="s">
        <v>75</v>
      </c>
    </row>
    <row r="4150" spans="1:5" x14ac:dyDescent="0.3">
      <c r="A4150" t="s">
        <v>411</v>
      </c>
      <c r="B4150" t="s">
        <v>3065</v>
      </c>
      <c r="C4150" t="s">
        <v>9731</v>
      </c>
      <c r="D4150" t="s">
        <v>9730</v>
      </c>
      <c r="E4150" t="s">
        <v>75</v>
      </c>
    </row>
    <row r="4151" spans="1:5" x14ac:dyDescent="0.3">
      <c r="A4151" t="s">
        <v>153</v>
      </c>
      <c r="B4151" t="s">
        <v>9733</v>
      </c>
      <c r="C4151" t="s">
        <v>461</v>
      </c>
      <c r="D4151" t="s">
        <v>9732</v>
      </c>
      <c r="E4151" t="s">
        <v>75</v>
      </c>
    </row>
    <row r="4152" spans="1:5" x14ac:dyDescent="0.3">
      <c r="A4152" t="s">
        <v>846</v>
      </c>
      <c r="B4152" t="s">
        <v>3444</v>
      </c>
      <c r="C4152" t="s">
        <v>461</v>
      </c>
      <c r="D4152" t="s">
        <v>9734</v>
      </c>
      <c r="E4152" t="s">
        <v>75</v>
      </c>
    </row>
    <row r="4153" spans="1:5" x14ac:dyDescent="0.3">
      <c r="A4153" t="s">
        <v>2947</v>
      </c>
      <c r="B4153" t="s">
        <v>1630</v>
      </c>
      <c r="C4153" t="s">
        <v>467</v>
      </c>
      <c r="D4153" t="s">
        <v>9735</v>
      </c>
      <c r="E4153" t="s">
        <v>75</v>
      </c>
    </row>
    <row r="4154" spans="1:5" x14ac:dyDescent="0.3">
      <c r="A4154" t="s">
        <v>112</v>
      </c>
      <c r="B4154" t="s">
        <v>6728</v>
      </c>
      <c r="C4154" t="s">
        <v>467</v>
      </c>
      <c r="D4154" t="s">
        <v>9736</v>
      </c>
      <c r="E4154" t="s">
        <v>75</v>
      </c>
    </row>
    <row r="4155" spans="1:5" x14ac:dyDescent="0.3">
      <c r="A4155" t="s">
        <v>9738</v>
      </c>
      <c r="B4155" t="s">
        <v>9739</v>
      </c>
      <c r="C4155" t="s">
        <v>461</v>
      </c>
      <c r="D4155" t="s">
        <v>9737</v>
      </c>
      <c r="E4155" t="s">
        <v>75</v>
      </c>
    </row>
    <row r="4156" spans="1:5" x14ac:dyDescent="0.3">
      <c r="A4156" t="s">
        <v>3251</v>
      </c>
      <c r="B4156" t="s">
        <v>9742</v>
      </c>
      <c r="C4156" t="s">
        <v>461</v>
      </c>
      <c r="D4156" t="s">
        <v>9741</v>
      </c>
      <c r="E4156" t="s">
        <v>75</v>
      </c>
    </row>
    <row r="4157" spans="1:5" x14ac:dyDescent="0.3">
      <c r="A4157" t="s">
        <v>271</v>
      </c>
      <c r="B4157" t="s">
        <v>9743</v>
      </c>
      <c r="C4157" t="s">
        <v>698</v>
      </c>
    </row>
    <row r="4158" spans="1:5" x14ac:dyDescent="0.3">
      <c r="A4158" t="s">
        <v>82</v>
      </c>
      <c r="B4158" t="s">
        <v>9744</v>
      </c>
      <c r="C4158" t="s">
        <v>518</v>
      </c>
    </row>
    <row r="4159" spans="1:5" x14ac:dyDescent="0.3">
      <c r="A4159" t="s">
        <v>9745</v>
      </c>
      <c r="B4159" t="s">
        <v>9746</v>
      </c>
      <c r="C4159" t="s">
        <v>518</v>
      </c>
    </row>
    <row r="4160" spans="1:5" x14ac:dyDescent="0.3">
      <c r="A4160" t="s">
        <v>190</v>
      </c>
      <c r="B4160" t="s">
        <v>4285</v>
      </c>
      <c r="C4160" t="s">
        <v>518</v>
      </c>
    </row>
    <row r="4161" spans="1:5" x14ac:dyDescent="0.3">
      <c r="A4161" t="s">
        <v>1255</v>
      </c>
      <c r="B4161" t="s">
        <v>1932</v>
      </c>
      <c r="C4161" t="s">
        <v>9747</v>
      </c>
    </row>
    <row r="4162" spans="1:5" x14ac:dyDescent="0.3">
      <c r="A4162" t="s">
        <v>160</v>
      </c>
      <c r="B4162" t="s">
        <v>287</v>
      </c>
      <c r="C4162" t="s">
        <v>467</v>
      </c>
    </row>
    <row r="4163" spans="1:5" x14ac:dyDescent="0.3">
      <c r="A4163" t="s">
        <v>1583</v>
      </c>
      <c r="B4163" t="s">
        <v>5151</v>
      </c>
      <c r="C4163" t="s">
        <v>461</v>
      </c>
      <c r="D4163" t="s">
        <v>9749</v>
      </c>
      <c r="E4163" t="s">
        <v>75</v>
      </c>
    </row>
    <row r="4164" spans="1:5" x14ac:dyDescent="0.3">
      <c r="A4164" t="s">
        <v>4165</v>
      </c>
      <c r="B4164" t="s">
        <v>9751</v>
      </c>
      <c r="C4164" t="s">
        <v>467</v>
      </c>
      <c r="D4164" t="s">
        <v>9750</v>
      </c>
      <c r="E4164" t="s">
        <v>75</v>
      </c>
    </row>
    <row r="4165" spans="1:5" x14ac:dyDescent="0.3">
      <c r="A4165" t="s">
        <v>8915</v>
      </c>
      <c r="B4165" t="s">
        <v>2224</v>
      </c>
      <c r="C4165" t="s">
        <v>457</v>
      </c>
      <c r="D4165" t="s">
        <v>9752</v>
      </c>
      <c r="E4165" t="s">
        <v>774</v>
      </c>
    </row>
    <row r="4166" spans="1:5" x14ac:dyDescent="0.3">
      <c r="A4166" t="s">
        <v>3414</v>
      </c>
      <c r="B4166" t="s">
        <v>6076</v>
      </c>
      <c r="C4166" t="s">
        <v>6075</v>
      </c>
      <c r="D4166" t="s">
        <v>6074</v>
      </c>
      <c r="E4166" t="s">
        <v>741</v>
      </c>
    </row>
    <row r="4167" spans="1:5" x14ac:dyDescent="0.3">
      <c r="A4167" t="s">
        <v>860</v>
      </c>
      <c r="B4167" t="s">
        <v>1313</v>
      </c>
      <c r="C4167" t="s">
        <v>467</v>
      </c>
      <c r="D4167" t="s">
        <v>9753</v>
      </c>
      <c r="E4167" t="s">
        <v>75</v>
      </c>
    </row>
    <row r="4168" spans="1:5" x14ac:dyDescent="0.3">
      <c r="A4168" t="s">
        <v>9755</v>
      </c>
      <c r="B4168" t="s">
        <v>9756</v>
      </c>
      <c r="C4168" t="s">
        <v>461</v>
      </c>
      <c r="D4168" t="s">
        <v>9754</v>
      </c>
      <c r="E4168" t="s">
        <v>75</v>
      </c>
    </row>
    <row r="4169" spans="1:5" x14ac:dyDescent="0.3">
      <c r="A4169" t="s">
        <v>4033</v>
      </c>
      <c r="B4169" t="s">
        <v>9758</v>
      </c>
      <c r="C4169" t="s">
        <v>467</v>
      </c>
      <c r="D4169" t="s">
        <v>9757</v>
      </c>
      <c r="E4169" t="s">
        <v>75</v>
      </c>
    </row>
    <row r="4170" spans="1:5" x14ac:dyDescent="0.3">
      <c r="A4170" t="s">
        <v>2398</v>
      </c>
      <c r="B4170" t="s">
        <v>9759</v>
      </c>
      <c r="C4170" t="s">
        <v>461</v>
      </c>
      <c r="D4170" t="s">
        <v>9757</v>
      </c>
      <c r="E4170" t="s">
        <v>75</v>
      </c>
    </row>
    <row r="4171" spans="1:5" x14ac:dyDescent="0.3">
      <c r="A4171" t="s">
        <v>9761</v>
      </c>
      <c r="B4171" t="s">
        <v>9762</v>
      </c>
      <c r="C4171" t="s">
        <v>459</v>
      </c>
      <c r="D4171" t="s">
        <v>9760</v>
      </c>
      <c r="E4171" t="s">
        <v>75</v>
      </c>
    </row>
    <row r="4172" spans="1:5" x14ac:dyDescent="0.3">
      <c r="A4172" t="s">
        <v>195</v>
      </c>
      <c r="B4172" t="s">
        <v>9764</v>
      </c>
      <c r="C4172" t="s">
        <v>461</v>
      </c>
      <c r="D4172" t="s">
        <v>9763</v>
      </c>
      <c r="E4172" t="s">
        <v>75</v>
      </c>
    </row>
    <row r="4173" spans="1:5" x14ac:dyDescent="0.3">
      <c r="A4173" t="s">
        <v>9765</v>
      </c>
      <c r="B4173" t="s">
        <v>2558</v>
      </c>
      <c r="C4173" t="s">
        <v>862</v>
      </c>
      <c r="D4173" t="s">
        <v>869</v>
      </c>
      <c r="E4173" t="s">
        <v>781</v>
      </c>
    </row>
    <row r="4174" spans="1:5" x14ac:dyDescent="0.3">
      <c r="A4174" t="s">
        <v>3353</v>
      </c>
      <c r="B4174" t="s">
        <v>9767</v>
      </c>
      <c r="C4174" t="s">
        <v>467</v>
      </c>
      <c r="D4174" t="s">
        <v>9766</v>
      </c>
      <c r="E4174" t="s">
        <v>75</v>
      </c>
    </row>
    <row r="4175" spans="1:5" x14ac:dyDescent="0.3">
      <c r="A4175" t="s">
        <v>5292</v>
      </c>
      <c r="B4175" t="s">
        <v>9769</v>
      </c>
      <c r="C4175" t="s">
        <v>467</v>
      </c>
      <c r="D4175" t="s">
        <v>9768</v>
      </c>
      <c r="E4175" t="s">
        <v>75</v>
      </c>
    </row>
    <row r="4176" spans="1:5" x14ac:dyDescent="0.3">
      <c r="A4176" t="s">
        <v>44</v>
      </c>
      <c r="B4176" t="s">
        <v>9771</v>
      </c>
      <c r="C4176" t="s">
        <v>461</v>
      </c>
      <c r="D4176" t="s">
        <v>9770</v>
      </c>
      <c r="E4176" t="s">
        <v>75</v>
      </c>
    </row>
    <row r="4177" spans="1:5" x14ac:dyDescent="0.3">
      <c r="A4177" t="s">
        <v>38</v>
      </c>
      <c r="B4177" t="s">
        <v>4844</v>
      </c>
      <c r="C4177" t="s">
        <v>460</v>
      </c>
      <c r="D4177" t="s">
        <v>9773</v>
      </c>
      <c r="E4177" t="s">
        <v>75</v>
      </c>
    </row>
    <row r="4178" spans="1:5" x14ac:dyDescent="0.3">
      <c r="A4178" t="s">
        <v>224</v>
      </c>
      <c r="B4178" t="s">
        <v>9774</v>
      </c>
      <c r="C4178" t="s">
        <v>460</v>
      </c>
      <c r="D4178" t="s">
        <v>9773</v>
      </c>
      <c r="E4178" t="s">
        <v>75</v>
      </c>
    </row>
    <row r="4179" spans="1:5" x14ac:dyDescent="0.3">
      <c r="A4179" t="s">
        <v>315</v>
      </c>
      <c r="B4179" t="s">
        <v>9778</v>
      </c>
      <c r="C4179" t="s">
        <v>9777</v>
      </c>
      <c r="D4179" t="s">
        <v>4931</v>
      </c>
      <c r="E4179" t="s">
        <v>75</v>
      </c>
    </row>
    <row r="4180" spans="1:5" x14ac:dyDescent="0.3">
      <c r="A4180" t="s">
        <v>864</v>
      </c>
      <c r="B4180" t="s">
        <v>9099</v>
      </c>
      <c r="C4180" t="s">
        <v>9779</v>
      </c>
      <c r="D4180" t="s">
        <v>9775</v>
      </c>
      <c r="E4180" t="s">
        <v>75</v>
      </c>
    </row>
    <row r="4181" spans="1:5" x14ac:dyDescent="0.3">
      <c r="A4181" t="s">
        <v>177</v>
      </c>
      <c r="B4181" t="s">
        <v>9781</v>
      </c>
      <c r="C4181" t="s">
        <v>5254</v>
      </c>
      <c r="D4181" t="s">
        <v>9780</v>
      </c>
      <c r="E4181" t="s">
        <v>75</v>
      </c>
    </row>
    <row r="4182" spans="1:5" x14ac:dyDescent="0.3">
      <c r="A4182" t="s">
        <v>185</v>
      </c>
      <c r="B4182" t="s">
        <v>4737</v>
      </c>
      <c r="C4182" t="s">
        <v>467</v>
      </c>
      <c r="D4182" t="s">
        <v>9780</v>
      </c>
      <c r="E4182" t="s">
        <v>75</v>
      </c>
    </row>
    <row r="4183" spans="1:5" x14ac:dyDescent="0.3">
      <c r="A4183" t="s">
        <v>50</v>
      </c>
      <c r="B4183" t="s">
        <v>9784</v>
      </c>
      <c r="C4183" t="s">
        <v>9783</v>
      </c>
      <c r="D4183" t="s">
        <v>2900</v>
      </c>
      <c r="E4183" t="s">
        <v>741</v>
      </c>
    </row>
    <row r="4184" spans="1:5" x14ac:dyDescent="0.3">
      <c r="A4184" t="s">
        <v>68</v>
      </c>
      <c r="B4184" t="s">
        <v>1615</v>
      </c>
      <c r="C4184" t="s">
        <v>457</v>
      </c>
      <c r="D4184" t="s">
        <v>9785</v>
      </c>
      <c r="E4184" t="s">
        <v>75</v>
      </c>
    </row>
    <row r="4185" spans="1:5" x14ac:dyDescent="0.3">
      <c r="A4185" t="s">
        <v>51</v>
      </c>
      <c r="B4185" t="s">
        <v>1668</v>
      </c>
      <c r="C4185" t="s">
        <v>7159</v>
      </c>
      <c r="D4185" t="s">
        <v>9786</v>
      </c>
      <c r="E4185" t="s">
        <v>75</v>
      </c>
    </row>
    <row r="4186" spans="1:5" x14ac:dyDescent="0.3">
      <c r="A4186" t="s">
        <v>6849</v>
      </c>
      <c r="B4186" t="s">
        <v>5203</v>
      </c>
      <c r="C4186" t="s">
        <v>9788</v>
      </c>
      <c r="D4186" t="s">
        <v>9787</v>
      </c>
      <c r="E4186" t="s">
        <v>75</v>
      </c>
    </row>
    <row r="4187" spans="1:5" x14ac:dyDescent="0.3">
      <c r="A4187" t="s">
        <v>4709</v>
      </c>
      <c r="B4187" t="s">
        <v>2080</v>
      </c>
      <c r="C4187" t="s">
        <v>467</v>
      </c>
      <c r="D4187" t="s">
        <v>9789</v>
      </c>
      <c r="E4187" t="s">
        <v>75</v>
      </c>
    </row>
    <row r="4188" spans="1:5" x14ac:dyDescent="0.3">
      <c r="A4188" t="s">
        <v>146</v>
      </c>
      <c r="B4188" t="s">
        <v>8535</v>
      </c>
      <c r="C4188" t="s">
        <v>3555</v>
      </c>
      <c r="D4188" t="s">
        <v>9790</v>
      </c>
      <c r="E4188" t="s">
        <v>75</v>
      </c>
    </row>
    <row r="4189" spans="1:5" x14ac:dyDescent="0.3">
      <c r="A4189" t="s">
        <v>41</v>
      </c>
      <c r="B4189" t="s">
        <v>8534</v>
      </c>
      <c r="C4189" t="s">
        <v>467</v>
      </c>
      <c r="D4189" t="s">
        <v>9790</v>
      </c>
      <c r="E4189" t="s">
        <v>75</v>
      </c>
    </row>
    <row r="4190" spans="1:5" x14ac:dyDescent="0.3">
      <c r="A4190" t="s">
        <v>3115</v>
      </c>
      <c r="B4190" t="s">
        <v>9792</v>
      </c>
      <c r="C4190" t="s">
        <v>9791</v>
      </c>
      <c r="D4190" t="s">
        <v>6764</v>
      </c>
      <c r="E4190" t="s">
        <v>5931</v>
      </c>
    </row>
    <row r="4191" spans="1:5" x14ac:dyDescent="0.3">
      <c r="A4191" t="s">
        <v>999</v>
      </c>
      <c r="B4191" t="s">
        <v>9795</v>
      </c>
      <c r="C4191" t="s">
        <v>9794</v>
      </c>
      <c r="D4191" t="s">
        <v>9793</v>
      </c>
      <c r="E4191" t="s">
        <v>75</v>
      </c>
    </row>
    <row r="4192" spans="1:5" x14ac:dyDescent="0.3">
      <c r="A4192" t="s">
        <v>4189</v>
      </c>
      <c r="B4192" t="s">
        <v>9797</v>
      </c>
      <c r="C4192" t="s">
        <v>467</v>
      </c>
      <c r="D4192" t="s">
        <v>9796</v>
      </c>
      <c r="E4192" t="s">
        <v>75</v>
      </c>
    </row>
    <row r="4193" spans="1:5" x14ac:dyDescent="0.3">
      <c r="A4193" t="s">
        <v>2963</v>
      </c>
      <c r="B4193" t="s">
        <v>2953</v>
      </c>
      <c r="C4193" t="s">
        <v>456</v>
      </c>
      <c r="D4193" t="s">
        <v>9796</v>
      </c>
      <c r="E4193" t="s">
        <v>75</v>
      </c>
    </row>
    <row r="4194" spans="1:5" x14ac:dyDescent="0.3">
      <c r="A4194" t="s">
        <v>68</v>
      </c>
      <c r="B4194" t="s">
        <v>8507</v>
      </c>
      <c r="C4194" t="s">
        <v>461</v>
      </c>
    </row>
    <row r="4195" spans="1:5" x14ac:dyDescent="0.3">
      <c r="A4195" t="s">
        <v>44</v>
      </c>
      <c r="B4195" t="s">
        <v>9800</v>
      </c>
      <c r="C4195" t="s">
        <v>9799</v>
      </c>
      <c r="D4195" t="s">
        <v>9798</v>
      </c>
      <c r="E4195" t="s">
        <v>75</v>
      </c>
    </row>
    <row r="4196" spans="1:5" x14ac:dyDescent="0.3">
      <c r="A4196" t="s">
        <v>44</v>
      </c>
      <c r="B4196" t="s">
        <v>9802</v>
      </c>
      <c r="C4196" t="s">
        <v>459</v>
      </c>
      <c r="D4196" t="s">
        <v>9801</v>
      </c>
      <c r="E4196" t="s">
        <v>75</v>
      </c>
    </row>
    <row r="4197" spans="1:5" x14ac:dyDescent="0.3">
      <c r="A4197" t="s">
        <v>6064</v>
      </c>
      <c r="B4197" t="s">
        <v>5161</v>
      </c>
      <c r="C4197" t="s">
        <v>458</v>
      </c>
      <c r="D4197" t="s">
        <v>9803</v>
      </c>
      <c r="E4197" t="s">
        <v>75</v>
      </c>
    </row>
    <row r="4198" spans="1:5" x14ac:dyDescent="0.3">
      <c r="A4198" t="s">
        <v>1018</v>
      </c>
      <c r="B4198" t="s">
        <v>9805</v>
      </c>
      <c r="C4198" t="s">
        <v>467</v>
      </c>
      <c r="D4198" t="s">
        <v>9804</v>
      </c>
      <c r="E4198" t="s">
        <v>75</v>
      </c>
    </row>
    <row r="4199" spans="1:5" x14ac:dyDescent="0.3">
      <c r="A4199" t="s">
        <v>177</v>
      </c>
      <c r="B4199" t="s">
        <v>3482</v>
      </c>
      <c r="C4199" t="s">
        <v>467</v>
      </c>
      <c r="D4199" t="s">
        <v>9806</v>
      </c>
      <c r="E4199" t="s">
        <v>75</v>
      </c>
    </row>
    <row r="4200" spans="1:5" x14ac:dyDescent="0.3">
      <c r="A4200" t="s">
        <v>195</v>
      </c>
      <c r="B4200" t="s">
        <v>2603</v>
      </c>
      <c r="C4200" t="s">
        <v>460</v>
      </c>
      <c r="D4200" t="s">
        <v>9807</v>
      </c>
      <c r="E4200" t="s">
        <v>75</v>
      </c>
    </row>
    <row r="4201" spans="1:5" x14ac:dyDescent="0.3">
      <c r="A4201" t="s">
        <v>9809</v>
      </c>
      <c r="B4201" t="s">
        <v>9810</v>
      </c>
      <c r="C4201" t="s">
        <v>6327</v>
      </c>
      <c r="D4201" t="s">
        <v>9808</v>
      </c>
      <c r="E4201" t="s">
        <v>75</v>
      </c>
    </row>
    <row r="4202" spans="1:5" x14ac:dyDescent="0.3">
      <c r="A4202" t="s">
        <v>2620</v>
      </c>
      <c r="B4202" t="s">
        <v>1468</v>
      </c>
      <c r="C4202" t="s">
        <v>467</v>
      </c>
      <c r="D4202" t="s">
        <v>9811</v>
      </c>
      <c r="E4202" t="s">
        <v>75</v>
      </c>
    </row>
    <row r="4203" spans="1:5" x14ac:dyDescent="0.3">
      <c r="A4203" t="s">
        <v>1386</v>
      </c>
      <c r="B4203" t="s">
        <v>4151</v>
      </c>
      <c r="C4203" t="s">
        <v>467</v>
      </c>
      <c r="D4203" t="s">
        <v>9812</v>
      </c>
      <c r="E4203" t="s">
        <v>75</v>
      </c>
    </row>
    <row r="4204" spans="1:5" x14ac:dyDescent="0.3">
      <c r="A4204" t="s">
        <v>100</v>
      </c>
      <c r="B4204" t="s">
        <v>9814</v>
      </c>
      <c r="C4204" t="s">
        <v>459</v>
      </c>
      <c r="D4204" t="s">
        <v>9813</v>
      </c>
      <c r="E4204" t="s">
        <v>75</v>
      </c>
    </row>
    <row r="4205" spans="1:5" x14ac:dyDescent="0.3">
      <c r="A4205" t="s">
        <v>331</v>
      </c>
      <c r="B4205" t="s">
        <v>9817</v>
      </c>
      <c r="C4205" t="s">
        <v>9816</v>
      </c>
      <c r="D4205" t="s">
        <v>9815</v>
      </c>
      <c r="E4205" t="s">
        <v>75</v>
      </c>
    </row>
    <row r="4206" spans="1:5" x14ac:dyDescent="0.3">
      <c r="A4206" t="s">
        <v>132</v>
      </c>
      <c r="B4206" t="s">
        <v>9819</v>
      </c>
      <c r="C4206" t="s">
        <v>460</v>
      </c>
      <c r="D4206" t="s">
        <v>9818</v>
      </c>
      <c r="E4206" t="s">
        <v>75</v>
      </c>
    </row>
    <row r="4207" spans="1:5" x14ac:dyDescent="0.3">
      <c r="A4207" t="s">
        <v>3320</v>
      </c>
      <c r="B4207" t="s">
        <v>950</v>
      </c>
      <c r="C4207" t="s">
        <v>461</v>
      </c>
      <c r="D4207" t="s">
        <v>9820</v>
      </c>
      <c r="E4207" t="s">
        <v>75</v>
      </c>
    </row>
    <row r="4208" spans="1:5" x14ac:dyDescent="0.3">
      <c r="A4208" t="s">
        <v>1403</v>
      </c>
      <c r="B4208" t="s">
        <v>7698</v>
      </c>
      <c r="C4208" t="s">
        <v>454</v>
      </c>
      <c r="D4208" t="s">
        <v>1370</v>
      </c>
      <c r="E4208" t="s">
        <v>75</v>
      </c>
    </row>
    <row r="4209" spans="1:5" x14ac:dyDescent="0.3">
      <c r="A4209" t="s">
        <v>224</v>
      </c>
      <c r="B4209" t="s">
        <v>9822</v>
      </c>
      <c r="C4209" t="s">
        <v>9823</v>
      </c>
      <c r="D4209" t="s">
        <v>9821</v>
      </c>
      <c r="E4209" t="s">
        <v>75</v>
      </c>
    </row>
    <row r="4210" spans="1:5" x14ac:dyDescent="0.3">
      <c r="A4210" t="s">
        <v>338</v>
      </c>
      <c r="B4210" t="s">
        <v>9826</v>
      </c>
      <c r="C4210" t="s">
        <v>9825</v>
      </c>
      <c r="D4210" t="s">
        <v>9824</v>
      </c>
      <c r="E4210" t="s">
        <v>75</v>
      </c>
    </row>
    <row r="4211" spans="1:5" x14ac:dyDescent="0.3">
      <c r="A4211" t="s">
        <v>39</v>
      </c>
      <c r="B4211" t="s">
        <v>2432</v>
      </c>
      <c r="C4211" t="s">
        <v>461</v>
      </c>
      <c r="D4211" t="s">
        <v>9827</v>
      </c>
      <c r="E4211" t="s">
        <v>75</v>
      </c>
    </row>
    <row r="4212" spans="1:5" x14ac:dyDescent="0.3">
      <c r="A4212" t="s">
        <v>1549</v>
      </c>
      <c r="B4212" t="s">
        <v>433</v>
      </c>
      <c r="C4212" t="s">
        <v>921</v>
      </c>
      <c r="D4212" t="s">
        <v>929</v>
      </c>
      <c r="E4212" t="s">
        <v>761</v>
      </c>
    </row>
    <row r="4213" spans="1:5" x14ac:dyDescent="0.3">
      <c r="A4213" t="s">
        <v>9829</v>
      </c>
      <c r="B4213" t="s">
        <v>9830</v>
      </c>
      <c r="C4213" t="s">
        <v>467</v>
      </c>
      <c r="D4213" t="s">
        <v>9828</v>
      </c>
      <c r="E4213" t="s">
        <v>75</v>
      </c>
    </row>
    <row r="4214" spans="1:5" x14ac:dyDescent="0.3">
      <c r="A4214" t="s">
        <v>290</v>
      </c>
      <c r="B4214" t="s">
        <v>5003</v>
      </c>
      <c r="C4214" t="s">
        <v>454</v>
      </c>
      <c r="D4214" t="s">
        <v>9831</v>
      </c>
      <c r="E4214" t="s">
        <v>75</v>
      </c>
    </row>
    <row r="4215" spans="1:5" x14ac:dyDescent="0.3">
      <c r="A4215" t="s">
        <v>182</v>
      </c>
      <c r="B4215" t="s">
        <v>202</v>
      </c>
      <c r="C4215" t="s">
        <v>460</v>
      </c>
      <c r="D4215" t="s">
        <v>9833</v>
      </c>
      <c r="E4215" t="s">
        <v>75</v>
      </c>
    </row>
    <row r="4216" spans="1:5" x14ac:dyDescent="0.3">
      <c r="A4216" t="s">
        <v>116</v>
      </c>
      <c r="B4216" t="s">
        <v>5447</v>
      </c>
      <c r="C4216" t="s">
        <v>7413</v>
      </c>
      <c r="D4216" t="s">
        <v>9833</v>
      </c>
      <c r="E4216" t="s">
        <v>75</v>
      </c>
    </row>
    <row r="4217" spans="1:5" x14ac:dyDescent="0.3">
      <c r="A4217" t="s">
        <v>3353</v>
      </c>
      <c r="B4217" t="s">
        <v>9834</v>
      </c>
      <c r="C4217" t="s">
        <v>467</v>
      </c>
      <c r="D4217" t="s">
        <v>13067</v>
      </c>
      <c r="E4217" t="s">
        <v>75</v>
      </c>
    </row>
    <row r="4218" spans="1:5" x14ac:dyDescent="0.3">
      <c r="A4218" t="s">
        <v>1569</v>
      </c>
      <c r="B4218" t="s">
        <v>9836</v>
      </c>
      <c r="C4218" t="s">
        <v>9180</v>
      </c>
      <c r="D4218" t="s">
        <v>9835</v>
      </c>
      <c r="E4218" t="s">
        <v>75</v>
      </c>
    </row>
    <row r="4219" spans="1:5" x14ac:dyDescent="0.3">
      <c r="A4219" t="s">
        <v>123</v>
      </c>
      <c r="B4219" t="s">
        <v>6358</v>
      </c>
      <c r="C4219" t="s">
        <v>458</v>
      </c>
      <c r="D4219" t="s">
        <v>9837</v>
      </c>
      <c r="E4219" t="s">
        <v>75</v>
      </c>
    </row>
    <row r="4220" spans="1:5" x14ac:dyDescent="0.3">
      <c r="A4220" t="s">
        <v>3117</v>
      </c>
      <c r="B4220" t="s">
        <v>9839</v>
      </c>
      <c r="C4220" t="s">
        <v>467</v>
      </c>
      <c r="D4220" t="s">
        <v>9838</v>
      </c>
      <c r="E4220" t="s">
        <v>75</v>
      </c>
    </row>
    <row r="4221" spans="1:5" x14ac:dyDescent="0.3">
      <c r="A4221" t="s">
        <v>35</v>
      </c>
      <c r="B4221" t="s">
        <v>3541</v>
      </c>
      <c r="C4221" t="s">
        <v>467</v>
      </c>
      <c r="D4221" t="s">
        <v>9840</v>
      </c>
      <c r="E4221" t="s">
        <v>75</v>
      </c>
    </row>
    <row r="4222" spans="1:5" x14ac:dyDescent="0.3">
      <c r="A4222" t="s">
        <v>327</v>
      </c>
      <c r="B4222" t="s">
        <v>9017</v>
      </c>
      <c r="C4222" t="s">
        <v>745</v>
      </c>
    </row>
    <row r="4223" spans="1:5" x14ac:dyDescent="0.3">
      <c r="A4223" t="s">
        <v>123</v>
      </c>
      <c r="B4223" t="s">
        <v>9169</v>
      </c>
      <c r="C4223" t="s">
        <v>457</v>
      </c>
      <c r="D4223" t="s">
        <v>6490</v>
      </c>
      <c r="E4223" t="s">
        <v>75</v>
      </c>
    </row>
    <row r="4224" spans="1:5" x14ac:dyDescent="0.3">
      <c r="A4224" t="s">
        <v>9842</v>
      </c>
      <c r="B4224" t="s">
        <v>4581</v>
      </c>
      <c r="C4224" t="s">
        <v>8148</v>
      </c>
      <c r="D4224" t="s">
        <v>9841</v>
      </c>
      <c r="E4224" t="s">
        <v>774</v>
      </c>
    </row>
    <row r="4225" spans="1:5" x14ac:dyDescent="0.3">
      <c r="A4225" t="s">
        <v>331</v>
      </c>
      <c r="B4225" t="s">
        <v>9845</v>
      </c>
      <c r="C4225" t="s">
        <v>457</v>
      </c>
      <c r="D4225" t="s">
        <v>9844</v>
      </c>
      <c r="E4225" t="s">
        <v>75</v>
      </c>
    </row>
    <row r="4226" spans="1:5" x14ac:dyDescent="0.3">
      <c r="A4226" t="s">
        <v>9846</v>
      </c>
      <c r="B4226" t="s">
        <v>9847</v>
      </c>
      <c r="C4226" t="s">
        <v>467</v>
      </c>
      <c r="D4226" t="s">
        <v>3091</v>
      </c>
      <c r="E4226" t="s">
        <v>75</v>
      </c>
    </row>
    <row r="4227" spans="1:5" x14ac:dyDescent="0.3">
      <c r="A4227" t="s">
        <v>211</v>
      </c>
      <c r="B4227" t="s">
        <v>9849</v>
      </c>
      <c r="C4227" t="s">
        <v>461</v>
      </c>
      <c r="D4227" t="s">
        <v>9848</v>
      </c>
      <c r="E4227" t="s">
        <v>75</v>
      </c>
    </row>
    <row r="4228" spans="1:5" x14ac:dyDescent="0.3">
      <c r="A4228" t="s">
        <v>224</v>
      </c>
      <c r="B4228" t="s">
        <v>9850</v>
      </c>
      <c r="C4228" t="s">
        <v>458</v>
      </c>
      <c r="D4228" t="s">
        <v>5361</v>
      </c>
      <c r="E4228" t="s">
        <v>781</v>
      </c>
    </row>
    <row r="4229" spans="1:5" x14ac:dyDescent="0.3">
      <c r="A4229" t="s">
        <v>66</v>
      </c>
      <c r="B4229" t="s">
        <v>9852</v>
      </c>
      <c r="C4229" t="s">
        <v>9851</v>
      </c>
      <c r="D4229" t="s">
        <v>5361</v>
      </c>
      <c r="E4229" t="s">
        <v>781</v>
      </c>
    </row>
    <row r="4230" spans="1:5" x14ac:dyDescent="0.3">
      <c r="A4230" t="s">
        <v>38</v>
      </c>
      <c r="B4230" t="s">
        <v>9853</v>
      </c>
      <c r="C4230" t="s">
        <v>457</v>
      </c>
      <c r="D4230" t="s">
        <v>5361</v>
      </c>
      <c r="E4230" t="s">
        <v>781</v>
      </c>
    </row>
    <row r="4231" spans="1:5" x14ac:dyDescent="0.3">
      <c r="A4231" t="s">
        <v>744</v>
      </c>
      <c r="B4231" t="s">
        <v>1061</v>
      </c>
      <c r="C4231" t="s">
        <v>9855</v>
      </c>
      <c r="D4231" t="s">
        <v>9854</v>
      </c>
      <c r="E4231" t="s">
        <v>75</v>
      </c>
    </row>
    <row r="4232" spans="1:5" x14ac:dyDescent="0.3">
      <c r="A4232" t="s">
        <v>1129</v>
      </c>
      <c r="B4232" t="s">
        <v>1078</v>
      </c>
      <c r="C4232" t="s">
        <v>5191</v>
      </c>
      <c r="D4232" t="s">
        <v>9856</v>
      </c>
      <c r="E4232" t="s">
        <v>75</v>
      </c>
    </row>
    <row r="4233" spans="1:5" x14ac:dyDescent="0.3">
      <c r="A4233" t="s">
        <v>2408</v>
      </c>
      <c r="B4233" t="s">
        <v>9858</v>
      </c>
      <c r="C4233" t="s">
        <v>461</v>
      </c>
      <c r="D4233" t="s">
        <v>9857</v>
      </c>
      <c r="E4233" t="s">
        <v>75</v>
      </c>
    </row>
    <row r="4234" spans="1:5" x14ac:dyDescent="0.3">
      <c r="A4234" t="s">
        <v>999</v>
      </c>
      <c r="B4234" t="s">
        <v>3204</v>
      </c>
      <c r="C4234" t="s">
        <v>461</v>
      </c>
      <c r="D4234" t="s">
        <v>9859</v>
      </c>
      <c r="E4234" t="s">
        <v>75</v>
      </c>
    </row>
    <row r="4235" spans="1:5" x14ac:dyDescent="0.3">
      <c r="A4235" t="s">
        <v>900</v>
      </c>
      <c r="B4235" t="s">
        <v>9861</v>
      </c>
      <c r="C4235" t="s">
        <v>9860</v>
      </c>
      <c r="D4235" t="s">
        <v>7953</v>
      </c>
      <c r="E4235" t="s">
        <v>75</v>
      </c>
    </row>
    <row r="4236" spans="1:5" x14ac:dyDescent="0.3">
      <c r="A4236" t="s">
        <v>219</v>
      </c>
      <c r="B4236" t="s">
        <v>9863</v>
      </c>
      <c r="C4236" t="s">
        <v>467</v>
      </c>
      <c r="D4236" t="s">
        <v>9862</v>
      </c>
      <c r="E4236" t="s">
        <v>75</v>
      </c>
    </row>
    <row r="4237" spans="1:5" x14ac:dyDescent="0.3">
      <c r="A4237" t="s">
        <v>1161</v>
      </c>
      <c r="B4237" t="s">
        <v>6730</v>
      </c>
      <c r="C4237" t="s">
        <v>460</v>
      </c>
      <c r="D4237" t="s">
        <v>9866</v>
      </c>
      <c r="E4237" t="s">
        <v>75</v>
      </c>
    </row>
    <row r="4238" spans="1:5" x14ac:dyDescent="0.3">
      <c r="A4238" t="s">
        <v>119</v>
      </c>
      <c r="B4238" t="s">
        <v>901</v>
      </c>
      <c r="C4238" t="s">
        <v>862</v>
      </c>
      <c r="D4238" t="s">
        <v>1682</v>
      </c>
      <c r="E4238" t="s">
        <v>841</v>
      </c>
    </row>
    <row r="4239" spans="1:5" x14ac:dyDescent="0.3">
      <c r="A4239" t="s">
        <v>4582</v>
      </c>
      <c r="B4239" t="s">
        <v>3866</v>
      </c>
      <c r="C4239" t="s">
        <v>459</v>
      </c>
      <c r="D4239" t="s">
        <v>9867</v>
      </c>
      <c r="E4239" t="s">
        <v>75</v>
      </c>
    </row>
    <row r="4240" spans="1:5" x14ac:dyDescent="0.3">
      <c r="A4240" t="s">
        <v>1555</v>
      </c>
      <c r="B4240" t="s">
        <v>153</v>
      </c>
      <c r="C4240" t="s">
        <v>467</v>
      </c>
      <c r="D4240" t="s">
        <v>8939</v>
      </c>
      <c r="E4240" t="s">
        <v>75</v>
      </c>
    </row>
    <row r="4241" spans="1:5" x14ac:dyDescent="0.3">
      <c r="A4241" t="s">
        <v>256</v>
      </c>
      <c r="B4241" t="s">
        <v>257</v>
      </c>
      <c r="C4241" t="s">
        <v>258</v>
      </c>
      <c r="D4241" t="s">
        <v>919</v>
      </c>
      <c r="E4241" t="s">
        <v>1</v>
      </c>
    </row>
    <row r="4242" spans="1:5" x14ac:dyDescent="0.3">
      <c r="A4242" t="s">
        <v>391</v>
      </c>
      <c r="B4242" t="s">
        <v>9302</v>
      </c>
      <c r="C4242" t="s">
        <v>5328</v>
      </c>
      <c r="D4242" t="s">
        <v>9869</v>
      </c>
      <c r="E4242" t="s">
        <v>75</v>
      </c>
    </row>
    <row r="4243" spans="1:5" x14ac:dyDescent="0.3">
      <c r="A4243" t="s">
        <v>2639</v>
      </c>
      <c r="B4243" t="s">
        <v>9870</v>
      </c>
      <c r="C4243" t="s">
        <v>461</v>
      </c>
      <c r="D4243" t="s">
        <v>9869</v>
      </c>
      <c r="E4243" t="s">
        <v>75</v>
      </c>
    </row>
    <row r="4244" spans="1:5" x14ac:dyDescent="0.3">
      <c r="A4244" t="s">
        <v>9872</v>
      </c>
      <c r="B4244" t="s">
        <v>9872</v>
      </c>
      <c r="C4244" t="s">
        <v>9873</v>
      </c>
      <c r="D4244" t="s">
        <v>9871</v>
      </c>
      <c r="E4244" t="s">
        <v>75</v>
      </c>
    </row>
    <row r="4245" spans="1:5" x14ac:dyDescent="0.3">
      <c r="A4245" t="s">
        <v>2143</v>
      </c>
      <c r="B4245" t="s">
        <v>9876</v>
      </c>
      <c r="C4245" t="s">
        <v>9875</v>
      </c>
      <c r="D4245" t="s">
        <v>9874</v>
      </c>
      <c r="E4245" t="s">
        <v>75</v>
      </c>
    </row>
    <row r="4246" spans="1:5" x14ac:dyDescent="0.3">
      <c r="A4246" t="s">
        <v>160</v>
      </c>
      <c r="B4246" t="s">
        <v>9878</v>
      </c>
      <c r="C4246" t="s">
        <v>9877</v>
      </c>
      <c r="D4246" t="s">
        <v>9874</v>
      </c>
      <c r="E4246" t="s">
        <v>75</v>
      </c>
    </row>
    <row r="4247" spans="1:5" x14ac:dyDescent="0.3">
      <c r="A4247" t="s">
        <v>370</v>
      </c>
      <c r="B4247" t="s">
        <v>285</v>
      </c>
      <c r="C4247" t="s">
        <v>461</v>
      </c>
      <c r="D4247" t="s">
        <v>9879</v>
      </c>
      <c r="E4247" t="s">
        <v>75</v>
      </c>
    </row>
    <row r="4248" spans="1:5" x14ac:dyDescent="0.3">
      <c r="A4248" t="s">
        <v>2487</v>
      </c>
      <c r="B4248" t="s">
        <v>9881</v>
      </c>
      <c r="C4248" t="s">
        <v>9880</v>
      </c>
      <c r="D4248" t="s">
        <v>769</v>
      </c>
      <c r="E4248" t="s">
        <v>1</v>
      </c>
    </row>
    <row r="4249" spans="1:5" x14ac:dyDescent="0.3">
      <c r="A4249" t="s">
        <v>190</v>
      </c>
      <c r="B4249" t="s">
        <v>9883</v>
      </c>
      <c r="C4249" t="s">
        <v>460</v>
      </c>
      <c r="D4249" t="s">
        <v>9882</v>
      </c>
      <c r="E4249" t="s">
        <v>75</v>
      </c>
    </row>
    <row r="4250" spans="1:5" x14ac:dyDescent="0.3">
      <c r="A4250" t="s">
        <v>130</v>
      </c>
      <c r="B4250" t="s">
        <v>3147</v>
      </c>
      <c r="C4250" t="s">
        <v>9884</v>
      </c>
      <c r="D4250" t="s">
        <v>4277</v>
      </c>
      <c r="E4250" t="s">
        <v>841</v>
      </c>
    </row>
    <row r="4251" spans="1:5" x14ac:dyDescent="0.3">
      <c r="A4251" t="s">
        <v>4470</v>
      </c>
      <c r="B4251" t="s">
        <v>9887</v>
      </c>
      <c r="C4251" t="s">
        <v>461</v>
      </c>
      <c r="D4251" t="s">
        <v>9886</v>
      </c>
      <c r="E4251" t="s">
        <v>75</v>
      </c>
    </row>
    <row r="4252" spans="1:5" x14ac:dyDescent="0.3">
      <c r="A4252" t="s">
        <v>2311</v>
      </c>
      <c r="B4252" t="s">
        <v>1179</v>
      </c>
      <c r="C4252" t="s">
        <v>461</v>
      </c>
      <c r="D4252" t="s">
        <v>9888</v>
      </c>
      <c r="E4252" t="s">
        <v>75</v>
      </c>
    </row>
    <row r="4253" spans="1:5" x14ac:dyDescent="0.3">
      <c r="A4253" t="s">
        <v>329</v>
      </c>
      <c r="B4253" t="s">
        <v>1216</v>
      </c>
      <c r="C4253" t="s">
        <v>460</v>
      </c>
      <c r="D4253" t="s">
        <v>9889</v>
      </c>
      <c r="E4253" t="s">
        <v>75</v>
      </c>
    </row>
    <row r="4254" spans="1:5" x14ac:dyDescent="0.3">
      <c r="A4254" t="s">
        <v>4950</v>
      </c>
      <c r="B4254" t="s">
        <v>4283</v>
      </c>
      <c r="C4254" t="s">
        <v>862</v>
      </c>
      <c r="D4254" t="s">
        <v>9890</v>
      </c>
      <c r="E4254" t="s">
        <v>75</v>
      </c>
    </row>
    <row r="4255" spans="1:5" x14ac:dyDescent="0.3">
      <c r="A4255" t="s">
        <v>261</v>
      </c>
      <c r="B4255" t="s">
        <v>5404</v>
      </c>
      <c r="C4255" t="s">
        <v>451</v>
      </c>
      <c r="D4255" t="s">
        <v>9891</v>
      </c>
      <c r="E4255" t="s">
        <v>75</v>
      </c>
    </row>
    <row r="4256" spans="1:5" x14ac:dyDescent="0.3">
      <c r="A4256" t="s">
        <v>335</v>
      </c>
      <c r="B4256" t="s">
        <v>5879</v>
      </c>
      <c r="C4256" t="s">
        <v>9892</v>
      </c>
      <c r="D4256" t="s">
        <v>9891</v>
      </c>
      <c r="E4256" t="s">
        <v>75</v>
      </c>
    </row>
    <row r="4257" spans="1:5" x14ac:dyDescent="0.3">
      <c r="A4257" t="s">
        <v>13068</v>
      </c>
      <c r="B4257" t="s">
        <v>9894</v>
      </c>
      <c r="C4257" t="s">
        <v>461</v>
      </c>
      <c r="D4257" t="s">
        <v>9893</v>
      </c>
      <c r="E4257" t="s">
        <v>75</v>
      </c>
    </row>
    <row r="4258" spans="1:5" x14ac:dyDescent="0.3">
      <c r="A4258" t="s">
        <v>4331</v>
      </c>
      <c r="B4258" t="s">
        <v>9896</v>
      </c>
      <c r="C4258" t="s">
        <v>461</v>
      </c>
      <c r="D4258" t="s">
        <v>9895</v>
      </c>
      <c r="E4258" t="s">
        <v>75</v>
      </c>
    </row>
    <row r="4259" spans="1:5" x14ac:dyDescent="0.3">
      <c r="A4259" t="s">
        <v>224</v>
      </c>
      <c r="B4259" t="s">
        <v>1371</v>
      </c>
      <c r="C4259" t="s">
        <v>457</v>
      </c>
      <c r="D4259" t="s">
        <v>9897</v>
      </c>
      <c r="E4259" t="s">
        <v>75</v>
      </c>
    </row>
    <row r="4260" spans="1:5" x14ac:dyDescent="0.3">
      <c r="A4260" t="s">
        <v>89</v>
      </c>
      <c r="B4260" t="s">
        <v>9900</v>
      </c>
      <c r="C4260" t="s">
        <v>9899</v>
      </c>
      <c r="D4260" t="s">
        <v>9898</v>
      </c>
      <c r="E4260" t="s">
        <v>75</v>
      </c>
    </row>
    <row r="4261" spans="1:5" x14ac:dyDescent="0.3">
      <c r="A4261" t="s">
        <v>934</v>
      </c>
      <c r="B4261" t="s">
        <v>4295</v>
      </c>
      <c r="C4261" t="s">
        <v>457</v>
      </c>
      <c r="D4261" t="s">
        <v>9901</v>
      </c>
      <c r="E4261" t="s">
        <v>75</v>
      </c>
    </row>
    <row r="4262" spans="1:5" x14ac:dyDescent="0.3">
      <c r="A4262" t="s">
        <v>177</v>
      </c>
      <c r="B4262" t="s">
        <v>178</v>
      </c>
      <c r="C4262" t="s">
        <v>461</v>
      </c>
      <c r="D4262" t="s">
        <v>9902</v>
      </c>
      <c r="E4262" t="s">
        <v>75</v>
      </c>
    </row>
    <row r="4263" spans="1:5" x14ac:dyDescent="0.3">
      <c r="A4263" t="s">
        <v>1558</v>
      </c>
      <c r="B4263" t="s">
        <v>9903</v>
      </c>
      <c r="C4263" t="s">
        <v>459</v>
      </c>
      <c r="D4263" t="s">
        <v>9902</v>
      </c>
      <c r="E4263" t="s">
        <v>75</v>
      </c>
    </row>
    <row r="4264" spans="1:5" x14ac:dyDescent="0.3">
      <c r="A4264" t="s">
        <v>77</v>
      </c>
      <c r="B4264" t="s">
        <v>9905</v>
      </c>
      <c r="C4264" t="s">
        <v>460</v>
      </c>
      <c r="D4264" t="s">
        <v>9904</v>
      </c>
      <c r="E4264" t="s">
        <v>75</v>
      </c>
    </row>
    <row r="4265" spans="1:5" x14ac:dyDescent="0.3">
      <c r="A4265" t="s">
        <v>9907</v>
      </c>
      <c r="B4265" t="s">
        <v>9908</v>
      </c>
      <c r="C4265" t="s">
        <v>467</v>
      </c>
      <c r="D4265" t="s">
        <v>9906</v>
      </c>
      <c r="E4265" t="s">
        <v>75</v>
      </c>
    </row>
    <row r="4266" spans="1:5" x14ac:dyDescent="0.3">
      <c r="A4266" t="s">
        <v>259</v>
      </c>
      <c r="B4266" t="s">
        <v>956</v>
      </c>
      <c r="C4266" t="s">
        <v>4309</v>
      </c>
      <c r="D4266" t="s">
        <v>9909</v>
      </c>
      <c r="E4266" t="s">
        <v>75</v>
      </c>
    </row>
    <row r="4267" spans="1:5" x14ac:dyDescent="0.3">
      <c r="A4267" t="s">
        <v>1972</v>
      </c>
      <c r="B4267" t="s">
        <v>9912</v>
      </c>
      <c r="C4267" t="s">
        <v>6765</v>
      </c>
      <c r="D4267" t="s">
        <v>9911</v>
      </c>
      <c r="E4267" t="s">
        <v>75</v>
      </c>
    </row>
    <row r="4268" spans="1:5" x14ac:dyDescent="0.3">
      <c r="A4268" t="s">
        <v>82</v>
      </c>
      <c r="B4268" t="s">
        <v>1370</v>
      </c>
      <c r="C4268" t="s">
        <v>461</v>
      </c>
      <c r="D4268" t="s">
        <v>9913</v>
      </c>
      <c r="E4268" t="s">
        <v>75</v>
      </c>
    </row>
    <row r="4269" spans="1:5" x14ac:dyDescent="0.3">
      <c r="A4269" t="s">
        <v>9915</v>
      </c>
      <c r="B4269" t="s">
        <v>9916</v>
      </c>
      <c r="C4269" t="s">
        <v>467</v>
      </c>
      <c r="D4269" t="s">
        <v>9914</v>
      </c>
      <c r="E4269" t="s">
        <v>75</v>
      </c>
    </row>
    <row r="4270" spans="1:5" x14ac:dyDescent="0.3">
      <c r="A4270" t="s">
        <v>1026</v>
      </c>
      <c r="B4270" t="s">
        <v>9918</v>
      </c>
      <c r="C4270" t="s">
        <v>461</v>
      </c>
      <c r="D4270" t="s">
        <v>9917</v>
      </c>
      <c r="E4270" t="s">
        <v>75</v>
      </c>
    </row>
    <row r="4271" spans="1:5" x14ac:dyDescent="0.3">
      <c r="A4271" t="s">
        <v>9920</v>
      </c>
      <c r="B4271" t="s">
        <v>9921</v>
      </c>
      <c r="C4271" t="s">
        <v>467</v>
      </c>
      <c r="D4271" t="s">
        <v>9919</v>
      </c>
      <c r="E4271" t="s">
        <v>75</v>
      </c>
    </row>
    <row r="4272" spans="1:5" x14ac:dyDescent="0.3">
      <c r="A4272" t="s">
        <v>157</v>
      </c>
      <c r="B4272" t="s">
        <v>9923</v>
      </c>
      <c r="C4272" t="s">
        <v>467</v>
      </c>
      <c r="D4272" t="s">
        <v>9922</v>
      </c>
      <c r="E4272" t="s">
        <v>75</v>
      </c>
    </row>
    <row r="4273" spans="1:5" x14ac:dyDescent="0.3">
      <c r="A4273" t="s">
        <v>298</v>
      </c>
      <c r="B4273" t="s">
        <v>9925</v>
      </c>
      <c r="C4273" t="s">
        <v>461</v>
      </c>
      <c r="D4273" t="s">
        <v>9924</v>
      </c>
      <c r="E4273" t="s">
        <v>75</v>
      </c>
    </row>
    <row r="4274" spans="1:5" x14ac:dyDescent="0.3">
      <c r="A4274" t="s">
        <v>9927</v>
      </c>
      <c r="B4274" t="s">
        <v>9928</v>
      </c>
      <c r="C4274" t="s">
        <v>461</v>
      </c>
      <c r="D4274" t="s">
        <v>9926</v>
      </c>
      <c r="E4274" t="s">
        <v>75</v>
      </c>
    </row>
    <row r="4275" spans="1:5" x14ac:dyDescent="0.3">
      <c r="A4275" t="s">
        <v>1513</v>
      </c>
      <c r="B4275" t="s">
        <v>9930</v>
      </c>
      <c r="C4275" t="s">
        <v>459</v>
      </c>
      <c r="D4275" t="s">
        <v>9929</v>
      </c>
      <c r="E4275" t="s">
        <v>75</v>
      </c>
    </row>
    <row r="4276" spans="1:5" x14ac:dyDescent="0.3">
      <c r="A4276" t="s">
        <v>1013</v>
      </c>
      <c r="B4276" t="s">
        <v>2386</v>
      </c>
      <c r="C4276" t="s">
        <v>460</v>
      </c>
      <c r="D4276" t="s">
        <v>9931</v>
      </c>
      <c r="E4276" t="s">
        <v>75</v>
      </c>
    </row>
    <row r="4277" spans="1:5" x14ac:dyDescent="0.3">
      <c r="A4277" t="s">
        <v>59</v>
      </c>
      <c r="B4277" t="s">
        <v>3457</v>
      </c>
      <c r="C4277" t="s">
        <v>457</v>
      </c>
      <c r="D4277" t="s">
        <v>9932</v>
      </c>
      <c r="E4277" t="s">
        <v>75</v>
      </c>
    </row>
    <row r="4278" spans="1:5" x14ac:dyDescent="0.3">
      <c r="A4278" t="s">
        <v>79</v>
      </c>
      <c r="B4278" t="s">
        <v>9934</v>
      </c>
      <c r="C4278" t="s">
        <v>457</v>
      </c>
      <c r="D4278" t="s">
        <v>9933</v>
      </c>
      <c r="E4278" t="s">
        <v>75</v>
      </c>
    </row>
    <row r="4279" spans="1:5" x14ac:dyDescent="0.3">
      <c r="A4279" t="s">
        <v>851</v>
      </c>
      <c r="B4279" t="s">
        <v>3119</v>
      </c>
      <c r="C4279" t="s">
        <v>460</v>
      </c>
      <c r="D4279" t="s">
        <v>9933</v>
      </c>
      <c r="E4279" t="s">
        <v>75</v>
      </c>
    </row>
    <row r="4280" spans="1:5" x14ac:dyDescent="0.3">
      <c r="A4280" t="s">
        <v>1409</v>
      </c>
      <c r="B4280" t="s">
        <v>2524</v>
      </c>
      <c r="C4280" t="s">
        <v>5766</v>
      </c>
      <c r="D4280" t="s">
        <v>9935</v>
      </c>
      <c r="E4280" t="s">
        <v>75</v>
      </c>
    </row>
    <row r="4281" spans="1:5" x14ac:dyDescent="0.3">
      <c r="A4281" t="s">
        <v>22</v>
      </c>
      <c r="B4281" t="s">
        <v>5325</v>
      </c>
      <c r="C4281" t="s">
        <v>460</v>
      </c>
      <c r="D4281" t="s">
        <v>9937</v>
      </c>
      <c r="E4281" t="s">
        <v>75</v>
      </c>
    </row>
    <row r="4282" spans="1:5" x14ac:dyDescent="0.3">
      <c r="A4282" t="s">
        <v>7883</v>
      </c>
      <c r="B4282" t="s">
        <v>9939</v>
      </c>
      <c r="C4282" t="s">
        <v>467</v>
      </c>
      <c r="D4282" t="s">
        <v>9938</v>
      </c>
      <c r="E4282" t="s">
        <v>75</v>
      </c>
    </row>
    <row r="4283" spans="1:5" x14ac:dyDescent="0.3">
      <c r="A4283" t="s">
        <v>298</v>
      </c>
      <c r="B4283" t="s">
        <v>3293</v>
      </c>
      <c r="C4283" t="s">
        <v>461</v>
      </c>
      <c r="D4283" t="s">
        <v>9940</v>
      </c>
      <c r="E4283" t="s">
        <v>75</v>
      </c>
    </row>
    <row r="4284" spans="1:5" x14ac:dyDescent="0.3">
      <c r="A4284" t="s">
        <v>250</v>
      </c>
      <c r="B4284" t="s">
        <v>2887</v>
      </c>
      <c r="C4284" t="s">
        <v>467</v>
      </c>
      <c r="D4284" t="s">
        <v>9941</v>
      </c>
      <c r="E4284" t="s">
        <v>75</v>
      </c>
    </row>
    <row r="4285" spans="1:5" x14ac:dyDescent="0.3">
      <c r="A4285" t="s">
        <v>27</v>
      </c>
      <c r="B4285" t="s">
        <v>3863</v>
      </c>
      <c r="C4285" t="s">
        <v>461</v>
      </c>
      <c r="D4285" t="s">
        <v>9941</v>
      </c>
      <c r="E4285" t="s">
        <v>75</v>
      </c>
    </row>
    <row r="4286" spans="1:5" x14ac:dyDescent="0.3">
      <c r="A4286" t="s">
        <v>2053</v>
      </c>
      <c r="B4286" t="s">
        <v>3209</v>
      </c>
      <c r="C4286" t="s">
        <v>461</v>
      </c>
      <c r="D4286" t="s">
        <v>9942</v>
      </c>
      <c r="E4286" t="s">
        <v>75</v>
      </c>
    </row>
    <row r="4287" spans="1:5" x14ac:dyDescent="0.3">
      <c r="A4287" t="s">
        <v>831</v>
      </c>
      <c r="B4287" t="s">
        <v>9944</v>
      </c>
      <c r="C4287" t="s">
        <v>9943</v>
      </c>
      <c r="D4287" t="s">
        <v>5071</v>
      </c>
      <c r="E4287" t="s">
        <v>774</v>
      </c>
    </row>
    <row r="4288" spans="1:5" x14ac:dyDescent="0.3">
      <c r="A4288" t="s">
        <v>937</v>
      </c>
      <c r="B4288" t="s">
        <v>9945</v>
      </c>
      <c r="C4288" t="s">
        <v>467</v>
      </c>
      <c r="D4288" t="s">
        <v>1362</v>
      </c>
      <c r="E4288" t="s">
        <v>75</v>
      </c>
    </row>
    <row r="4289" spans="1:5" x14ac:dyDescent="0.3">
      <c r="A4289" t="s">
        <v>4140</v>
      </c>
      <c r="B4289" t="s">
        <v>2397</v>
      </c>
      <c r="C4289" t="s">
        <v>467</v>
      </c>
      <c r="D4289" t="s">
        <v>9946</v>
      </c>
      <c r="E4289" t="s">
        <v>75</v>
      </c>
    </row>
    <row r="4290" spans="1:5" x14ac:dyDescent="0.3">
      <c r="A4290" t="s">
        <v>160</v>
      </c>
      <c r="B4290" t="s">
        <v>9949</v>
      </c>
      <c r="C4290" t="s">
        <v>9948</v>
      </c>
      <c r="D4290" t="s">
        <v>9947</v>
      </c>
      <c r="E4290" t="s">
        <v>75</v>
      </c>
    </row>
    <row r="4291" spans="1:5" x14ac:dyDescent="0.3">
      <c r="A4291" t="s">
        <v>132</v>
      </c>
      <c r="B4291" t="s">
        <v>7425</v>
      </c>
      <c r="C4291" t="s">
        <v>457</v>
      </c>
      <c r="D4291" t="s">
        <v>9950</v>
      </c>
      <c r="E4291" t="s">
        <v>75</v>
      </c>
    </row>
    <row r="4292" spans="1:5" x14ac:dyDescent="0.3">
      <c r="A4292" t="s">
        <v>825</v>
      </c>
      <c r="B4292" t="s">
        <v>1037</v>
      </c>
      <c r="C4292" t="s">
        <v>461</v>
      </c>
      <c r="D4292" t="s">
        <v>9952</v>
      </c>
      <c r="E4292" t="s">
        <v>75</v>
      </c>
    </row>
    <row r="4293" spans="1:5" x14ac:dyDescent="0.3">
      <c r="A4293" t="s">
        <v>2945</v>
      </c>
      <c r="B4293" t="s">
        <v>9953</v>
      </c>
      <c r="C4293" t="s">
        <v>467</v>
      </c>
      <c r="D4293" t="s">
        <v>9952</v>
      </c>
      <c r="E4293" t="s">
        <v>75</v>
      </c>
    </row>
    <row r="4294" spans="1:5" x14ac:dyDescent="0.3">
      <c r="A4294" t="s">
        <v>77</v>
      </c>
      <c r="B4294" t="s">
        <v>9956</v>
      </c>
      <c r="C4294" t="s">
        <v>9955</v>
      </c>
      <c r="D4294" t="s">
        <v>9954</v>
      </c>
      <c r="E4294" t="s">
        <v>75</v>
      </c>
    </row>
    <row r="4295" spans="1:5" x14ac:dyDescent="0.3">
      <c r="A4295" t="s">
        <v>3613</v>
      </c>
      <c r="B4295" t="s">
        <v>1072</v>
      </c>
      <c r="C4295" t="s">
        <v>451</v>
      </c>
    </row>
    <row r="4296" spans="1:5" x14ac:dyDescent="0.3">
      <c r="A4296" t="s">
        <v>9957</v>
      </c>
      <c r="B4296" t="s">
        <v>1305</v>
      </c>
      <c r="C4296" t="s">
        <v>461</v>
      </c>
    </row>
    <row r="4297" spans="1:5" x14ac:dyDescent="0.3">
      <c r="A4297" t="s">
        <v>3669</v>
      </c>
      <c r="B4297" t="s">
        <v>9963</v>
      </c>
      <c r="C4297" t="s">
        <v>9962</v>
      </c>
      <c r="D4297" t="s">
        <v>9961</v>
      </c>
      <c r="E4297" t="s">
        <v>75</v>
      </c>
    </row>
    <row r="4298" spans="1:5" x14ac:dyDescent="0.3">
      <c r="A4298" t="s">
        <v>9965</v>
      </c>
      <c r="B4298" t="s">
        <v>4648</v>
      </c>
      <c r="C4298" t="s">
        <v>9966</v>
      </c>
      <c r="D4298" t="s">
        <v>9964</v>
      </c>
      <c r="E4298" t="s">
        <v>75</v>
      </c>
    </row>
    <row r="4299" spans="1:5" x14ac:dyDescent="0.3">
      <c r="A4299" t="s">
        <v>275</v>
      </c>
      <c r="B4299" t="s">
        <v>896</v>
      </c>
      <c r="C4299" t="s">
        <v>461</v>
      </c>
      <c r="D4299" t="s">
        <v>9967</v>
      </c>
      <c r="E4299" t="s">
        <v>75</v>
      </c>
    </row>
    <row r="4300" spans="1:5" x14ac:dyDescent="0.3">
      <c r="A4300" t="s">
        <v>89</v>
      </c>
      <c r="B4300" t="s">
        <v>2421</v>
      </c>
      <c r="C4300" t="s">
        <v>862</v>
      </c>
      <c r="D4300" t="s">
        <v>9968</v>
      </c>
      <c r="E4300" t="s">
        <v>75</v>
      </c>
    </row>
    <row r="4301" spans="1:5" x14ac:dyDescent="0.3">
      <c r="A4301" t="s">
        <v>60</v>
      </c>
      <c r="B4301" t="s">
        <v>4231</v>
      </c>
      <c r="C4301" t="s">
        <v>3555</v>
      </c>
      <c r="D4301" t="s">
        <v>9968</v>
      </c>
      <c r="E4301" t="s">
        <v>75</v>
      </c>
    </row>
    <row r="4302" spans="1:5" x14ac:dyDescent="0.3">
      <c r="A4302" t="s">
        <v>224</v>
      </c>
      <c r="B4302" t="s">
        <v>4422</v>
      </c>
      <c r="C4302" t="s">
        <v>467</v>
      </c>
      <c r="D4302" t="s">
        <v>9968</v>
      </c>
      <c r="E4302" t="s">
        <v>75</v>
      </c>
    </row>
    <row r="4303" spans="1:5" x14ac:dyDescent="0.3">
      <c r="A4303" t="s">
        <v>57</v>
      </c>
      <c r="B4303" t="s">
        <v>9970</v>
      </c>
      <c r="C4303" t="s">
        <v>461</v>
      </c>
      <c r="D4303" t="s">
        <v>9969</v>
      </c>
      <c r="E4303" t="s">
        <v>75</v>
      </c>
    </row>
    <row r="4304" spans="1:5" x14ac:dyDescent="0.3">
      <c r="A4304" t="s">
        <v>4751</v>
      </c>
      <c r="B4304" t="s">
        <v>1332</v>
      </c>
      <c r="C4304" t="s">
        <v>455</v>
      </c>
      <c r="D4304" t="s">
        <v>5940</v>
      </c>
      <c r="E4304" t="s">
        <v>758</v>
      </c>
    </row>
    <row r="4305" spans="1:5" x14ac:dyDescent="0.3">
      <c r="A4305" t="s">
        <v>89</v>
      </c>
      <c r="B4305" t="s">
        <v>2080</v>
      </c>
      <c r="C4305" t="s">
        <v>457</v>
      </c>
      <c r="D4305" t="s">
        <v>9971</v>
      </c>
      <c r="E4305" t="s">
        <v>75</v>
      </c>
    </row>
    <row r="4306" spans="1:5" x14ac:dyDescent="0.3">
      <c r="A4306" t="s">
        <v>3288</v>
      </c>
      <c r="B4306" t="s">
        <v>4644</v>
      </c>
      <c r="C4306" t="s">
        <v>9973</v>
      </c>
      <c r="D4306" t="s">
        <v>9972</v>
      </c>
      <c r="E4306" t="s">
        <v>75</v>
      </c>
    </row>
    <row r="4307" spans="1:5" x14ac:dyDescent="0.3">
      <c r="A4307" t="s">
        <v>130</v>
      </c>
      <c r="B4307" t="s">
        <v>4062</v>
      </c>
      <c r="C4307" t="s">
        <v>862</v>
      </c>
      <c r="D4307" t="s">
        <v>9972</v>
      </c>
      <c r="E4307" t="s">
        <v>75</v>
      </c>
    </row>
    <row r="4308" spans="1:5" x14ac:dyDescent="0.3">
      <c r="A4308" t="s">
        <v>82</v>
      </c>
      <c r="B4308" t="s">
        <v>4462</v>
      </c>
      <c r="C4308" t="s">
        <v>9974</v>
      </c>
      <c r="D4308" t="s">
        <v>9972</v>
      </c>
      <c r="E4308" t="s">
        <v>75</v>
      </c>
    </row>
    <row r="4309" spans="1:5" x14ac:dyDescent="0.3">
      <c r="A4309" t="s">
        <v>936</v>
      </c>
      <c r="B4309" t="s">
        <v>9975</v>
      </c>
      <c r="C4309" t="s">
        <v>3299</v>
      </c>
      <c r="D4309" t="s">
        <v>9972</v>
      </c>
      <c r="E4309" t="s">
        <v>75</v>
      </c>
    </row>
    <row r="4310" spans="1:5" x14ac:dyDescent="0.3">
      <c r="A4310" t="s">
        <v>9976</v>
      </c>
      <c r="B4310" t="s">
        <v>9978</v>
      </c>
      <c r="C4310" t="s">
        <v>9977</v>
      </c>
      <c r="D4310" t="s">
        <v>9972</v>
      </c>
      <c r="E4310" t="s">
        <v>75</v>
      </c>
    </row>
    <row r="4311" spans="1:5" x14ac:dyDescent="0.3">
      <c r="A4311" t="s">
        <v>116</v>
      </c>
      <c r="B4311" t="s">
        <v>3517</v>
      </c>
      <c r="C4311" t="s">
        <v>457</v>
      </c>
      <c r="D4311" t="s">
        <v>9972</v>
      </c>
      <c r="E4311" t="s">
        <v>75</v>
      </c>
    </row>
    <row r="4312" spans="1:5" x14ac:dyDescent="0.3">
      <c r="A4312" t="s">
        <v>331</v>
      </c>
      <c r="B4312" t="s">
        <v>9980</v>
      </c>
      <c r="C4312" t="s">
        <v>9979</v>
      </c>
      <c r="D4312" t="s">
        <v>9972</v>
      </c>
      <c r="E4312" t="s">
        <v>75</v>
      </c>
    </row>
    <row r="4313" spans="1:5" x14ac:dyDescent="0.3">
      <c r="A4313" t="s">
        <v>132</v>
      </c>
      <c r="B4313" t="s">
        <v>9982</v>
      </c>
      <c r="C4313" t="s">
        <v>467</v>
      </c>
      <c r="D4313" t="s">
        <v>9981</v>
      </c>
      <c r="E4313" t="s">
        <v>75</v>
      </c>
    </row>
    <row r="4314" spans="1:5" x14ac:dyDescent="0.3">
      <c r="A4314" t="s">
        <v>41</v>
      </c>
      <c r="B4314" t="s">
        <v>5506</v>
      </c>
      <c r="C4314" t="s">
        <v>461</v>
      </c>
      <c r="D4314" t="s">
        <v>9981</v>
      </c>
      <c r="E4314" t="s">
        <v>75</v>
      </c>
    </row>
    <row r="4315" spans="1:5" x14ac:dyDescent="0.3">
      <c r="A4315" t="s">
        <v>342</v>
      </c>
      <c r="B4315" t="s">
        <v>5504</v>
      </c>
      <c r="C4315" t="s">
        <v>461</v>
      </c>
      <c r="D4315" t="s">
        <v>9981</v>
      </c>
      <c r="E4315" t="s">
        <v>75</v>
      </c>
    </row>
    <row r="4316" spans="1:5" x14ac:dyDescent="0.3">
      <c r="A4316" t="s">
        <v>230</v>
      </c>
      <c r="B4316" t="s">
        <v>9984</v>
      </c>
      <c r="C4316" t="s">
        <v>467</v>
      </c>
      <c r="D4316" t="s">
        <v>9983</v>
      </c>
      <c r="E4316" t="s">
        <v>75</v>
      </c>
    </row>
    <row r="4317" spans="1:5" x14ac:dyDescent="0.3">
      <c r="A4317" t="s">
        <v>13069</v>
      </c>
      <c r="B4317" t="s">
        <v>4223</v>
      </c>
      <c r="C4317" t="s">
        <v>459</v>
      </c>
      <c r="D4317" t="s">
        <v>9985</v>
      </c>
      <c r="E4317" t="s">
        <v>75</v>
      </c>
    </row>
    <row r="4318" spans="1:5" x14ac:dyDescent="0.3">
      <c r="A4318" t="s">
        <v>898</v>
      </c>
      <c r="B4318" t="s">
        <v>9986</v>
      </c>
      <c r="C4318" t="s">
        <v>461</v>
      </c>
      <c r="D4318" t="s">
        <v>9985</v>
      </c>
      <c r="E4318" t="s">
        <v>75</v>
      </c>
    </row>
    <row r="4319" spans="1:5" x14ac:dyDescent="0.3">
      <c r="A4319" t="s">
        <v>315</v>
      </c>
      <c r="B4319" t="s">
        <v>9988</v>
      </c>
      <c r="C4319" t="s">
        <v>460</v>
      </c>
      <c r="D4319" t="s">
        <v>9987</v>
      </c>
      <c r="E4319" t="s">
        <v>75</v>
      </c>
    </row>
    <row r="4320" spans="1:5" x14ac:dyDescent="0.3">
      <c r="A4320" t="s">
        <v>298</v>
      </c>
      <c r="B4320" t="s">
        <v>4006</v>
      </c>
      <c r="C4320" t="s">
        <v>461</v>
      </c>
      <c r="D4320" t="s">
        <v>9301</v>
      </c>
      <c r="E4320" t="s">
        <v>75</v>
      </c>
    </row>
    <row r="4321" spans="1:5" x14ac:dyDescent="0.3">
      <c r="A4321" t="s">
        <v>13070</v>
      </c>
      <c r="B4321" t="s">
        <v>9991</v>
      </c>
      <c r="C4321" t="s">
        <v>461</v>
      </c>
      <c r="D4321" t="s">
        <v>13071</v>
      </c>
      <c r="E4321" t="s">
        <v>75</v>
      </c>
    </row>
    <row r="4322" spans="1:5" x14ac:dyDescent="0.3">
      <c r="A4322" t="s">
        <v>184</v>
      </c>
      <c r="B4322" t="s">
        <v>9070</v>
      </c>
      <c r="C4322" t="s">
        <v>9993</v>
      </c>
      <c r="D4322" t="s">
        <v>9992</v>
      </c>
      <c r="E4322" t="s">
        <v>75</v>
      </c>
    </row>
    <row r="4323" spans="1:5" x14ac:dyDescent="0.3">
      <c r="A4323" t="s">
        <v>411</v>
      </c>
      <c r="B4323" t="s">
        <v>6558</v>
      </c>
      <c r="C4323" t="s">
        <v>460</v>
      </c>
      <c r="D4323" t="s">
        <v>4589</v>
      </c>
      <c r="E4323" t="s">
        <v>781</v>
      </c>
    </row>
    <row r="4324" spans="1:5" x14ac:dyDescent="0.3">
      <c r="A4324" t="s">
        <v>2489</v>
      </c>
      <c r="B4324" t="s">
        <v>9996</v>
      </c>
      <c r="C4324" t="s">
        <v>9995</v>
      </c>
      <c r="D4324" t="s">
        <v>1306</v>
      </c>
      <c r="E4324" t="s">
        <v>774</v>
      </c>
    </row>
    <row r="4325" spans="1:5" x14ac:dyDescent="0.3">
      <c r="A4325" t="s">
        <v>3224</v>
      </c>
      <c r="B4325" t="s">
        <v>9998</v>
      </c>
      <c r="C4325" t="s">
        <v>9997</v>
      </c>
      <c r="D4325" t="s">
        <v>1306</v>
      </c>
      <c r="E4325" t="s">
        <v>774</v>
      </c>
    </row>
    <row r="4326" spans="1:5" x14ac:dyDescent="0.3">
      <c r="A4326" t="s">
        <v>82</v>
      </c>
      <c r="B4326" t="s">
        <v>5519</v>
      </c>
      <c r="C4326" t="s">
        <v>9999</v>
      </c>
      <c r="D4326" t="s">
        <v>4589</v>
      </c>
      <c r="E4326" t="s">
        <v>781</v>
      </c>
    </row>
    <row r="4327" spans="1:5" x14ac:dyDescent="0.3">
      <c r="A4327" t="s">
        <v>89</v>
      </c>
      <c r="B4327" t="s">
        <v>1527</v>
      </c>
      <c r="C4327" t="s">
        <v>459</v>
      </c>
      <c r="D4327" t="s">
        <v>10000</v>
      </c>
      <c r="E4327" t="s">
        <v>75</v>
      </c>
    </row>
    <row r="4328" spans="1:5" x14ac:dyDescent="0.3">
      <c r="A4328" t="s">
        <v>399</v>
      </c>
      <c r="B4328" t="s">
        <v>10002</v>
      </c>
      <c r="C4328" t="s">
        <v>10001</v>
      </c>
      <c r="D4328" t="s">
        <v>806</v>
      </c>
      <c r="E4328" t="s">
        <v>1</v>
      </c>
    </row>
    <row r="4329" spans="1:5" x14ac:dyDescent="0.3">
      <c r="A4329" t="s">
        <v>44</v>
      </c>
      <c r="B4329" t="s">
        <v>263</v>
      </c>
      <c r="C4329" t="s">
        <v>460</v>
      </c>
      <c r="D4329" t="s">
        <v>10003</v>
      </c>
      <c r="E4329" t="s">
        <v>75</v>
      </c>
    </row>
    <row r="4330" spans="1:5" x14ac:dyDescent="0.3">
      <c r="A4330" t="s">
        <v>10004</v>
      </c>
      <c r="B4330" t="s">
        <v>2154</v>
      </c>
      <c r="C4330" t="s">
        <v>10005</v>
      </c>
      <c r="D4330" t="s">
        <v>10003</v>
      </c>
      <c r="E4330" t="s">
        <v>75</v>
      </c>
    </row>
    <row r="4331" spans="1:5" x14ac:dyDescent="0.3">
      <c r="A4331" t="s">
        <v>181</v>
      </c>
      <c r="B4331" t="s">
        <v>10008</v>
      </c>
      <c r="C4331" t="s">
        <v>10007</v>
      </c>
      <c r="D4331" t="s">
        <v>10006</v>
      </c>
      <c r="E4331" t="s">
        <v>75</v>
      </c>
    </row>
    <row r="4332" spans="1:5" x14ac:dyDescent="0.3">
      <c r="A4332" t="s">
        <v>181</v>
      </c>
      <c r="B4332" t="s">
        <v>10008</v>
      </c>
      <c r="C4332" t="s">
        <v>467</v>
      </c>
      <c r="D4332" t="s">
        <v>10009</v>
      </c>
      <c r="E4332" t="s">
        <v>774</v>
      </c>
    </row>
    <row r="4333" spans="1:5" x14ac:dyDescent="0.3">
      <c r="A4333" t="s">
        <v>331</v>
      </c>
      <c r="B4333" t="s">
        <v>2648</v>
      </c>
      <c r="C4333" t="s">
        <v>10010</v>
      </c>
      <c r="D4333" t="s">
        <v>10009</v>
      </c>
      <c r="E4333" t="s">
        <v>774</v>
      </c>
    </row>
    <row r="4334" spans="1:5" x14ac:dyDescent="0.3">
      <c r="A4334" t="s">
        <v>2187</v>
      </c>
      <c r="B4334" t="s">
        <v>361</v>
      </c>
      <c r="C4334" t="s">
        <v>461</v>
      </c>
      <c r="D4334" t="s">
        <v>10009</v>
      </c>
      <c r="E4334" t="s">
        <v>774</v>
      </c>
    </row>
    <row r="4335" spans="1:5" x14ac:dyDescent="0.3">
      <c r="A4335" t="s">
        <v>157</v>
      </c>
      <c r="B4335" t="s">
        <v>10012</v>
      </c>
      <c r="C4335" t="s">
        <v>460</v>
      </c>
      <c r="D4335" t="s">
        <v>10011</v>
      </c>
      <c r="E4335" t="s">
        <v>75</v>
      </c>
    </row>
    <row r="4336" spans="1:5" x14ac:dyDescent="0.3">
      <c r="A4336" t="s">
        <v>179</v>
      </c>
      <c r="B4336" t="s">
        <v>10014</v>
      </c>
      <c r="C4336" t="s">
        <v>467</v>
      </c>
      <c r="D4336" t="s">
        <v>10013</v>
      </c>
      <c r="E4336" t="s">
        <v>75</v>
      </c>
    </row>
    <row r="4337" spans="1:5" x14ac:dyDescent="0.3">
      <c r="A4337" t="s">
        <v>38</v>
      </c>
      <c r="B4337" t="s">
        <v>2421</v>
      </c>
      <c r="C4337" t="s">
        <v>3555</v>
      </c>
      <c r="D4337" t="s">
        <v>10016</v>
      </c>
      <c r="E4337" t="s">
        <v>75</v>
      </c>
    </row>
    <row r="4338" spans="1:5" x14ac:dyDescent="0.3">
      <c r="A4338" t="s">
        <v>245</v>
      </c>
      <c r="B4338" t="s">
        <v>10018</v>
      </c>
      <c r="C4338" t="s">
        <v>862</v>
      </c>
      <c r="D4338" t="s">
        <v>10017</v>
      </c>
      <c r="E4338" t="s">
        <v>75</v>
      </c>
    </row>
    <row r="4339" spans="1:5" x14ac:dyDescent="0.3">
      <c r="A4339" t="s">
        <v>131</v>
      </c>
      <c r="B4339" t="s">
        <v>1108</v>
      </c>
      <c r="C4339" t="s">
        <v>467</v>
      </c>
      <c r="D4339" t="s">
        <v>10019</v>
      </c>
      <c r="E4339" t="s">
        <v>75</v>
      </c>
    </row>
    <row r="4340" spans="1:5" x14ac:dyDescent="0.3">
      <c r="A4340" t="s">
        <v>150</v>
      </c>
      <c r="B4340" t="s">
        <v>443</v>
      </c>
      <c r="C4340" t="s">
        <v>862</v>
      </c>
      <c r="D4340" t="s">
        <v>10020</v>
      </c>
      <c r="E4340" t="s">
        <v>75</v>
      </c>
    </row>
    <row r="4341" spans="1:5" x14ac:dyDescent="0.3">
      <c r="A4341" t="s">
        <v>77</v>
      </c>
      <c r="B4341" t="s">
        <v>10022</v>
      </c>
      <c r="C4341" t="s">
        <v>461</v>
      </c>
      <c r="D4341" t="s">
        <v>10021</v>
      </c>
      <c r="E4341" t="s">
        <v>75</v>
      </c>
    </row>
    <row r="4342" spans="1:5" x14ac:dyDescent="0.3">
      <c r="A4342" t="s">
        <v>150</v>
      </c>
      <c r="B4342" t="s">
        <v>10024</v>
      </c>
      <c r="C4342" t="s">
        <v>467</v>
      </c>
      <c r="D4342" t="s">
        <v>10023</v>
      </c>
      <c r="E4342" t="s">
        <v>75</v>
      </c>
    </row>
    <row r="4343" spans="1:5" x14ac:dyDescent="0.3">
      <c r="A4343" t="s">
        <v>10026</v>
      </c>
      <c r="B4343" t="s">
        <v>10027</v>
      </c>
      <c r="C4343" t="s">
        <v>467</v>
      </c>
      <c r="D4343" t="s">
        <v>10025</v>
      </c>
      <c r="E4343" t="s">
        <v>75</v>
      </c>
    </row>
    <row r="4344" spans="1:5" x14ac:dyDescent="0.3">
      <c r="A4344" t="s">
        <v>41</v>
      </c>
      <c r="B4344" t="s">
        <v>1674</v>
      </c>
      <c r="C4344" t="s">
        <v>460</v>
      </c>
      <c r="D4344" t="s">
        <v>10028</v>
      </c>
      <c r="E4344" t="s">
        <v>75</v>
      </c>
    </row>
    <row r="4345" spans="1:5" x14ac:dyDescent="0.3">
      <c r="A4345" t="s">
        <v>3470</v>
      </c>
      <c r="B4345" t="s">
        <v>1343</v>
      </c>
      <c r="C4345" t="s">
        <v>457</v>
      </c>
      <c r="D4345" t="s">
        <v>10029</v>
      </c>
      <c r="E4345" t="s">
        <v>75</v>
      </c>
    </row>
    <row r="4346" spans="1:5" x14ac:dyDescent="0.3">
      <c r="A4346" t="s">
        <v>181</v>
      </c>
      <c r="B4346" t="s">
        <v>210</v>
      </c>
      <c r="C4346" t="s">
        <v>461</v>
      </c>
      <c r="D4346" t="s">
        <v>10030</v>
      </c>
      <c r="E4346" t="s">
        <v>75</v>
      </c>
    </row>
    <row r="4347" spans="1:5" x14ac:dyDescent="0.3">
      <c r="A4347" t="s">
        <v>146</v>
      </c>
      <c r="B4347" t="s">
        <v>10032</v>
      </c>
      <c r="C4347" t="s">
        <v>461</v>
      </c>
      <c r="D4347" t="s">
        <v>10031</v>
      </c>
      <c r="E4347" t="s">
        <v>75</v>
      </c>
    </row>
    <row r="4348" spans="1:5" x14ac:dyDescent="0.3">
      <c r="A4348" t="s">
        <v>10034</v>
      </c>
      <c r="B4348" t="s">
        <v>5597</v>
      </c>
      <c r="C4348" t="s">
        <v>10035</v>
      </c>
      <c r="D4348" t="s">
        <v>10033</v>
      </c>
      <c r="E4348" t="s">
        <v>75</v>
      </c>
    </row>
    <row r="4349" spans="1:5" x14ac:dyDescent="0.3">
      <c r="A4349" t="s">
        <v>41</v>
      </c>
      <c r="B4349" t="s">
        <v>8951</v>
      </c>
      <c r="C4349" t="s">
        <v>459</v>
      </c>
      <c r="D4349" t="s">
        <v>10036</v>
      </c>
      <c r="E4349" t="s">
        <v>75</v>
      </c>
    </row>
    <row r="4350" spans="1:5" x14ac:dyDescent="0.3">
      <c r="A4350" t="s">
        <v>22</v>
      </c>
      <c r="B4350" t="s">
        <v>10039</v>
      </c>
      <c r="C4350" t="s">
        <v>518</v>
      </c>
      <c r="D4350" t="s">
        <v>10038</v>
      </c>
      <c r="E4350" t="s">
        <v>75</v>
      </c>
    </row>
    <row r="4351" spans="1:5" x14ac:dyDescent="0.3">
      <c r="A4351" t="s">
        <v>85</v>
      </c>
      <c r="B4351" t="s">
        <v>3134</v>
      </c>
      <c r="C4351" t="s">
        <v>461</v>
      </c>
      <c r="D4351" t="s">
        <v>10041</v>
      </c>
      <c r="E4351" t="s">
        <v>774</v>
      </c>
    </row>
    <row r="4352" spans="1:5" x14ac:dyDescent="0.3">
      <c r="A4352" t="s">
        <v>56</v>
      </c>
      <c r="B4352" t="s">
        <v>8155</v>
      </c>
      <c r="C4352" t="s">
        <v>460</v>
      </c>
      <c r="D4352" t="s">
        <v>10042</v>
      </c>
      <c r="E4352" t="s">
        <v>75</v>
      </c>
    </row>
    <row r="4353" spans="1:5" x14ac:dyDescent="0.3">
      <c r="A4353" t="s">
        <v>826</v>
      </c>
      <c r="B4353" t="s">
        <v>10044</v>
      </c>
      <c r="C4353" t="s">
        <v>461</v>
      </c>
      <c r="D4353" t="s">
        <v>10043</v>
      </c>
      <c r="E4353" t="s">
        <v>75</v>
      </c>
    </row>
    <row r="4354" spans="1:5" x14ac:dyDescent="0.3">
      <c r="A4354" t="s">
        <v>3066</v>
      </c>
      <c r="B4354" t="s">
        <v>10046</v>
      </c>
      <c r="C4354" t="s">
        <v>459</v>
      </c>
      <c r="D4354" t="s">
        <v>10045</v>
      </c>
      <c r="E4354" t="s">
        <v>75</v>
      </c>
    </row>
    <row r="4355" spans="1:5" x14ac:dyDescent="0.3">
      <c r="A4355" t="s">
        <v>79</v>
      </c>
      <c r="B4355" t="s">
        <v>776</v>
      </c>
      <c r="C4355" t="s">
        <v>10048</v>
      </c>
      <c r="D4355" t="s">
        <v>10047</v>
      </c>
      <c r="E4355" t="s">
        <v>75</v>
      </c>
    </row>
    <row r="4356" spans="1:5" x14ac:dyDescent="0.3">
      <c r="A4356" t="s">
        <v>250</v>
      </c>
      <c r="B4356" t="s">
        <v>1370</v>
      </c>
      <c r="C4356" t="s">
        <v>467</v>
      </c>
      <c r="D4356" t="s">
        <v>10049</v>
      </c>
      <c r="E4356" t="s">
        <v>75</v>
      </c>
    </row>
    <row r="4357" spans="1:5" x14ac:dyDescent="0.3">
      <c r="A4357" t="s">
        <v>1314</v>
      </c>
      <c r="B4357" t="s">
        <v>10050</v>
      </c>
      <c r="C4357" t="s">
        <v>862</v>
      </c>
      <c r="D4357" t="s">
        <v>6319</v>
      </c>
      <c r="E4357" t="s">
        <v>897</v>
      </c>
    </row>
    <row r="4358" spans="1:5" x14ac:dyDescent="0.3">
      <c r="A4358" t="s">
        <v>4009</v>
      </c>
      <c r="B4358" t="s">
        <v>882</v>
      </c>
      <c r="C4358" t="s">
        <v>455</v>
      </c>
      <c r="D4358" t="s">
        <v>10051</v>
      </c>
      <c r="E4358" t="s">
        <v>75</v>
      </c>
    </row>
    <row r="4359" spans="1:5" x14ac:dyDescent="0.3">
      <c r="A4359" t="s">
        <v>1338</v>
      </c>
      <c r="B4359" t="s">
        <v>10053</v>
      </c>
      <c r="C4359" t="s">
        <v>459</v>
      </c>
      <c r="D4359" t="s">
        <v>10052</v>
      </c>
      <c r="E4359" t="s">
        <v>75</v>
      </c>
    </row>
    <row r="4360" spans="1:5" x14ac:dyDescent="0.3">
      <c r="A4360" t="s">
        <v>315</v>
      </c>
      <c r="B4360" t="s">
        <v>10055</v>
      </c>
      <c r="C4360" t="s">
        <v>10054</v>
      </c>
      <c r="D4360" t="s">
        <v>10052</v>
      </c>
      <c r="E4360" t="s">
        <v>75</v>
      </c>
    </row>
    <row r="4361" spans="1:5" x14ac:dyDescent="0.3">
      <c r="A4361" t="s">
        <v>5919</v>
      </c>
      <c r="B4361" t="s">
        <v>10058</v>
      </c>
      <c r="C4361" t="s">
        <v>5191</v>
      </c>
      <c r="D4361" t="s">
        <v>10057</v>
      </c>
      <c r="E4361" t="s">
        <v>75</v>
      </c>
    </row>
    <row r="4362" spans="1:5" x14ac:dyDescent="0.3">
      <c r="A4362" t="s">
        <v>1656</v>
      </c>
      <c r="B4362" t="s">
        <v>10059</v>
      </c>
      <c r="C4362" t="s">
        <v>467</v>
      </c>
    </row>
    <row r="4363" spans="1:5" x14ac:dyDescent="0.3">
      <c r="A4363" t="s">
        <v>50</v>
      </c>
      <c r="B4363" t="s">
        <v>4713</v>
      </c>
      <c r="C4363" t="s">
        <v>461</v>
      </c>
      <c r="D4363" t="s">
        <v>10060</v>
      </c>
      <c r="E4363" t="s">
        <v>75</v>
      </c>
    </row>
    <row r="4364" spans="1:5" x14ac:dyDescent="0.3">
      <c r="A4364" t="s">
        <v>1495</v>
      </c>
      <c r="B4364" t="s">
        <v>272</v>
      </c>
      <c r="C4364" t="s">
        <v>518</v>
      </c>
      <c r="D4364" t="s">
        <v>1509</v>
      </c>
      <c r="E4364" t="s">
        <v>781</v>
      </c>
    </row>
    <row r="4365" spans="1:5" x14ac:dyDescent="0.3">
      <c r="A4365" t="s">
        <v>860</v>
      </c>
      <c r="B4365" t="s">
        <v>7858</v>
      </c>
      <c r="C4365" t="s">
        <v>461</v>
      </c>
      <c r="D4365" t="s">
        <v>10061</v>
      </c>
      <c r="E4365" t="s">
        <v>75</v>
      </c>
    </row>
    <row r="4366" spans="1:5" x14ac:dyDescent="0.3">
      <c r="A4366" t="s">
        <v>5555</v>
      </c>
      <c r="B4366" t="s">
        <v>4446</v>
      </c>
      <c r="C4366" t="s">
        <v>10063</v>
      </c>
      <c r="D4366" t="s">
        <v>10062</v>
      </c>
      <c r="E4366" t="s">
        <v>75</v>
      </c>
    </row>
    <row r="4367" spans="1:5" x14ac:dyDescent="0.3">
      <c r="A4367" t="s">
        <v>190</v>
      </c>
      <c r="B4367" t="s">
        <v>10065</v>
      </c>
      <c r="C4367" t="s">
        <v>4449</v>
      </c>
      <c r="D4367" t="s">
        <v>10064</v>
      </c>
      <c r="E4367" t="s">
        <v>75</v>
      </c>
    </row>
    <row r="4368" spans="1:5" x14ac:dyDescent="0.3">
      <c r="A4368" t="s">
        <v>1397</v>
      </c>
      <c r="B4368" t="s">
        <v>10066</v>
      </c>
      <c r="C4368" t="s">
        <v>459</v>
      </c>
      <c r="D4368" t="s">
        <v>5502</v>
      </c>
      <c r="E4368" t="s">
        <v>741</v>
      </c>
    </row>
    <row r="4369" spans="1:5" x14ac:dyDescent="0.3">
      <c r="A4369" t="s">
        <v>177</v>
      </c>
      <c r="B4369" t="s">
        <v>124</v>
      </c>
      <c r="C4369" t="s">
        <v>461</v>
      </c>
      <c r="D4369" t="s">
        <v>10067</v>
      </c>
      <c r="E4369" t="s">
        <v>75</v>
      </c>
    </row>
    <row r="4370" spans="1:5" x14ac:dyDescent="0.3">
      <c r="A4370" t="s">
        <v>1330</v>
      </c>
      <c r="B4370" t="s">
        <v>9369</v>
      </c>
      <c r="C4370" t="s">
        <v>460</v>
      </c>
      <c r="D4370" t="s">
        <v>10068</v>
      </c>
      <c r="E4370" t="s">
        <v>75</v>
      </c>
    </row>
    <row r="4371" spans="1:5" x14ac:dyDescent="0.3">
      <c r="A4371" t="s">
        <v>10070</v>
      </c>
      <c r="B4371" t="s">
        <v>10071</v>
      </c>
      <c r="C4371" t="s">
        <v>467</v>
      </c>
      <c r="D4371" t="s">
        <v>10069</v>
      </c>
      <c r="E4371" t="s">
        <v>75</v>
      </c>
    </row>
    <row r="4372" spans="1:5" x14ac:dyDescent="0.3">
      <c r="A4372" t="s">
        <v>10073</v>
      </c>
      <c r="B4372" t="s">
        <v>1740</v>
      </c>
      <c r="C4372" t="s">
        <v>467</v>
      </c>
      <c r="D4372" t="s">
        <v>10072</v>
      </c>
      <c r="E4372" t="s">
        <v>75</v>
      </c>
    </row>
    <row r="4373" spans="1:5" x14ac:dyDescent="0.3">
      <c r="A4373" t="s">
        <v>10075</v>
      </c>
      <c r="B4373" t="s">
        <v>817</v>
      </c>
      <c r="C4373" t="s">
        <v>461</v>
      </c>
      <c r="D4373" t="s">
        <v>10074</v>
      </c>
      <c r="E4373" t="s">
        <v>75</v>
      </c>
    </row>
    <row r="4374" spans="1:5" x14ac:dyDescent="0.3">
      <c r="A4374" t="s">
        <v>2199</v>
      </c>
      <c r="B4374" t="s">
        <v>1078</v>
      </c>
      <c r="C4374" t="s">
        <v>459</v>
      </c>
      <c r="D4374" t="s">
        <v>10076</v>
      </c>
      <c r="E4374" t="s">
        <v>75</v>
      </c>
    </row>
    <row r="4375" spans="1:5" x14ac:dyDescent="0.3">
      <c r="A4375" t="s">
        <v>182</v>
      </c>
      <c r="B4375" t="s">
        <v>10078</v>
      </c>
      <c r="C4375" t="s">
        <v>457</v>
      </c>
      <c r="D4375" t="s">
        <v>10077</v>
      </c>
      <c r="E4375" t="s">
        <v>75</v>
      </c>
    </row>
    <row r="4376" spans="1:5" x14ac:dyDescent="0.3">
      <c r="A4376" t="s">
        <v>931</v>
      </c>
      <c r="B4376" t="s">
        <v>2498</v>
      </c>
      <c r="C4376" t="s">
        <v>10079</v>
      </c>
      <c r="D4376" t="s">
        <v>10077</v>
      </c>
      <c r="E4376" t="s">
        <v>75</v>
      </c>
    </row>
    <row r="4377" spans="1:5" x14ac:dyDescent="0.3">
      <c r="A4377" t="s">
        <v>102</v>
      </c>
      <c r="B4377" t="s">
        <v>10081</v>
      </c>
      <c r="C4377" t="s">
        <v>10080</v>
      </c>
      <c r="D4377" t="s">
        <v>10077</v>
      </c>
      <c r="E4377" t="s">
        <v>75</v>
      </c>
    </row>
    <row r="4378" spans="1:5" x14ac:dyDescent="0.3">
      <c r="A4378" t="s">
        <v>5282</v>
      </c>
      <c r="B4378" t="s">
        <v>10082</v>
      </c>
      <c r="C4378" t="s">
        <v>455</v>
      </c>
      <c r="D4378" t="s">
        <v>10077</v>
      </c>
      <c r="E4378" t="s">
        <v>75</v>
      </c>
    </row>
    <row r="4379" spans="1:5" x14ac:dyDescent="0.3">
      <c r="A4379" t="s">
        <v>4498</v>
      </c>
      <c r="B4379" t="s">
        <v>10084</v>
      </c>
      <c r="C4379" t="s">
        <v>718</v>
      </c>
      <c r="D4379" t="s">
        <v>10083</v>
      </c>
      <c r="E4379" t="s">
        <v>774</v>
      </c>
    </row>
    <row r="4380" spans="1:5" x14ac:dyDescent="0.3">
      <c r="A4380" t="s">
        <v>168</v>
      </c>
      <c r="B4380" t="s">
        <v>10087</v>
      </c>
      <c r="C4380" t="s">
        <v>10086</v>
      </c>
      <c r="D4380" t="s">
        <v>10085</v>
      </c>
      <c r="E4380" t="s">
        <v>75</v>
      </c>
    </row>
    <row r="4381" spans="1:5" x14ac:dyDescent="0.3">
      <c r="A4381" t="s">
        <v>1988</v>
      </c>
      <c r="B4381" t="s">
        <v>3810</v>
      </c>
      <c r="C4381" t="s">
        <v>5766</v>
      </c>
      <c r="D4381" t="s">
        <v>10088</v>
      </c>
      <c r="E4381" t="s">
        <v>75</v>
      </c>
    </row>
    <row r="4382" spans="1:5" x14ac:dyDescent="0.3">
      <c r="A4382" t="s">
        <v>41</v>
      </c>
      <c r="B4382" t="s">
        <v>10090</v>
      </c>
      <c r="C4382" t="s">
        <v>461</v>
      </c>
      <c r="D4382" t="s">
        <v>10089</v>
      </c>
      <c r="E4382" t="s">
        <v>774</v>
      </c>
    </row>
    <row r="4383" spans="1:5" x14ac:dyDescent="0.3">
      <c r="A4383" t="s">
        <v>113</v>
      </c>
      <c r="B4383" t="s">
        <v>10092</v>
      </c>
      <c r="C4383" t="s">
        <v>457</v>
      </c>
      <c r="D4383" t="s">
        <v>10091</v>
      </c>
      <c r="E4383" t="s">
        <v>75</v>
      </c>
    </row>
    <row r="4384" spans="1:5" x14ac:dyDescent="0.3">
      <c r="A4384" t="s">
        <v>50</v>
      </c>
      <c r="B4384" t="s">
        <v>10093</v>
      </c>
      <c r="C4384" t="s">
        <v>467</v>
      </c>
      <c r="D4384" t="s">
        <v>10091</v>
      </c>
      <c r="E4384" t="s">
        <v>75</v>
      </c>
    </row>
    <row r="4385" spans="1:5" x14ac:dyDescent="0.3">
      <c r="A4385" t="s">
        <v>131</v>
      </c>
      <c r="B4385" t="s">
        <v>3865</v>
      </c>
      <c r="C4385" t="s">
        <v>698</v>
      </c>
      <c r="D4385" t="s">
        <v>10094</v>
      </c>
      <c r="E4385" t="s">
        <v>75</v>
      </c>
    </row>
    <row r="4386" spans="1:5" x14ac:dyDescent="0.3">
      <c r="A4386" t="s">
        <v>100</v>
      </c>
      <c r="B4386" t="s">
        <v>1045</v>
      </c>
      <c r="C4386" t="s">
        <v>467</v>
      </c>
      <c r="D4386" t="s">
        <v>10095</v>
      </c>
      <c r="E4386" t="s">
        <v>75</v>
      </c>
    </row>
    <row r="4387" spans="1:5" x14ac:dyDescent="0.3">
      <c r="A4387" t="s">
        <v>177</v>
      </c>
      <c r="B4387" t="s">
        <v>4296</v>
      </c>
      <c r="C4387" t="s">
        <v>698</v>
      </c>
      <c r="D4387" t="s">
        <v>10096</v>
      </c>
      <c r="E4387" t="s">
        <v>75</v>
      </c>
    </row>
    <row r="4388" spans="1:5" x14ac:dyDescent="0.3">
      <c r="A4388" t="s">
        <v>150</v>
      </c>
      <c r="B4388" t="s">
        <v>10099</v>
      </c>
      <c r="C4388" t="s">
        <v>459</v>
      </c>
      <c r="D4388" t="s">
        <v>10098</v>
      </c>
      <c r="E4388" t="s">
        <v>75</v>
      </c>
    </row>
    <row r="4389" spans="1:5" x14ac:dyDescent="0.3">
      <c r="A4389" t="s">
        <v>177</v>
      </c>
      <c r="B4389" t="s">
        <v>10101</v>
      </c>
      <c r="C4389" t="s">
        <v>6866</v>
      </c>
      <c r="D4389" t="s">
        <v>10100</v>
      </c>
      <c r="E4389" t="s">
        <v>75</v>
      </c>
    </row>
    <row r="4390" spans="1:5" x14ac:dyDescent="0.3">
      <c r="A4390" t="s">
        <v>4111</v>
      </c>
      <c r="B4390" t="s">
        <v>1430</v>
      </c>
      <c r="C4390" t="s">
        <v>467</v>
      </c>
      <c r="D4390" t="s">
        <v>10103</v>
      </c>
      <c r="E4390" t="s">
        <v>75</v>
      </c>
    </row>
    <row r="4391" spans="1:5" x14ac:dyDescent="0.3">
      <c r="A4391" t="s">
        <v>331</v>
      </c>
      <c r="B4391" t="s">
        <v>10105</v>
      </c>
      <c r="C4391" t="s">
        <v>459</v>
      </c>
      <c r="D4391" t="s">
        <v>10104</v>
      </c>
      <c r="E4391" t="s">
        <v>75</v>
      </c>
    </row>
    <row r="4392" spans="1:5" x14ac:dyDescent="0.3">
      <c r="A4392" t="s">
        <v>808</v>
      </c>
      <c r="B4392" t="s">
        <v>10107</v>
      </c>
      <c r="C4392" t="s">
        <v>10106</v>
      </c>
    </row>
    <row r="4393" spans="1:5" x14ac:dyDescent="0.3">
      <c r="A4393" t="s">
        <v>27</v>
      </c>
      <c r="B4393" t="s">
        <v>3748</v>
      </c>
      <c r="C4393" t="s">
        <v>461</v>
      </c>
      <c r="D4393" t="s">
        <v>10108</v>
      </c>
      <c r="E4393" t="s">
        <v>75</v>
      </c>
    </row>
    <row r="4394" spans="1:5" x14ac:dyDescent="0.3">
      <c r="A4394" t="s">
        <v>160</v>
      </c>
      <c r="B4394" t="s">
        <v>3748</v>
      </c>
      <c r="C4394" t="s">
        <v>459</v>
      </c>
      <c r="D4394" t="s">
        <v>10108</v>
      </c>
      <c r="E4394" t="s">
        <v>75</v>
      </c>
    </row>
    <row r="4395" spans="1:5" x14ac:dyDescent="0.3">
      <c r="A4395" t="s">
        <v>10110</v>
      </c>
      <c r="B4395" t="s">
        <v>10111</v>
      </c>
      <c r="C4395" t="s">
        <v>467</v>
      </c>
      <c r="D4395" t="s">
        <v>10109</v>
      </c>
      <c r="E4395" t="s">
        <v>75</v>
      </c>
    </row>
    <row r="4396" spans="1:5" x14ac:dyDescent="0.3">
      <c r="A4396" t="s">
        <v>864</v>
      </c>
      <c r="B4396" t="s">
        <v>10113</v>
      </c>
      <c r="C4396" t="s">
        <v>467</v>
      </c>
      <c r="D4396" t="s">
        <v>10112</v>
      </c>
      <c r="E4396" t="s">
        <v>75</v>
      </c>
    </row>
    <row r="4397" spans="1:5" x14ac:dyDescent="0.3">
      <c r="A4397" t="s">
        <v>89</v>
      </c>
      <c r="B4397" t="s">
        <v>10114</v>
      </c>
      <c r="C4397" t="s">
        <v>461</v>
      </c>
      <c r="D4397" t="s">
        <v>10112</v>
      </c>
      <c r="E4397" t="s">
        <v>75</v>
      </c>
    </row>
    <row r="4398" spans="1:5" x14ac:dyDescent="0.3">
      <c r="A4398" t="s">
        <v>5401</v>
      </c>
      <c r="B4398" t="s">
        <v>823</v>
      </c>
      <c r="C4398" t="s">
        <v>455</v>
      </c>
      <c r="D4398" t="s">
        <v>10116</v>
      </c>
      <c r="E4398" t="s">
        <v>774</v>
      </c>
    </row>
    <row r="4399" spans="1:5" x14ac:dyDescent="0.3">
      <c r="A4399" t="s">
        <v>795</v>
      </c>
      <c r="B4399" t="s">
        <v>10118</v>
      </c>
      <c r="C4399" t="s">
        <v>459</v>
      </c>
      <c r="D4399" t="s">
        <v>10117</v>
      </c>
      <c r="E4399" t="s">
        <v>75</v>
      </c>
    </row>
    <row r="4400" spans="1:5" x14ac:dyDescent="0.3">
      <c r="A4400" t="s">
        <v>132</v>
      </c>
      <c r="B4400" t="s">
        <v>3440</v>
      </c>
      <c r="C4400" t="s">
        <v>467</v>
      </c>
      <c r="D4400" t="s">
        <v>10119</v>
      </c>
      <c r="E4400" t="s">
        <v>75</v>
      </c>
    </row>
    <row r="4401" spans="1:5" x14ac:dyDescent="0.3">
      <c r="A4401" t="s">
        <v>182</v>
      </c>
      <c r="B4401" t="s">
        <v>10121</v>
      </c>
      <c r="C4401" t="s">
        <v>460</v>
      </c>
      <c r="D4401" t="s">
        <v>10120</v>
      </c>
      <c r="E4401" t="s">
        <v>75</v>
      </c>
    </row>
    <row r="4402" spans="1:5" x14ac:dyDescent="0.3">
      <c r="A4402" t="s">
        <v>38</v>
      </c>
      <c r="B4402" t="s">
        <v>3393</v>
      </c>
      <c r="C4402" t="s">
        <v>8807</v>
      </c>
      <c r="D4402" t="s">
        <v>10120</v>
      </c>
      <c r="E4402" t="s">
        <v>75</v>
      </c>
    </row>
    <row r="4403" spans="1:5" x14ac:dyDescent="0.3">
      <c r="A4403" t="s">
        <v>41</v>
      </c>
      <c r="B4403" t="s">
        <v>199</v>
      </c>
      <c r="C4403" t="s">
        <v>460</v>
      </c>
      <c r="D4403" t="s">
        <v>10122</v>
      </c>
      <c r="E4403" t="s">
        <v>741</v>
      </c>
    </row>
    <row r="4404" spans="1:5" x14ac:dyDescent="0.3">
      <c r="A4404" t="s">
        <v>411</v>
      </c>
      <c r="B4404" t="s">
        <v>10124</v>
      </c>
      <c r="C4404" t="s">
        <v>467</v>
      </c>
      <c r="D4404" t="s">
        <v>10123</v>
      </c>
      <c r="E4404" t="s">
        <v>75</v>
      </c>
    </row>
    <row r="4405" spans="1:5" x14ac:dyDescent="0.3">
      <c r="A4405" t="s">
        <v>3415</v>
      </c>
      <c r="B4405" t="s">
        <v>5113</v>
      </c>
      <c r="C4405" t="s">
        <v>461</v>
      </c>
      <c r="D4405" t="s">
        <v>10125</v>
      </c>
      <c r="E4405" t="s">
        <v>75</v>
      </c>
    </row>
    <row r="4406" spans="1:5" x14ac:dyDescent="0.3">
      <c r="A4406" t="s">
        <v>1071</v>
      </c>
      <c r="B4406" t="s">
        <v>523</v>
      </c>
      <c r="C4406" t="s">
        <v>459</v>
      </c>
      <c r="D4406" t="s">
        <v>10126</v>
      </c>
      <c r="E4406" t="s">
        <v>75</v>
      </c>
    </row>
    <row r="4407" spans="1:5" x14ac:dyDescent="0.3">
      <c r="A4407" t="s">
        <v>129</v>
      </c>
      <c r="B4407" t="s">
        <v>319</v>
      </c>
      <c r="C4407" t="s">
        <v>467</v>
      </c>
      <c r="D4407" t="s">
        <v>10126</v>
      </c>
      <c r="E4407" t="s">
        <v>75</v>
      </c>
    </row>
    <row r="4408" spans="1:5" x14ac:dyDescent="0.3">
      <c r="A4408" t="s">
        <v>6705</v>
      </c>
      <c r="B4408" t="s">
        <v>10128</v>
      </c>
      <c r="C4408" t="s">
        <v>3109</v>
      </c>
      <c r="D4408" t="s">
        <v>10127</v>
      </c>
      <c r="E4408" t="s">
        <v>75</v>
      </c>
    </row>
    <row r="4409" spans="1:5" x14ac:dyDescent="0.3">
      <c r="A4409" t="s">
        <v>10129</v>
      </c>
      <c r="B4409" t="s">
        <v>10130</v>
      </c>
      <c r="C4409" t="s">
        <v>461</v>
      </c>
    </row>
    <row r="4410" spans="1:5" x14ac:dyDescent="0.3">
      <c r="A4410" t="s">
        <v>41</v>
      </c>
      <c r="B4410" t="s">
        <v>10131</v>
      </c>
      <c r="C4410" t="s">
        <v>461</v>
      </c>
    </row>
    <row r="4411" spans="1:5" x14ac:dyDescent="0.3">
      <c r="A4411" t="s">
        <v>3687</v>
      </c>
      <c r="B4411" t="s">
        <v>10132</v>
      </c>
      <c r="C4411" t="s">
        <v>461</v>
      </c>
    </row>
    <row r="4412" spans="1:5" x14ac:dyDescent="0.3">
      <c r="A4412" t="s">
        <v>10133</v>
      </c>
      <c r="B4412" t="s">
        <v>369</v>
      </c>
      <c r="C4412" t="s">
        <v>10134</v>
      </c>
      <c r="D4412" t="s">
        <v>8976</v>
      </c>
      <c r="E4412" t="s">
        <v>75</v>
      </c>
    </row>
    <row r="4413" spans="1:5" x14ac:dyDescent="0.3">
      <c r="A4413" t="s">
        <v>10136</v>
      </c>
      <c r="B4413" t="s">
        <v>3617</v>
      </c>
      <c r="C4413" t="s">
        <v>460</v>
      </c>
      <c r="D4413" t="s">
        <v>10135</v>
      </c>
      <c r="E4413" t="s">
        <v>75</v>
      </c>
    </row>
    <row r="4414" spans="1:5" x14ac:dyDescent="0.3">
      <c r="A4414" t="s">
        <v>10138</v>
      </c>
      <c r="B4414" t="s">
        <v>10140</v>
      </c>
      <c r="C4414" t="s">
        <v>10139</v>
      </c>
      <c r="D4414" t="s">
        <v>10137</v>
      </c>
      <c r="E4414" t="s">
        <v>75</v>
      </c>
    </row>
    <row r="4415" spans="1:5" x14ac:dyDescent="0.3">
      <c r="A4415" t="s">
        <v>5303</v>
      </c>
      <c r="B4415" t="s">
        <v>5304</v>
      </c>
      <c r="C4415" t="s">
        <v>461</v>
      </c>
      <c r="D4415" t="s">
        <v>10141</v>
      </c>
      <c r="E4415" t="s">
        <v>75</v>
      </c>
    </row>
    <row r="4416" spans="1:5" x14ac:dyDescent="0.3">
      <c r="A4416" t="s">
        <v>851</v>
      </c>
      <c r="B4416" t="s">
        <v>1742</v>
      </c>
      <c r="C4416" t="s">
        <v>6118</v>
      </c>
      <c r="D4416" t="s">
        <v>10142</v>
      </c>
      <c r="E4416" t="s">
        <v>75</v>
      </c>
    </row>
    <row r="4417" spans="1:5" x14ac:dyDescent="0.3">
      <c r="A4417" t="s">
        <v>262</v>
      </c>
      <c r="B4417" t="s">
        <v>10144</v>
      </c>
      <c r="C4417" t="s">
        <v>460</v>
      </c>
      <c r="D4417" t="s">
        <v>10143</v>
      </c>
      <c r="E4417" t="s">
        <v>75</v>
      </c>
    </row>
    <row r="4418" spans="1:5" x14ac:dyDescent="0.3">
      <c r="A4418" t="s">
        <v>329</v>
      </c>
      <c r="B4418" t="s">
        <v>10146</v>
      </c>
      <c r="C4418" t="s">
        <v>467</v>
      </c>
      <c r="D4418" t="s">
        <v>10145</v>
      </c>
      <c r="E4418" t="s">
        <v>75</v>
      </c>
    </row>
    <row r="4419" spans="1:5" x14ac:dyDescent="0.3">
      <c r="A4419" t="s">
        <v>931</v>
      </c>
      <c r="B4419" t="s">
        <v>10148</v>
      </c>
      <c r="C4419" t="s">
        <v>467</v>
      </c>
      <c r="D4419" t="s">
        <v>10147</v>
      </c>
      <c r="E4419" t="s">
        <v>75</v>
      </c>
    </row>
    <row r="4420" spans="1:5" x14ac:dyDescent="0.3">
      <c r="A4420" t="s">
        <v>3789</v>
      </c>
      <c r="B4420" t="s">
        <v>10151</v>
      </c>
      <c r="C4420" t="s">
        <v>10150</v>
      </c>
      <c r="D4420" t="s">
        <v>10149</v>
      </c>
      <c r="E4420" t="s">
        <v>75</v>
      </c>
    </row>
    <row r="4421" spans="1:5" x14ac:dyDescent="0.3">
      <c r="A4421" t="s">
        <v>4100</v>
      </c>
      <c r="B4421" t="s">
        <v>1332</v>
      </c>
      <c r="C4421" t="s">
        <v>10153</v>
      </c>
      <c r="D4421" t="s">
        <v>10152</v>
      </c>
      <c r="E4421" t="s">
        <v>75</v>
      </c>
    </row>
    <row r="4422" spans="1:5" x14ac:dyDescent="0.3">
      <c r="A4422" t="s">
        <v>3616</v>
      </c>
      <c r="B4422" t="s">
        <v>3405</v>
      </c>
      <c r="C4422" t="s">
        <v>467</v>
      </c>
      <c r="D4422" t="s">
        <v>10154</v>
      </c>
      <c r="E4422" t="s">
        <v>75</v>
      </c>
    </row>
    <row r="4423" spans="1:5" x14ac:dyDescent="0.3">
      <c r="A4423" t="s">
        <v>4811</v>
      </c>
      <c r="B4423" t="s">
        <v>10156</v>
      </c>
      <c r="C4423" t="s">
        <v>7413</v>
      </c>
      <c r="D4423" t="s">
        <v>10155</v>
      </c>
      <c r="E4423" t="s">
        <v>75</v>
      </c>
    </row>
    <row r="4424" spans="1:5" x14ac:dyDescent="0.3">
      <c r="A4424" t="s">
        <v>5111</v>
      </c>
      <c r="B4424" t="s">
        <v>4170</v>
      </c>
      <c r="C4424" t="s">
        <v>467</v>
      </c>
      <c r="D4424" t="s">
        <v>10157</v>
      </c>
      <c r="E4424" t="s">
        <v>75</v>
      </c>
    </row>
    <row r="4425" spans="1:5" x14ac:dyDescent="0.3">
      <c r="A4425" t="s">
        <v>160</v>
      </c>
      <c r="B4425" t="s">
        <v>6120</v>
      </c>
      <c r="C4425" t="s">
        <v>7516</v>
      </c>
      <c r="D4425" t="s">
        <v>10158</v>
      </c>
      <c r="E4425" t="s">
        <v>75</v>
      </c>
    </row>
    <row r="4426" spans="1:5" x14ac:dyDescent="0.3">
      <c r="A4426" t="s">
        <v>160</v>
      </c>
      <c r="B4426" t="s">
        <v>10160</v>
      </c>
      <c r="C4426" t="s">
        <v>467</v>
      </c>
      <c r="D4426" t="s">
        <v>10159</v>
      </c>
      <c r="E4426" t="s">
        <v>75</v>
      </c>
    </row>
    <row r="4427" spans="1:5" x14ac:dyDescent="0.3">
      <c r="A4427" t="s">
        <v>860</v>
      </c>
      <c r="B4427" t="s">
        <v>10161</v>
      </c>
      <c r="C4427" t="s">
        <v>455</v>
      </c>
    </row>
    <row r="4428" spans="1:5" x14ac:dyDescent="0.3">
      <c r="A4428" t="s">
        <v>131</v>
      </c>
      <c r="B4428" t="s">
        <v>10164</v>
      </c>
      <c r="C4428" t="s">
        <v>460</v>
      </c>
      <c r="D4428" t="s">
        <v>10162</v>
      </c>
      <c r="E4428" t="s">
        <v>75</v>
      </c>
    </row>
    <row r="4429" spans="1:5" x14ac:dyDescent="0.3">
      <c r="A4429" t="s">
        <v>41</v>
      </c>
      <c r="B4429" t="s">
        <v>331</v>
      </c>
      <c r="C4429" t="s">
        <v>460</v>
      </c>
      <c r="D4429" t="s">
        <v>10165</v>
      </c>
      <c r="E4429" t="s">
        <v>75</v>
      </c>
    </row>
    <row r="4430" spans="1:5" x14ac:dyDescent="0.3">
      <c r="A4430" t="s">
        <v>2670</v>
      </c>
      <c r="B4430" t="s">
        <v>9782</v>
      </c>
      <c r="C4430" t="s">
        <v>459</v>
      </c>
      <c r="D4430" t="s">
        <v>10166</v>
      </c>
      <c r="E4430" t="s">
        <v>75</v>
      </c>
    </row>
    <row r="4431" spans="1:5" x14ac:dyDescent="0.3">
      <c r="A4431" t="s">
        <v>752</v>
      </c>
      <c r="B4431" t="s">
        <v>10167</v>
      </c>
      <c r="C4431" t="s">
        <v>7341</v>
      </c>
      <c r="D4431" t="s">
        <v>10168</v>
      </c>
      <c r="E4431" t="s">
        <v>75</v>
      </c>
    </row>
    <row r="4432" spans="1:5" x14ac:dyDescent="0.3">
      <c r="A4432" t="s">
        <v>10169</v>
      </c>
      <c r="B4432" t="s">
        <v>2804</v>
      </c>
      <c r="C4432" t="s">
        <v>460</v>
      </c>
      <c r="D4432" t="s">
        <v>10168</v>
      </c>
      <c r="E4432" t="s">
        <v>75</v>
      </c>
    </row>
    <row r="4433" spans="1:5" x14ac:dyDescent="0.3">
      <c r="A4433" t="s">
        <v>1920</v>
      </c>
      <c r="B4433" t="s">
        <v>3233</v>
      </c>
      <c r="C4433" t="s">
        <v>10170</v>
      </c>
    </row>
    <row r="4434" spans="1:5" x14ac:dyDescent="0.3">
      <c r="A4434" t="s">
        <v>206</v>
      </c>
      <c r="B4434" t="s">
        <v>440</v>
      </c>
      <c r="C4434" t="s">
        <v>451</v>
      </c>
      <c r="D4434" t="s">
        <v>10171</v>
      </c>
      <c r="E4434" t="s">
        <v>75</v>
      </c>
    </row>
    <row r="4435" spans="1:5" x14ac:dyDescent="0.3">
      <c r="A4435" t="s">
        <v>2506</v>
      </c>
      <c r="B4435" t="s">
        <v>10173</v>
      </c>
      <c r="C4435" t="s">
        <v>460</v>
      </c>
      <c r="D4435" t="s">
        <v>10172</v>
      </c>
      <c r="E4435" t="s">
        <v>75</v>
      </c>
    </row>
    <row r="4436" spans="1:5" x14ac:dyDescent="0.3">
      <c r="A4436" t="s">
        <v>179</v>
      </c>
      <c r="B4436" t="s">
        <v>3832</v>
      </c>
      <c r="C4436" t="s">
        <v>467</v>
      </c>
      <c r="D4436" t="s">
        <v>10174</v>
      </c>
      <c r="E4436" t="s">
        <v>75</v>
      </c>
    </row>
    <row r="4437" spans="1:5" x14ac:dyDescent="0.3">
      <c r="A4437" t="s">
        <v>4360</v>
      </c>
      <c r="B4437" t="s">
        <v>5318</v>
      </c>
      <c r="C4437" t="s">
        <v>460</v>
      </c>
      <c r="D4437" t="s">
        <v>6353</v>
      </c>
      <c r="E4437" t="s">
        <v>75</v>
      </c>
    </row>
    <row r="4438" spans="1:5" x14ac:dyDescent="0.3">
      <c r="A4438" t="s">
        <v>220</v>
      </c>
      <c r="B4438" t="s">
        <v>1118</v>
      </c>
      <c r="C4438" t="s">
        <v>461</v>
      </c>
      <c r="D4438" t="s">
        <v>6353</v>
      </c>
      <c r="E4438" t="s">
        <v>75</v>
      </c>
    </row>
    <row r="4439" spans="1:5" x14ac:dyDescent="0.3">
      <c r="A4439" t="s">
        <v>131</v>
      </c>
      <c r="B4439" t="s">
        <v>4912</v>
      </c>
      <c r="C4439" t="s">
        <v>467</v>
      </c>
      <c r="D4439" t="s">
        <v>6353</v>
      </c>
      <c r="E4439" t="s">
        <v>75</v>
      </c>
    </row>
    <row r="4440" spans="1:5" x14ac:dyDescent="0.3">
      <c r="A4440" t="s">
        <v>4082</v>
      </c>
      <c r="B4440" t="s">
        <v>2786</v>
      </c>
      <c r="C4440" t="s">
        <v>460</v>
      </c>
      <c r="D4440" t="s">
        <v>10175</v>
      </c>
      <c r="E4440" t="s">
        <v>75</v>
      </c>
    </row>
    <row r="4441" spans="1:5" x14ac:dyDescent="0.3">
      <c r="A4441" t="s">
        <v>1972</v>
      </c>
      <c r="B4441" t="s">
        <v>3191</v>
      </c>
      <c r="C4441" t="s">
        <v>461</v>
      </c>
      <c r="D4441" t="s">
        <v>10176</v>
      </c>
      <c r="E4441" t="s">
        <v>75</v>
      </c>
    </row>
    <row r="4442" spans="1:5" x14ac:dyDescent="0.3">
      <c r="A4442" t="s">
        <v>3784</v>
      </c>
      <c r="B4442" t="s">
        <v>10178</v>
      </c>
      <c r="C4442" t="s">
        <v>467</v>
      </c>
      <c r="D4442" t="s">
        <v>10177</v>
      </c>
      <c r="E4442" t="s">
        <v>75</v>
      </c>
    </row>
    <row r="4443" spans="1:5" x14ac:dyDescent="0.3">
      <c r="A4443" t="s">
        <v>1330</v>
      </c>
      <c r="B4443" t="s">
        <v>5103</v>
      </c>
      <c r="C4443" t="s">
        <v>852</v>
      </c>
      <c r="D4443" t="s">
        <v>10179</v>
      </c>
      <c r="E4443" t="s">
        <v>75</v>
      </c>
    </row>
    <row r="4444" spans="1:5" x14ac:dyDescent="0.3">
      <c r="A4444" t="s">
        <v>3821</v>
      </c>
      <c r="B4444" t="s">
        <v>10181</v>
      </c>
      <c r="C4444" t="s">
        <v>467</v>
      </c>
      <c r="D4444" t="s">
        <v>10180</v>
      </c>
      <c r="E4444" t="s">
        <v>75</v>
      </c>
    </row>
    <row r="4445" spans="1:5" x14ac:dyDescent="0.3">
      <c r="A4445" t="s">
        <v>27</v>
      </c>
      <c r="B4445" t="s">
        <v>10183</v>
      </c>
      <c r="C4445" t="s">
        <v>460</v>
      </c>
      <c r="D4445" t="s">
        <v>10182</v>
      </c>
      <c r="E4445" t="s">
        <v>75</v>
      </c>
    </row>
    <row r="4446" spans="1:5" x14ac:dyDescent="0.3">
      <c r="A4446" t="s">
        <v>345</v>
      </c>
      <c r="B4446" t="s">
        <v>3064</v>
      </c>
      <c r="C4446" t="s">
        <v>467</v>
      </c>
      <c r="D4446" t="s">
        <v>10184</v>
      </c>
      <c r="E4446" t="s">
        <v>75</v>
      </c>
    </row>
    <row r="4447" spans="1:5" x14ac:dyDescent="0.3">
      <c r="A4447" t="s">
        <v>230</v>
      </c>
      <c r="B4447" t="s">
        <v>10186</v>
      </c>
      <c r="C4447" t="s">
        <v>862</v>
      </c>
      <c r="D4447" t="s">
        <v>10185</v>
      </c>
      <c r="E4447" t="s">
        <v>75</v>
      </c>
    </row>
    <row r="4448" spans="1:5" x14ac:dyDescent="0.3">
      <c r="A4448" t="s">
        <v>79</v>
      </c>
      <c r="B4448" t="s">
        <v>439</v>
      </c>
      <c r="C4448" t="s">
        <v>10187</v>
      </c>
      <c r="D4448" t="s">
        <v>10185</v>
      </c>
      <c r="E4448" t="s">
        <v>75</v>
      </c>
    </row>
    <row r="4449" spans="1:5" x14ac:dyDescent="0.3">
      <c r="A4449" t="s">
        <v>1569</v>
      </c>
      <c r="B4449" t="s">
        <v>83</v>
      </c>
      <c r="C4449" t="s">
        <v>467</v>
      </c>
      <c r="D4449" t="s">
        <v>10188</v>
      </c>
      <c r="E4449" t="s">
        <v>75</v>
      </c>
    </row>
    <row r="4450" spans="1:5" x14ac:dyDescent="0.3">
      <c r="A4450" t="s">
        <v>44</v>
      </c>
      <c r="B4450" t="s">
        <v>3611</v>
      </c>
      <c r="C4450" t="s">
        <v>467</v>
      </c>
      <c r="D4450" t="s">
        <v>10189</v>
      </c>
      <c r="E4450" t="s">
        <v>2175</v>
      </c>
    </row>
    <row r="4451" spans="1:5" x14ac:dyDescent="0.3">
      <c r="A4451" t="s">
        <v>3254</v>
      </c>
      <c r="B4451" t="s">
        <v>10191</v>
      </c>
      <c r="C4451" t="s">
        <v>461</v>
      </c>
      <c r="D4451" t="s">
        <v>10190</v>
      </c>
      <c r="E4451" t="s">
        <v>75</v>
      </c>
    </row>
    <row r="4452" spans="1:5" x14ac:dyDescent="0.3">
      <c r="A4452" t="s">
        <v>347</v>
      </c>
      <c r="B4452" t="s">
        <v>1634</v>
      </c>
      <c r="C4452" t="s">
        <v>467</v>
      </c>
      <c r="D4452" t="s">
        <v>10192</v>
      </c>
      <c r="E4452" t="s">
        <v>75</v>
      </c>
    </row>
    <row r="4453" spans="1:5" x14ac:dyDescent="0.3">
      <c r="A4453" t="s">
        <v>160</v>
      </c>
      <c r="B4453" t="s">
        <v>2711</v>
      </c>
      <c r="C4453" t="s">
        <v>457</v>
      </c>
      <c r="D4453" t="s">
        <v>10193</v>
      </c>
      <c r="E4453" t="s">
        <v>75</v>
      </c>
    </row>
    <row r="4454" spans="1:5" x14ac:dyDescent="0.3">
      <c r="A4454" t="s">
        <v>27</v>
      </c>
      <c r="B4454" t="s">
        <v>10194</v>
      </c>
      <c r="C4454" t="s">
        <v>9218</v>
      </c>
    </row>
    <row r="4455" spans="1:5" x14ac:dyDescent="0.3">
      <c r="A4455" t="s">
        <v>5928</v>
      </c>
      <c r="B4455" t="s">
        <v>1731</v>
      </c>
      <c r="C4455" t="s">
        <v>461</v>
      </c>
      <c r="D4455" t="s">
        <v>10195</v>
      </c>
      <c r="E4455" t="s">
        <v>75</v>
      </c>
    </row>
    <row r="4456" spans="1:5" x14ac:dyDescent="0.3">
      <c r="A4456" t="s">
        <v>875</v>
      </c>
      <c r="B4456" t="s">
        <v>2987</v>
      </c>
      <c r="C4456" t="s">
        <v>6069</v>
      </c>
      <c r="D4456" t="s">
        <v>10196</v>
      </c>
      <c r="E4456" t="s">
        <v>75</v>
      </c>
    </row>
    <row r="4457" spans="1:5" x14ac:dyDescent="0.3">
      <c r="A4457" t="s">
        <v>352</v>
      </c>
      <c r="B4457" t="s">
        <v>2964</v>
      </c>
      <c r="C4457" t="s">
        <v>698</v>
      </c>
      <c r="D4457" t="s">
        <v>10197</v>
      </c>
      <c r="E4457" t="s">
        <v>75</v>
      </c>
    </row>
    <row r="4458" spans="1:5" x14ac:dyDescent="0.3">
      <c r="A4458" t="s">
        <v>182</v>
      </c>
      <c r="B4458" t="s">
        <v>5141</v>
      </c>
      <c r="C4458" t="s">
        <v>467</v>
      </c>
      <c r="D4458" t="s">
        <v>10202</v>
      </c>
      <c r="E4458" t="s">
        <v>75</v>
      </c>
    </row>
    <row r="4459" spans="1:5" x14ac:dyDescent="0.3">
      <c r="A4459" t="s">
        <v>9936</v>
      </c>
      <c r="B4459" t="s">
        <v>820</v>
      </c>
      <c r="C4459" t="s">
        <v>459</v>
      </c>
      <c r="D4459" t="s">
        <v>10202</v>
      </c>
      <c r="E4459" t="s">
        <v>75</v>
      </c>
    </row>
    <row r="4460" spans="1:5" x14ac:dyDescent="0.3">
      <c r="A4460" t="s">
        <v>342</v>
      </c>
      <c r="B4460" t="s">
        <v>10204</v>
      </c>
      <c r="C4460" t="s">
        <v>457</v>
      </c>
      <c r="D4460" t="s">
        <v>10203</v>
      </c>
      <c r="E4460" t="s">
        <v>75</v>
      </c>
    </row>
    <row r="4461" spans="1:5" x14ac:dyDescent="0.3">
      <c r="A4461" t="s">
        <v>177</v>
      </c>
      <c r="B4461" t="s">
        <v>10206</v>
      </c>
      <c r="C4461" t="s">
        <v>10205</v>
      </c>
      <c r="D4461" t="s">
        <v>5577</v>
      </c>
      <c r="E4461" t="s">
        <v>774</v>
      </c>
    </row>
    <row r="4462" spans="1:5" x14ac:dyDescent="0.3">
      <c r="A4462" t="s">
        <v>282</v>
      </c>
      <c r="B4462" t="s">
        <v>3026</v>
      </c>
      <c r="C4462" t="s">
        <v>467</v>
      </c>
      <c r="D4462" t="s">
        <v>10207</v>
      </c>
      <c r="E4462" t="s">
        <v>75</v>
      </c>
    </row>
    <row r="4463" spans="1:5" x14ac:dyDescent="0.3">
      <c r="A4463" t="s">
        <v>205</v>
      </c>
      <c r="B4463" t="s">
        <v>10209</v>
      </c>
      <c r="C4463" t="s">
        <v>461</v>
      </c>
      <c r="D4463" t="s">
        <v>10208</v>
      </c>
      <c r="E4463" t="s">
        <v>75</v>
      </c>
    </row>
    <row r="4464" spans="1:5" x14ac:dyDescent="0.3">
      <c r="A4464" t="s">
        <v>224</v>
      </c>
      <c r="B4464" t="s">
        <v>10210</v>
      </c>
      <c r="C4464" t="s">
        <v>456</v>
      </c>
      <c r="D4464" t="s">
        <v>10208</v>
      </c>
      <c r="E4464" t="s">
        <v>75</v>
      </c>
    </row>
    <row r="4465" spans="1:5" x14ac:dyDescent="0.3">
      <c r="A4465" t="s">
        <v>311</v>
      </c>
      <c r="B4465" t="s">
        <v>10211</v>
      </c>
      <c r="C4465" t="s">
        <v>457</v>
      </c>
      <c r="D4465" t="s">
        <v>8995</v>
      </c>
      <c r="E4465" t="s">
        <v>75</v>
      </c>
    </row>
    <row r="4466" spans="1:5" x14ac:dyDescent="0.3">
      <c r="A4466" t="s">
        <v>851</v>
      </c>
      <c r="B4466" t="s">
        <v>4886</v>
      </c>
      <c r="C4466" t="s">
        <v>862</v>
      </c>
      <c r="D4466" t="s">
        <v>10212</v>
      </c>
      <c r="E4466" t="s">
        <v>75</v>
      </c>
    </row>
    <row r="4467" spans="1:5" x14ac:dyDescent="0.3">
      <c r="A4467" t="s">
        <v>1523</v>
      </c>
      <c r="B4467" t="s">
        <v>1761</v>
      </c>
      <c r="C4467" t="s">
        <v>467</v>
      </c>
      <c r="D4467" t="s">
        <v>10213</v>
      </c>
      <c r="E4467" t="s">
        <v>75</v>
      </c>
    </row>
    <row r="4468" spans="1:5" x14ac:dyDescent="0.3">
      <c r="A4468" t="s">
        <v>2333</v>
      </c>
      <c r="B4468" t="s">
        <v>3522</v>
      </c>
      <c r="C4468" t="s">
        <v>460</v>
      </c>
      <c r="D4468" t="s">
        <v>10213</v>
      </c>
      <c r="E4468" t="s">
        <v>75</v>
      </c>
    </row>
    <row r="4469" spans="1:5" x14ac:dyDescent="0.3">
      <c r="A4469" t="s">
        <v>2989</v>
      </c>
      <c r="B4469" t="s">
        <v>10216</v>
      </c>
      <c r="C4469" t="s">
        <v>10215</v>
      </c>
      <c r="D4469" t="s">
        <v>10214</v>
      </c>
      <c r="E4469" t="s">
        <v>774</v>
      </c>
    </row>
    <row r="4470" spans="1:5" x14ac:dyDescent="0.3">
      <c r="A4470" t="s">
        <v>2989</v>
      </c>
      <c r="B4470" t="s">
        <v>10218</v>
      </c>
      <c r="C4470" t="s">
        <v>460</v>
      </c>
      <c r="D4470" t="s">
        <v>10217</v>
      </c>
      <c r="E4470" t="s">
        <v>75</v>
      </c>
    </row>
    <row r="4471" spans="1:5" x14ac:dyDescent="0.3">
      <c r="A4471" t="s">
        <v>246</v>
      </c>
      <c r="B4471" t="s">
        <v>10220</v>
      </c>
      <c r="C4471" t="s">
        <v>460</v>
      </c>
      <c r="D4471" t="s">
        <v>10219</v>
      </c>
      <c r="E4471" t="s">
        <v>75</v>
      </c>
    </row>
    <row r="4472" spans="1:5" x14ac:dyDescent="0.3">
      <c r="A4472" t="s">
        <v>10222</v>
      </c>
      <c r="B4472" t="s">
        <v>3515</v>
      </c>
      <c r="C4472" t="s">
        <v>459</v>
      </c>
      <c r="D4472" t="s">
        <v>10221</v>
      </c>
      <c r="E4472" t="s">
        <v>75</v>
      </c>
    </row>
    <row r="4473" spans="1:5" x14ac:dyDescent="0.3">
      <c r="A4473" t="s">
        <v>3355</v>
      </c>
      <c r="B4473" t="s">
        <v>1212</v>
      </c>
      <c r="C4473" t="s">
        <v>6118</v>
      </c>
      <c r="D4473" t="s">
        <v>10223</v>
      </c>
      <c r="E4473" t="s">
        <v>75</v>
      </c>
    </row>
    <row r="4474" spans="1:5" x14ac:dyDescent="0.3">
      <c r="A4474" t="s">
        <v>2837</v>
      </c>
      <c r="B4474" t="s">
        <v>5992</v>
      </c>
      <c r="C4474" t="s">
        <v>461</v>
      </c>
      <c r="D4474" t="s">
        <v>5615</v>
      </c>
      <c r="E4474" t="s">
        <v>75</v>
      </c>
    </row>
    <row r="4475" spans="1:5" x14ac:dyDescent="0.3">
      <c r="A4475" t="s">
        <v>29</v>
      </c>
      <c r="B4475" t="s">
        <v>1572</v>
      </c>
      <c r="C4475" t="s">
        <v>10227</v>
      </c>
      <c r="D4475" t="s">
        <v>5615</v>
      </c>
      <c r="E4475" t="s">
        <v>75</v>
      </c>
    </row>
    <row r="4476" spans="1:5" x14ac:dyDescent="0.3">
      <c r="A4476" t="s">
        <v>5620</v>
      </c>
      <c r="B4476" t="s">
        <v>52</v>
      </c>
      <c r="C4476" t="s">
        <v>4415</v>
      </c>
      <c r="D4476" t="s">
        <v>5615</v>
      </c>
      <c r="E4476" t="s">
        <v>75</v>
      </c>
    </row>
    <row r="4477" spans="1:5" x14ac:dyDescent="0.3">
      <c r="A4477" t="s">
        <v>161</v>
      </c>
      <c r="B4477" t="s">
        <v>2326</v>
      </c>
      <c r="C4477" t="s">
        <v>9704</v>
      </c>
      <c r="D4477" t="s">
        <v>10228</v>
      </c>
      <c r="E4477" t="s">
        <v>75</v>
      </c>
    </row>
    <row r="4478" spans="1:5" x14ac:dyDescent="0.3">
      <c r="A4478" t="s">
        <v>44</v>
      </c>
      <c r="B4478" t="s">
        <v>10229</v>
      </c>
      <c r="C4478" t="s">
        <v>455</v>
      </c>
      <c r="D4478" t="s">
        <v>10228</v>
      </c>
      <c r="E4478" t="s">
        <v>75</v>
      </c>
    </row>
    <row r="4479" spans="1:5" x14ac:dyDescent="0.3">
      <c r="A4479" t="s">
        <v>177</v>
      </c>
      <c r="B4479" t="s">
        <v>1615</v>
      </c>
      <c r="C4479" t="s">
        <v>698</v>
      </c>
      <c r="D4479" t="s">
        <v>10230</v>
      </c>
      <c r="E4479" t="s">
        <v>75</v>
      </c>
    </row>
    <row r="4480" spans="1:5" x14ac:dyDescent="0.3">
      <c r="A4480" t="s">
        <v>9630</v>
      </c>
      <c r="B4480" t="s">
        <v>7700</v>
      </c>
      <c r="C4480" t="s">
        <v>10231</v>
      </c>
      <c r="D4480" t="s">
        <v>8235</v>
      </c>
      <c r="E4480" t="s">
        <v>897</v>
      </c>
    </row>
    <row r="4481" spans="1:5" x14ac:dyDescent="0.3">
      <c r="A4481" t="s">
        <v>347</v>
      </c>
      <c r="B4481" t="s">
        <v>6503</v>
      </c>
      <c r="C4481" t="s">
        <v>456</v>
      </c>
      <c r="D4481" t="s">
        <v>4828</v>
      </c>
      <c r="E4481" t="s">
        <v>781</v>
      </c>
    </row>
    <row r="4482" spans="1:5" x14ac:dyDescent="0.3">
      <c r="A4482" t="s">
        <v>130</v>
      </c>
      <c r="B4482" t="s">
        <v>4024</v>
      </c>
      <c r="C4482" t="s">
        <v>6001</v>
      </c>
      <c r="D4482" t="s">
        <v>10233</v>
      </c>
      <c r="E4482" t="s">
        <v>75</v>
      </c>
    </row>
    <row r="4483" spans="1:5" x14ac:dyDescent="0.3">
      <c r="A4483" t="s">
        <v>153</v>
      </c>
      <c r="B4483" t="s">
        <v>10235</v>
      </c>
      <c r="C4483" t="s">
        <v>467</v>
      </c>
      <c r="D4483" t="s">
        <v>9001</v>
      </c>
      <c r="E4483" t="s">
        <v>75</v>
      </c>
    </row>
    <row r="4484" spans="1:5" x14ac:dyDescent="0.3">
      <c r="A4484" t="s">
        <v>205</v>
      </c>
      <c r="B4484" t="s">
        <v>10236</v>
      </c>
      <c r="C4484" t="s">
        <v>467</v>
      </c>
      <c r="D4484" t="s">
        <v>10234</v>
      </c>
      <c r="E4484" t="s">
        <v>75</v>
      </c>
    </row>
    <row r="4485" spans="1:5" x14ac:dyDescent="0.3">
      <c r="A4485" t="s">
        <v>220</v>
      </c>
      <c r="B4485" t="s">
        <v>401</v>
      </c>
      <c r="C4485" t="s">
        <v>467</v>
      </c>
      <c r="D4485" t="s">
        <v>10237</v>
      </c>
      <c r="E4485" t="s">
        <v>75</v>
      </c>
    </row>
    <row r="4486" spans="1:5" x14ac:dyDescent="0.3">
      <c r="A4486" t="s">
        <v>190</v>
      </c>
      <c r="B4486" t="s">
        <v>2354</v>
      </c>
      <c r="C4486" t="s">
        <v>461</v>
      </c>
      <c r="D4486" t="s">
        <v>9001</v>
      </c>
      <c r="E4486" t="s">
        <v>75</v>
      </c>
    </row>
    <row r="4487" spans="1:5" x14ac:dyDescent="0.3">
      <c r="A4487" t="s">
        <v>8985</v>
      </c>
      <c r="B4487" t="s">
        <v>4482</v>
      </c>
      <c r="C4487" t="s">
        <v>467</v>
      </c>
      <c r="D4487" t="s">
        <v>10238</v>
      </c>
      <c r="E4487" t="s">
        <v>75</v>
      </c>
    </row>
    <row r="4488" spans="1:5" x14ac:dyDescent="0.3">
      <c r="A4488" t="s">
        <v>752</v>
      </c>
      <c r="B4488" t="s">
        <v>1298</v>
      </c>
      <c r="C4488" t="s">
        <v>461</v>
      </c>
      <c r="D4488" t="s">
        <v>10239</v>
      </c>
      <c r="E4488" t="s">
        <v>75</v>
      </c>
    </row>
    <row r="4489" spans="1:5" x14ac:dyDescent="0.3">
      <c r="A4489" t="s">
        <v>1410</v>
      </c>
      <c r="B4489" t="s">
        <v>28</v>
      </c>
      <c r="C4489" t="s">
        <v>460</v>
      </c>
      <c r="D4489" t="s">
        <v>10240</v>
      </c>
      <c r="E4489" t="s">
        <v>75</v>
      </c>
    </row>
    <row r="4490" spans="1:5" x14ac:dyDescent="0.3">
      <c r="A4490" t="s">
        <v>1793</v>
      </c>
      <c r="B4490" t="s">
        <v>10241</v>
      </c>
      <c r="C4490" t="s">
        <v>467</v>
      </c>
      <c r="D4490" t="s">
        <v>10240</v>
      </c>
      <c r="E4490" t="s">
        <v>75</v>
      </c>
    </row>
    <row r="4491" spans="1:5" x14ac:dyDescent="0.3">
      <c r="A4491" t="s">
        <v>10243</v>
      </c>
      <c r="B4491" t="s">
        <v>7804</v>
      </c>
      <c r="C4491" t="s">
        <v>10244</v>
      </c>
      <c r="D4491" t="s">
        <v>10242</v>
      </c>
      <c r="E4491" t="s">
        <v>75</v>
      </c>
    </row>
    <row r="4492" spans="1:5" x14ac:dyDescent="0.3">
      <c r="A4492" t="s">
        <v>2986</v>
      </c>
      <c r="B4492" t="s">
        <v>10246</v>
      </c>
      <c r="C4492" t="s">
        <v>461</v>
      </c>
      <c r="D4492" t="s">
        <v>10245</v>
      </c>
      <c r="E4492" t="s">
        <v>75</v>
      </c>
    </row>
    <row r="4493" spans="1:5" x14ac:dyDescent="0.3">
      <c r="A4493" t="s">
        <v>44</v>
      </c>
      <c r="B4493" t="s">
        <v>10247</v>
      </c>
      <c r="C4493" t="s">
        <v>5546</v>
      </c>
      <c r="D4493" t="s">
        <v>3450</v>
      </c>
      <c r="E4493" t="s">
        <v>75</v>
      </c>
    </row>
    <row r="4494" spans="1:5" x14ac:dyDescent="0.3">
      <c r="A4494" t="s">
        <v>10249</v>
      </c>
      <c r="B4494" t="s">
        <v>10250</v>
      </c>
      <c r="C4494" t="s">
        <v>467</v>
      </c>
      <c r="D4494" t="s">
        <v>10248</v>
      </c>
      <c r="E4494" t="s">
        <v>75</v>
      </c>
    </row>
    <row r="4495" spans="1:5" x14ac:dyDescent="0.3">
      <c r="A4495" t="s">
        <v>230</v>
      </c>
      <c r="B4495" t="s">
        <v>10252</v>
      </c>
      <c r="C4495" t="s">
        <v>461</v>
      </c>
      <c r="D4495" t="s">
        <v>10251</v>
      </c>
      <c r="E4495" t="s">
        <v>75</v>
      </c>
    </row>
    <row r="4496" spans="1:5" x14ac:dyDescent="0.3">
      <c r="A4496" t="s">
        <v>2187</v>
      </c>
      <c r="B4496" t="s">
        <v>361</v>
      </c>
      <c r="C4496" t="s">
        <v>461</v>
      </c>
      <c r="D4496" t="s">
        <v>10253</v>
      </c>
      <c r="E4496" t="s">
        <v>75</v>
      </c>
    </row>
    <row r="4497" spans="1:5" x14ac:dyDescent="0.3">
      <c r="A4497" t="s">
        <v>404</v>
      </c>
      <c r="B4497" t="s">
        <v>10255</v>
      </c>
      <c r="C4497" t="s">
        <v>461</v>
      </c>
      <c r="D4497" t="s">
        <v>10254</v>
      </c>
      <c r="E4497" t="s">
        <v>75</v>
      </c>
    </row>
    <row r="4498" spans="1:5" x14ac:dyDescent="0.3">
      <c r="A4498" t="s">
        <v>68</v>
      </c>
      <c r="B4498" t="s">
        <v>10256</v>
      </c>
      <c r="C4498" t="s">
        <v>518</v>
      </c>
      <c r="D4498" t="s">
        <v>968</v>
      </c>
      <c r="E4498" t="s">
        <v>781</v>
      </c>
    </row>
    <row r="4499" spans="1:5" x14ac:dyDescent="0.3">
      <c r="A4499" t="s">
        <v>2179</v>
      </c>
      <c r="B4499" t="s">
        <v>10257</v>
      </c>
      <c r="C4499" t="s">
        <v>862</v>
      </c>
      <c r="D4499" t="s">
        <v>5803</v>
      </c>
      <c r="E4499" t="s">
        <v>758</v>
      </c>
    </row>
    <row r="4500" spans="1:5" x14ac:dyDescent="0.3">
      <c r="A4500" t="s">
        <v>1200</v>
      </c>
      <c r="B4500" t="s">
        <v>10259</v>
      </c>
      <c r="C4500" t="s">
        <v>467</v>
      </c>
      <c r="D4500" t="s">
        <v>10258</v>
      </c>
      <c r="E4500" t="s">
        <v>75</v>
      </c>
    </row>
    <row r="4501" spans="1:5" x14ac:dyDescent="0.3">
      <c r="A4501" t="s">
        <v>315</v>
      </c>
      <c r="B4501" t="s">
        <v>10261</v>
      </c>
      <c r="C4501" t="s">
        <v>461</v>
      </c>
      <c r="D4501" t="s">
        <v>10260</v>
      </c>
      <c r="E4501" t="s">
        <v>75</v>
      </c>
    </row>
    <row r="4502" spans="1:5" x14ac:dyDescent="0.3">
      <c r="A4502" t="s">
        <v>123</v>
      </c>
      <c r="B4502" t="s">
        <v>10263</v>
      </c>
      <c r="C4502" t="s">
        <v>457</v>
      </c>
      <c r="D4502" t="s">
        <v>10262</v>
      </c>
      <c r="E4502" t="s">
        <v>75</v>
      </c>
    </row>
    <row r="4503" spans="1:5" x14ac:dyDescent="0.3">
      <c r="A4503" t="s">
        <v>10264</v>
      </c>
      <c r="B4503" t="s">
        <v>2105</v>
      </c>
      <c r="C4503" t="s">
        <v>10265</v>
      </c>
      <c r="D4503" t="s">
        <v>2805</v>
      </c>
      <c r="E4503" t="s">
        <v>774</v>
      </c>
    </row>
    <row r="4504" spans="1:5" x14ac:dyDescent="0.3">
      <c r="A4504" t="s">
        <v>123</v>
      </c>
      <c r="B4504" t="s">
        <v>2620</v>
      </c>
      <c r="C4504" t="s">
        <v>862</v>
      </c>
      <c r="D4504" t="s">
        <v>10266</v>
      </c>
      <c r="E4504" t="s">
        <v>774</v>
      </c>
    </row>
    <row r="4505" spans="1:5" x14ac:dyDescent="0.3">
      <c r="A4505" t="s">
        <v>1133</v>
      </c>
      <c r="B4505" t="s">
        <v>10268</v>
      </c>
      <c r="C4505" t="s">
        <v>461</v>
      </c>
      <c r="D4505" t="s">
        <v>10267</v>
      </c>
      <c r="E4505" t="s">
        <v>75</v>
      </c>
    </row>
    <row r="4506" spans="1:5" x14ac:dyDescent="0.3">
      <c r="A4506" t="s">
        <v>177</v>
      </c>
      <c r="B4506" t="s">
        <v>10270</v>
      </c>
      <c r="C4506" t="s">
        <v>461</v>
      </c>
      <c r="D4506" t="s">
        <v>10269</v>
      </c>
      <c r="E4506" t="s">
        <v>75</v>
      </c>
    </row>
    <row r="4507" spans="1:5" x14ac:dyDescent="0.3">
      <c r="A4507" t="s">
        <v>10272</v>
      </c>
      <c r="B4507" t="s">
        <v>2978</v>
      </c>
      <c r="C4507" t="s">
        <v>458</v>
      </c>
      <c r="D4507" t="s">
        <v>10271</v>
      </c>
      <c r="E4507" t="s">
        <v>75</v>
      </c>
    </row>
    <row r="4508" spans="1:5" x14ac:dyDescent="0.3">
      <c r="A4508" t="s">
        <v>3247</v>
      </c>
      <c r="B4508" t="s">
        <v>3508</v>
      </c>
      <c r="C4508" t="s">
        <v>10273</v>
      </c>
      <c r="D4508" t="s">
        <v>10271</v>
      </c>
      <c r="E4508" t="s">
        <v>75</v>
      </c>
    </row>
    <row r="4509" spans="1:5" x14ac:dyDescent="0.3">
      <c r="A4509" t="s">
        <v>5225</v>
      </c>
      <c r="B4509" t="s">
        <v>10275</v>
      </c>
      <c r="C4509" t="s">
        <v>3555</v>
      </c>
      <c r="D4509" t="s">
        <v>10274</v>
      </c>
      <c r="E4509" t="s">
        <v>75</v>
      </c>
    </row>
    <row r="4510" spans="1:5" x14ac:dyDescent="0.3">
      <c r="A4510" t="s">
        <v>262</v>
      </c>
      <c r="B4510" t="s">
        <v>4110</v>
      </c>
      <c r="C4510" t="s">
        <v>457</v>
      </c>
      <c r="D4510" t="s">
        <v>10276</v>
      </c>
      <c r="E4510" t="s">
        <v>75</v>
      </c>
    </row>
    <row r="4511" spans="1:5" x14ac:dyDescent="0.3">
      <c r="A4511" t="s">
        <v>66</v>
      </c>
      <c r="B4511" t="s">
        <v>3841</v>
      </c>
      <c r="C4511" t="s">
        <v>467</v>
      </c>
      <c r="D4511" t="s">
        <v>10277</v>
      </c>
      <c r="E4511" t="s">
        <v>75</v>
      </c>
    </row>
    <row r="4512" spans="1:5" x14ac:dyDescent="0.3">
      <c r="A4512" t="s">
        <v>339</v>
      </c>
      <c r="B4512" t="s">
        <v>5878</v>
      </c>
      <c r="C4512" t="s">
        <v>458</v>
      </c>
      <c r="D4512" t="s">
        <v>10278</v>
      </c>
      <c r="E4512" t="s">
        <v>75</v>
      </c>
    </row>
    <row r="4513" spans="1:5" x14ac:dyDescent="0.3">
      <c r="A4513" t="s">
        <v>864</v>
      </c>
      <c r="B4513" t="s">
        <v>10280</v>
      </c>
      <c r="C4513" t="s">
        <v>460</v>
      </c>
      <c r="D4513" t="s">
        <v>10279</v>
      </c>
      <c r="E4513" t="s">
        <v>75</v>
      </c>
    </row>
    <row r="4514" spans="1:5" x14ac:dyDescent="0.3">
      <c r="A4514" t="s">
        <v>875</v>
      </c>
      <c r="B4514" t="s">
        <v>10281</v>
      </c>
      <c r="C4514" t="s">
        <v>460</v>
      </c>
      <c r="D4514" t="s">
        <v>10279</v>
      </c>
      <c r="E4514" t="s">
        <v>75</v>
      </c>
    </row>
    <row r="4515" spans="1:5" x14ac:dyDescent="0.3">
      <c r="A4515" t="s">
        <v>146</v>
      </c>
      <c r="B4515" t="s">
        <v>1630</v>
      </c>
      <c r="C4515" t="s">
        <v>10285</v>
      </c>
      <c r="D4515" t="s">
        <v>10284</v>
      </c>
      <c r="E4515" t="s">
        <v>2175</v>
      </c>
    </row>
    <row r="4516" spans="1:5" x14ac:dyDescent="0.3">
      <c r="A4516" t="s">
        <v>271</v>
      </c>
      <c r="B4516" t="s">
        <v>10287</v>
      </c>
      <c r="C4516" t="s">
        <v>467</v>
      </c>
      <c r="D4516" t="s">
        <v>10286</v>
      </c>
      <c r="E4516" t="s">
        <v>75</v>
      </c>
    </row>
    <row r="4517" spans="1:5" x14ac:dyDescent="0.3">
      <c r="A4517" t="s">
        <v>116</v>
      </c>
      <c r="B4517" t="s">
        <v>10289</v>
      </c>
      <c r="C4517" t="s">
        <v>460</v>
      </c>
      <c r="D4517" t="s">
        <v>10288</v>
      </c>
      <c r="E4517" t="s">
        <v>75</v>
      </c>
    </row>
    <row r="4518" spans="1:5" x14ac:dyDescent="0.3">
      <c r="A4518" t="s">
        <v>999</v>
      </c>
      <c r="B4518" t="s">
        <v>10292</v>
      </c>
      <c r="C4518" t="s">
        <v>10291</v>
      </c>
      <c r="D4518" t="s">
        <v>10290</v>
      </c>
      <c r="E4518" t="s">
        <v>75</v>
      </c>
    </row>
    <row r="4519" spans="1:5" x14ac:dyDescent="0.3">
      <c r="A4519" t="s">
        <v>160</v>
      </c>
      <c r="B4519" t="s">
        <v>10294</v>
      </c>
      <c r="C4519" t="s">
        <v>460</v>
      </c>
      <c r="D4519" t="s">
        <v>10293</v>
      </c>
      <c r="E4519" t="s">
        <v>75</v>
      </c>
    </row>
    <row r="4520" spans="1:5" x14ac:dyDescent="0.3">
      <c r="A4520" t="s">
        <v>441</v>
      </c>
      <c r="B4520" t="s">
        <v>8441</v>
      </c>
      <c r="C4520" t="s">
        <v>628</v>
      </c>
      <c r="D4520" t="s">
        <v>9014</v>
      </c>
      <c r="E4520" t="s">
        <v>75</v>
      </c>
    </row>
    <row r="4521" spans="1:5" x14ac:dyDescent="0.3">
      <c r="A4521" t="s">
        <v>38</v>
      </c>
      <c r="B4521" t="s">
        <v>4290</v>
      </c>
      <c r="C4521" t="s">
        <v>457</v>
      </c>
      <c r="D4521" t="s">
        <v>10295</v>
      </c>
      <c r="E4521" t="s">
        <v>75</v>
      </c>
    </row>
    <row r="4522" spans="1:5" x14ac:dyDescent="0.3">
      <c r="A4522" t="s">
        <v>153</v>
      </c>
      <c r="B4522" t="s">
        <v>10297</v>
      </c>
      <c r="C4522" t="s">
        <v>457</v>
      </c>
      <c r="D4522" t="s">
        <v>10296</v>
      </c>
      <c r="E4522" t="s">
        <v>75</v>
      </c>
    </row>
    <row r="4523" spans="1:5" x14ac:dyDescent="0.3">
      <c r="A4523" t="s">
        <v>7730</v>
      </c>
      <c r="B4523" t="s">
        <v>5278</v>
      </c>
      <c r="C4523" t="s">
        <v>467</v>
      </c>
      <c r="D4523" t="s">
        <v>10298</v>
      </c>
      <c r="E4523" t="s">
        <v>75</v>
      </c>
    </row>
    <row r="4524" spans="1:5" x14ac:dyDescent="0.3">
      <c r="A4524" t="s">
        <v>4781</v>
      </c>
      <c r="B4524" t="s">
        <v>3302</v>
      </c>
      <c r="C4524" t="s">
        <v>460</v>
      </c>
      <c r="D4524" t="s">
        <v>10299</v>
      </c>
      <c r="E4524" t="s">
        <v>75</v>
      </c>
    </row>
    <row r="4525" spans="1:5" x14ac:dyDescent="0.3">
      <c r="A4525" t="s">
        <v>66</v>
      </c>
      <c r="B4525" t="s">
        <v>10301</v>
      </c>
      <c r="C4525" t="s">
        <v>461</v>
      </c>
      <c r="D4525" t="s">
        <v>10300</v>
      </c>
      <c r="E4525" t="s">
        <v>75</v>
      </c>
    </row>
    <row r="4526" spans="1:5" x14ac:dyDescent="0.3">
      <c r="A4526" t="s">
        <v>1988</v>
      </c>
      <c r="B4526" t="s">
        <v>4533</v>
      </c>
      <c r="C4526" t="s">
        <v>467</v>
      </c>
      <c r="D4526" t="s">
        <v>10302</v>
      </c>
      <c r="E4526" t="s">
        <v>5931</v>
      </c>
    </row>
    <row r="4527" spans="1:5" x14ac:dyDescent="0.3">
      <c r="A4527" t="s">
        <v>79</v>
      </c>
      <c r="B4527" t="s">
        <v>4950</v>
      </c>
      <c r="C4527" t="s">
        <v>459</v>
      </c>
      <c r="D4527" t="s">
        <v>10305</v>
      </c>
      <c r="E4527" t="s">
        <v>75</v>
      </c>
    </row>
    <row r="4528" spans="1:5" x14ac:dyDescent="0.3">
      <c r="A4528" t="s">
        <v>1286</v>
      </c>
      <c r="B4528" t="s">
        <v>6540</v>
      </c>
      <c r="C4528" t="s">
        <v>10306</v>
      </c>
      <c r="D4528" t="s">
        <v>10305</v>
      </c>
      <c r="E4528" t="s">
        <v>75</v>
      </c>
    </row>
    <row r="4529" spans="1:5" x14ac:dyDescent="0.3">
      <c r="A4529" t="s">
        <v>1822</v>
      </c>
      <c r="B4529" t="s">
        <v>10307</v>
      </c>
      <c r="C4529" t="s">
        <v>461</v>
      </c>
      <c r="D4529" t="s">
        <v>7594</v>
      </c>
      <c r="E4529" t="s">
        <v>75</v>
      </c>
    </row>
    <row r="4530" spans="1:5" x14ac:dyDescent="0.3">
      <c r="A4530" t="s">
        <v>3730</v>
      </c>
      <c r="B4530" t="s">
        <v>221</v>
      </c>
      <c r="C4530" t="s">
        <v>10309</v>
      </c>
      <c r="D4530" t="s">
        <v>10308</v>
      </c>
      <c r="E4530" t="s">
        <v>75</v>
      </c>
    </row>
    <row r="4531" spans="1:5" x14ac:dyDescent="0.3">
      <c r="A4531" t="s">
        <v>5555</v>
      </c>
      <c r="B4531" t="s">
        <v>4763</v>
      </c>
      <c r="C4531" t="s">
        <v>10310</v>
      </c>
      <c r="D4531" t="s">
        <v>1682</v>
      </c>
      <c r="E4531" t="s">
        <v>841</v>
      </c>
    </row>
    <row r="4532" spans="1:5" x14ac:dyDescent="0.3">
      <c r="A4532" t="s">
        <v>411</v>
      </c>
      <c r="B4532" t="s">
        <v>10312</v>
      </c>
      <c r="C4532" t="s">
        <v>10311</v>
      </c>
      <c r="D4532" t="s">
        <v>2764</v>
      </c>
      <c r="E4532" t="s">
        <v>774</v>
      </c>
    </row>
    <row r="4533" spans="1:5" x14ac:dyDescent="0.3">
      <c r="A4533" t="s">
        <v>4775</v>
      </c>
      <c r="B4533" t="s">
        <v>1328</v>
      </c>
      <c r="C4533" t="s">
        <v>720</v>
      </c>
      <c r="D4533" t="s">
        <v>2764</v>
      </c>
      <c r="E4533" t="s">
        <v>774</v>
      </c>
    </row>
    <row r="4534" spans="1:5" x14ac:dyDescent="0.3">
      <c r="A4534" t="s">
        <v>342</v>
      </c>
      <c r="B4534" t="s">
        <v>8520</v>
      </c>
      <c r="C4534" t="s">
        <v>455</v>
      </c>
      <c r="D4534" t="s">
        <v>10313</v>
      </c>
      <c r="E4534" t="s">
        <v>75</v>
      </c>
    </row>
    <row r="4535" spans="1:5" x14ac:dyDescent="0.3">
      <c r="A4535" t="s">
        <v>190</v>
      </c>
      <c r="B4535" t="s">
        <v>152</v>
      </c>
      <c r="C4535" t="s">
        <v>459</v>
      </c>
      <c r="D4535" t="s">
        <v>10313</v>
      </c>
      <c r="E4535" t="s">
        <v>75</v>
      </c>
    </row>
    <row r="4536" spans="1:5" x14ac:dyDescent="0.3">
      <c r="A4536" t="s">
        <v>185</v>
      </c>
      <c r="B4536" t="s">
        <v>4957</v>
      </c>
      <c r="C4536" t="s">
        <v>10314</v>
      </c>
      <c r="D4536" t="s">
        <v>10313</v>
      </c>
      <c r="E4536" t="s">
        <v>75</v>
      </c>
    </row>
    <row r="4537" spans="1:5" x14ac:dyDescent="0.3">
      <c r="A4537" t="s">
        <v>190</v>
      </c>
      <c r="B4537" t="s">
        <v>10316</v>
      </c>
      <c r="C4537" t="s">
        <v>5532</v>
      </c>
      <c r="D4537" t="s">
        <v>10315</v>
      </c>
      <c r="E4537" t="s">
        <v>75</v>
      </c>
    </row>
    <row r="4538" spans="1:5" x14ac:dyDescent="0.3">
      <c r="A4538" t="s">
        <v>10318</v>
      </c>
      <c r="B4538" t="s">
        <v>2701</v>
      </c>
      <c r="C4538" t="s">
        <v>628</v>
      </c>
      <c r="D4538" t="s">
        <v>10317</v>
      </c>
      <c r="E4538" t="s">
        <v>75</v>
      </c>
    </row>
    <row r="4539" spans="1:5" x14ac:dyDescent="0.3">
      <c r="A4539" t="s">
        <v>1018</v>
      </c>
      <c r="B4539" t="s">
        <v>10320</v>
      </c>
      <c r="C4539" t="s">
        <v>467</v>
      </c>
      <c r="D4539" t="s">
        <v>10319</v>
      </c>
      <c r="E4539" t="s">
        <v>75</v>
      </c>
    </row>
    <row r="4540" spans="1:5" x14ac:dyDescent="0.3">
      <c r="A4540" t="s">
        <v>1171</v>
      </c>
      <c r="B4540" t="s">
        <v>942</v>
      </c>
      <c r="C4540" t="s">
        <v>10322</v>
      </c>
      <c r="D4540" t="s">
        <v>10321</v>
      </c>
      <c r="E4540" t="s">
        <v>75</v>
      </c>
    </row>
    <row r="4541" spans="1:5" x14ac:dyDescent="0.3">
      <c r="A4541" t="s">
        <v>177</v>
      </c>
      <c r="B4541" t="s">
        <v>131</v>
      </c>
      <c r="C4541" t="s">
        <v>467</v>
      </c>
      <c r="D4541" t="s">
        <v>10323</v>
      </c>
      <c r="E4541" t="s">
        <v>75</v>
      </c>
    </row>
    <row r="4542" spans="1:5" x14ac:dyDescent="0.3">
      <c r="A4542" t="s">
        <v>1304</v>
      </c>
      <c r="B4542" t="s">
        <v>10325</v>
      </c>
      <c r="C4542" t="s">
        <v>10324</v>
      </c>
      <c r="D4542" t="s">
        <v>2435</v>
      </c>
      <c r="E4542" t="s">
        <v>75</v>
      </c>
    </row>
    <row r="4543" spans="1:5" x14ac:dyDescent="0.3">
      <c r="A4543" t="s">
        <v>1334</v>
      </c>
      <c r="B4543" t="s">
        <v>4365</v>
      </c>
      <c r="C4543" t="s">
        <v>5766</v>
      </c>
      <c r="D4543" t="s">
        <v>10326</v>
      </c>
      <c r="E4543" t="s">
        <v>75</v>
      </c>
    </row>
    <row r="4544" spans="1:5" x14ac:dyDescent="0.3">
      <c r="A4544" t="s">
        <v>10328</v>
      </c>
      <c r="B4544" t="s">
        <v>10329</v>
      </c>
      <c r="C4544" t="s">
        <v>460</v>
      </c>
      <c r="D4544" t="s">
        <v>10327</v>
      </c>
      <c r="E4544" t="s">
        <v>75</v>
      </c>
    </row>
    <row r="4545" spans="1:5" x14ac:dyDescent="0.3">
      <c r="A4545" t="s">
        <v>10331</v>
      </c>
      <c r="B4545" t="s">
        <v>10332</v>
      </c>
      <c r="C4545" t="s">
        <v>467</v>
      </c>
      <c r="D4545" t="s">
        <v>10330</v>
      </c>
      <c r="E4545" t="s">
        <v>75</v>
      </c>
    </row>
    <row r="4546" spans="1:5" x14ac:dyDescent="0.3">
      <c r="A4546" t="s">
        <v>41</v>
      </c>
      <c r="B4546" t="s">
        <v>10335</v>
      </c>
      <c r="C4546" t="s">
        <v>10334</v>
      </c>
      <c r="D4546" t="s">
        <v>10333</v>
      </c>
      <c r="E4546" t="s">
        <v>75</v>
      </c>
    </row>
    <row r="4547" spans="1:5" x14ac:dyDescent="0.3">
      <c r="A4547" t="s">
        <v>102</v>
      </c>
      <c r="B4547" t="s">
        <v>3558</v>
      </c>
      <c r="C4547" t="s">
        <v>6044</v>
      </c>
      <c r="D4547" t="s">
        <v>10336</v>
      </c>
      <c r="E4547" t="s">
        <v>75</v>
      </c>
    </row>
    <row r="4548" spans="1:5" x14ac:dyDescent="0.3">
      <c r="A4548" t="s">
        <v>100</v>
      </c>
      <c r="B4548" t="s">
        <v>10338</v>
      </c>
      <c r="C4548" t="s">
        <v>467</v>
      </c>
      <c r="D4548" t="s">
        <v>10337</v>
      </c>
      <c r="E4548" t="s">
        <v>75</v>
      </c>
    </row>
    <row r="4549" spans="1:5" x14ac:dyDescent="0.3">
      <c r="A4549" t="s">
        <v>1548</v>
      </c>
      <c r="B4549" t="s">
        <v>1055</v>
      </c>
      <c r="C4549" t="s">
        <v>467</v>
      </c>
      <c r="D4549" t="s">
        <v>10337</v>
      </c>
      <c r="E4549" t="s">
        <v>75</v>
      </c>
    </row>
    <row r="4550" spans="1:5" x14ac:dyDescent="0.3">
      <c r="A4550" t="s">
        <v>230</v>
      </c>
      <c r="B4550" t="s">
        <v>1738</v>
      </c>
      <c r="C4550" t="s">
        <v>460</v>
      </c>
      <c r="D4550" t="s">
        <v>10339</v>
      </c>
      <c r="E4550" t="s">
        <v>75</v>
      </c>
    </row>
    <row r="4551" spans="1:5" x14ac:dyDescent="0.3">
      <c r="A4551" t="s">
        <v>20</v>
      </c>
      <c r="B4551" t="s">
        <v>8646</v>
      </c>
      <c r="C4551" t="s">
        <v>467</v>
      </c>
      <c r="D4551" t="s">
        <v>10340</v>
      </c>
      <c r="E4551" t="s">
        <v>75</v>
      </c>
    </row>
    <row r="4552" spans="1:5" x14ac:dyDescent="0.3">
      <c r="A4552" t="s">
        <v>66</v>
      </c>
      <c r="B4552" t="s">
        <v>10342</v>
      </c>
      <c r="C4552" t="s">
        <v>467</v>
      </c>
      <c r="D4552" t="s">
        <v>10341</v>
      </c>
      <c r="E4552" t="s">
        <v>75</v>
      </c>
    </row>
    <row r="4553" spans="1:5" x14ac:dyDescent="0.3">
      <c r="A4553" t="s">
        <v>132</v>
      </c>
      <c r="B4553" t="s">
        <v>927</v>
      </c>
      <c r="C4553" t="s">
        <v>460</v>
      </c>
      <c r="D4553" t="s">
        <v>10341</v>
      </c>
      <c r="E4553" t="s">
        <v>75</v>
      </c>
    </row>
    <row r="4554" spans="1:5" x14ac:dyDescent="0.3">
      <c r="A4554" t="s">
        <v>190</v>
      </c>
      <c r="B4554" t="s">
        <v>10344</v>
      </c>
      <c r="C4554" t="s">
        <v>460</v>
      </c>
      <c r="D4554" t="s">
        <v>10343</v>
      </c>
      <c r="E4554" t="s">
        <v>841</v>
      </c>
    </row>
    <row r="4555" spans="1:5" x14ac:dyDescent="0.3">
      <c r="A4555" t="s">
        <v>10346</v>
      </c>
      <c r="B4555" t="s">
        <v>10348</v>
      </c>
      <c r="C4555" t="s">
        <v>10347</v>
      </c>
      <c r="D4555" t="s">
        <v>10345</v>
      </c>
      <c r="E4555" t="s">
        <v>75</v>
      </c>
    </row>
    <row r="4556" spans="1:5" x14ac:dyDescent="0.3">
      <c r="A4556" t="s">
        <v>342</v>
      </c>
      <c r="B4556" t="s">
        <v>10232</v>
      </c>
      <c r="C4556" t="s">
        <v>3299</v>
      </c>
      <c r="D4556" t="s">
        <v>10349</v>
      </c>
      <c r="E4556" t="s">
        <v>75</v>
      </c>
    </row>
    <row r="4557" spans="1:5" x14ac:dyDescent="0.3">
      <c r="A4557" t="s">
        <v>232</v>
      </c>
      <c r="B4557" t="s">
        <v>10353</v>
      </c>
      <c r="C4557" t="s">
        <v>10352</v>
      </c>
      <c r="D4557" t="s">
        <v>10350</v>
      </c>
      <c r="E4557" t="s">
        <v>75</v>
      </c>
    </row>
    <row r="4558" spans="1:5" x14ac:dyDescent="0.3">
      <c r="A4558" t="s">
        <v>3527</v>
      </c>
      <c r="B4558" t="s">
        <v>4439</v>
      </c>
      <c r="C4558" t="s">
        <v>6069</v>
      </c>
      <c r="D4558" t="s">
        <v>10350</v>
      </c>
      <c r="E4558" t="s">
        <v>75</v>
      </c>
    </row>
    <row r="4559" spans="1:5" x14ac:dyDescent="0.3">
      <c r="A4559" t="s">
        <v>79</v>
      </c>
      <c r="B4559" t="s">
        <v>10355</v>
      </c>
      <c r="C4559" t="s">
        <v>460</v>
      </c>
      <c r="D4559" t="s">
        <v>10354</v>
      </c>
      <c r="E4559" t="s">
        <v>75</v>
      </c>
    </row>
    <row r="4560" spans="1:5" x14ac:dyDescent="0.3">
      <c r="A4560" t="s">
        <v>2367</v>
      </c>
      <c r="B4560" t="s">
        <v>10357</v>
      </c>
      <c r="C4560" t="s">
        <v>461</v>
      </c>
      <c r="D4560" t="s">
        <v>10356</v>
      </c>
      <c r="E4560" t="s">
        <v>75</v>
      </c>
    </row>
    <row r="4561" spans="1:5" x14ac:dyDescent="0.3">
      <c r="A4561" t="s">
        <v>1928</v>
      </c>
      <c r="B4561" t="s">
        <v>10359</v>
      </c>
      <c r="C4561" t="s">
        <v>467</v>
      </c>
      <c r="D4561" t="s">
        <v>10358</v>
      </c>
      <c r="E4561" t="s">
        <v>75</v>
      </c>
    </row>
    <row r="4562" spans="1:5" x14ac:dyDescent="0.3">
      <c r="A4562" t="s">
        <v>10361</v>
      </c>
      <c r="B4562" t="s">
        <v>3580</v>
      </c>
      <c r="C4562" t="s">
        <v>455</v>
      </c>
      <c r="D4562" t="s">
        <v>10360</v>
      </c>
      <c r="E4562" t="s">
        <v>75</v>
      </c>
    </row>
    <row r="4563" spans="1:5" x14ac:dyDescent="0.3">
      <c r="A4563" t="s">
        <v>1047</v>
      </c>
      <c r="B4563" t="s">
        <v>9190</v>
      </c>
      <c r="C4563" t="s">
        <v>460</v>
      </c>
      <c r="D4563" t="s">
        <v>10360</v>
      </c>
      <c r="E4563" t="s">
        <v>75</v>
      </c>
    </row>
    <row r="4564" spans="1:5" x14ac:dyDescent="0.3">
      <c r="A4564" t="s">
        <v>3274</v>
      </c>
      <c r="B4564" t="s">
        <v>10363</v>
      </c>
      <c r="C4564" t="s">
        <v>10362</v>
      </c>
      <c r="D4564" t="s">
        <v>10360</v>
      </c>
      <c r="E4564" t="s">
        <v>75</v>
      </c>
    </row>
    <row r="4565" spans="1:5" x14ac:dyDescent="0.3">
      <c r="A4565" t="s">
        <v>1513</v>
      </c>
      <c r="B4565" t="s">
        <v>10365</v>
      </c>
      <c r="C4565" t="s">
        <v>461</v>
      </c>
      <c r="D4565" t="s">
        <v>10364</v>
      </c>
      <c r="E4565" t="s">
        <v>75</v>
      </c>
    </row>
    <row r="4566" spans="1:5" x14ac:dyDescent="0.3">
      <c r="A4566" t="s">
        <v>113</v>
      </c>
      <c r="B4566" t="s">
        <v>4405</v>
      </c>
      <c r="C4566" t="s">
        <v>451</v>
      </c>
      <c r="D4566" t="s">
        <v>10364</v>
      </c>
      <c r="E4566" t="s">
        <v>75</v>
      </c>
    </row>
    <row r="4567" spans="1:5" x14ac:dyDescent="0.3">
      <c r="A4567" t="s">
        <v>5919</v>
      </c>
      <c r="B4567" t="s">
        <v>10367</v>
      </c>
      <c r="C4567" t="s">
        <v>457</v>
      </c>
      <c r="D4567" t="s">
        <v>10366</v>
      </c>
      <c r="E4567" t="s">
        <v>75</v>
      </c>
    </row>
    <row r="4568" spans="1:5" x14ac:dyDescent="0.3">
      <c r="A4568" t="s">
        <v>150</v>
      </c>
      <c r="B4568" t="s">
        <v>10370</v>
      </c>
      <c r="C4568" t="s">
        <v>467</v>
      </c>
      <c r="D4568" t="s">
        <v>10369</v>
      </c>
      <c r="E4568" t="s">
        <v>75</v>
      </c>
    </row>
    <row r="4569" spans="1:5" x14ac:dyDescent="0.3">
      <c r="A4569" t="s">
        <v>112</v>
      </c>
      <c r="B4569" t="s">
        <v>287</v>
      </c>
      <c r="C4569" t="s">
        <v>862</v>
      </c>
      <c r="D4569" t="s">
        <v>6474</v>
      </c>
      <c r="E4569" t="s">
        <v>897</v>
      </c>
    </row>
    <row r="4570" spans="1:5" x14ac:dyDescent="0.3">
      <c r="A4570" t="s">
        <v>131</v>
      </c>
      <c r="B4570" t="s">
        <v>10372</v>
      </c>
      <c r="C4570" t="s">
        <v>467</v>
      </c>
      <c r="D4570" t="s">
        <v>10371</v>
      </c>
      <c r="E4570" t="s">
        <v>75</v>
      </c>
    </row>
    <row r="4571" spans="1:5" x14ac:dyDescent="0.3">
      <c r="A4571" t="s">
        <v>224</v>
      </c>
      <c r="B4571" t="s">
        <v>10375</v>
      </c>
      <c r="C4571" t="s">
        <v>10374</v>
      </c>
      <c r="D4571" t="s">
        <v>10373</v>
      </c>
      <c r="E4571" t="s">
        <v>75</v>
      </c>
    </row>
    <row r="4572" spans="1:5" x14ac:dyDescent="0.3">
      <c r="A4572" t="s">
        <v>434</v>
      </c>
      <c r="B4572" t="s">
        <v>3179</v>
      </c>
      <c r="C4572" t="s">
        <v>10376</v>
      </c>
      <c r="D4572" t="s">
        <v>10373</v>
      </c>
      <c r="E4572" t="s">
        <v>75</v>
      </c>
    </row>
    <row r="4573" spans="1:5" x14ac:dyDescent="0.3">
      <c r="A4573" t="s">
        <v>116</v>
      </c>
      <c r="B4573" t="s">
        <v>142</v>
      </c>
      <c r="C4573" t="s">
        <v>467</v>
      </c>
      <c r="D4573" t="s">
        <v>10377</v>
      </c>
      <c r="E4573" t="s">
        <v>75</v>
      </c>
    </row>
    <row r="4574" spans="1:5" x14ac:dyDescent="0.3">
      <c r="A4574" t="s">
        <v>177</v>
      </c>
      <c r="B4574" t="s">
        <v>6444</v>
      </c>
      <c r="C4574" t="s">
        <v>455</v>
      </c>
      <c r="D4574" t="s">
        <v>10377</v>
      </c>
      <c r="E4574" t="s">
        <v>75</v>
      </c>
    </row>
    <row r="4575" spans="1:5" x14ac:dyDescent="0.3">
      <c r="A4575" t="s">
        <v>112</v>
      </c>
      <c r="B4575" t="s">
        <v>10379</v>
      </c>
      <c r="C4575" t="s">
        <v>467</v>
      </c>
      <c r="D4575" t="s">
        <v>10378</v>
      </c>
      <c r="E4575" t="s">
        <v>75</v>
      </c>
    </row>
    <row r="4576" spans="1:5" x14ac:dyDescent="0.3">
      <c r="A4576" t="s">
        <v>59</v>
      </c>
      <c r="B4576" t="s">
        <v>10381</v>
      </c>
      <c r="C4576" t="s">
        <v>460</v>
      </c>
      <c r="D4576" t="s">
        <v>10380</v>
      </c>
      <c r="E4576" t="s">
        <v>75</v>
      </c>
    </row>
    <row r="4577" spans="1:5" x14ac:dyDescent="0.3">
      <c r="A4577" t="s">
        <v>182</v>
      </c>
      <c r="B4577" t="s">
        <v>10383</v>
      </c>
      <c r="C4577" t="s">
        <v>467</v>
      </c>
      <c r="D4577" t="s">
        <v>10382</v>
      </c>
      <c r="E4577" t="s">
        <v>75</v>
      </c>
    </row>
    <row r="4578" spans="1:5" x14ac:dyDescent="0.3">
      <c r="A4578" t="s">
        <v>4563</v>
      </c>
      <c r="B4578" t="s">
        <v>10385</v>
      </c>
      <c r="C4578" t="s">
        <v>467</v>
      </c>
      <c r="D4578" t="s">
        <v>10384</v>
      </c>
      <c r="E4578" t="s">
        <v>75</v>
      </c>
    </row>
    <row r="4579" spans="1:5" x14ac:dyDescent="0.3">
      <c r="A4579" t="s">
        <v>222</v>
      </c>
      <c r="B4579" t="s">
        <v>10387</v>
      </c>
      <c r="C4579" t="s">
        <v>467</v>
      </c>
      <c r="D4579" t="s">
        <v>10386</v>
      </c>
      <c r="E4579" t="s">
        <v>75</v>
      </c>
    </row>
    <row r="4580" spans="1:5" x14ac:dyDescent="0.3">
      <c r="A4580" t="s">
        <v>116</v>
      </c>
      <c r="B4580" t="s">
        <v>10390</v>
      </c>
      <c r="C4580" t="s">
        <v>10389</v>
      </c>
      <c r="D4580" t="s">
        <v>10388</v>
      </c>
      <c r="E4580" t="s">
        <v>75</v>
      </c>
    </row>
    <row r="4581" spans="1:5" x14ac:dyDescent="0.3">
      <c r="A4581" t="s">
        <v>1830</v>
      </c>
      <c r="B4581" t="s">
        <v>5486</v>
      </c>
      <c r="C4581" t="s">
        <v>459</v>
      </c>
      <c r="D4581" t="s">
        <v>10391</v>
      </c>
      <c r="E4581" t="s">
        <v>75</v>
      </c>
    </row>
    <row r="4582" spans="1:5" x14ac:dyDescent="0.3">
      <c r="A4582" t="s">
        <v>44</v>
      </c>
      <c r="B4582" t="s">
        <v>5133</v>
      </c>
      <c r="C4582" t="s">
        <v>10393</v>
      </c>
      <c r="D4582" t="s">
        <v>10392</v>
      </c>
      <c r="E4582" t="s">
        <v>75</v>
      </c>
    </row>
    <row r="4583" spans="1:5" x14ac:dyDescent="0.3">
      <c r="A4583" t="s">
        <v>130</v>
      </c>
      <c r="B4583" t="s">
        <v>5197</v>
      </c>
      <c r="C4583" t="s">
        <v>467</v>
      </c>
      <c r="D4583" t="s">
        <v>10394</v>
      </c>
      <c r="E4583" t="s">
        <v>75</v>
      </c>
    </row>
    <row r="4584" spans="1:5" x14ac:dyDescent="0.3">
      <c r="A4584" t="s">
        <v>67</v>
      </c>
      <c r="B4584" t="s">
        <v>10396</v>
      </c>
      <c r="C4584" t="s">
        <v>461</v>
      </c>
      <c r="D4584" t="s">
        <v>10395</v>
      </c>
      <c r="E4584" t="s">
        <v>75</v>
      </c>
    </row>
    <row r="4585" spans="1:5" x14ac:dyDescent="0.3">
      <c r="A4585" t="s">
        <v>2648</v>
      </c>
      <c r="B4585" t="s">
        <v>4419</v>
      </c>
      <c r="C4585" t="s">
        <v>467</v>
      </c>
      <c r="D4585" t="s">
        <v>10397</v>
      </c>
      <c r="E4585" t="s">
        <v>75</v>
      </c>
    </row>
    <row r="4586" spans="1:5" x14ac:dyDescent="0.3">
      <c r="A4586" t="s">
        <v>10400</v>
      </c>
      <c r="B4586" t="s">
        <v>4677</v>
      </c>
      <c r="C4586" t="s">
        <v>10401</v>
      </c>
      <c r="D4586" t="s">
        <v>10399</v>
      </c>
      <c r="E4586" t="s">
        <v>75</v>
      </c>
    </row>
    <row r="4587" spans="1:5" x14ac:dyDescent="0.3">
      <c r="A4587" t="s">
        <v>879</v>
      </c>
      <c r="B4587" t="s">
        <v>5199</v>
      </c>
      <c r="C4587" t="s">
        <v>467</v>
      </c>
      <c r="D4587" t="s">
        <v>10402</v>
      </c>
      <c r="E4587" t="s">
        <v>75</v>
      </c>
    </row>
    <row r="4588" spans="1:5" x14ac:dyDescent="0.3">
      <c r="A4588" t="s">
        <v>2445</v>
      </c>
      <c r="B4588" t="s">
        <v>1627</v>
      </c>
      <c r="C4588" t="s">
        <v>455</v>
      </c>
      <c r="D4588" t="s">
        <v>10403</v>
      </c>
      <c r="E4588" t="s">
        <v>75</v>
      </c>
    </row>
    <row r="4589" spans="1:5" x14ac:dyDescent="0.3">
      <c r="A4589" t="s">
        <v>826</v>
      </c>
      <c r="B4589" t="s">
        <v>10405</v>
      </c>
      <c r="C4589" t="s">
        <v>457</v>
      </c>
      <c r="D4589" t="s">
        <v>10404</v>
      </c>
      <c r="E4589" t="s">
        <v>75</v>
      </c>
    </row>
    <row r="4590" spans="1:5" x14ac:dyDescent="0.3">
      <c r="A4590" t="s">
        <v>31</v>
      </c>
      <c r="B4590" t="s">
        <v>6057</v>
      </c>
      <c r="C4590" t="s">
        <v>10407</v>
      </c>
      <c r="D4590" t="s">
        <v>10406</v>
      </c>
      <c r="E4590" t="s">
        <v>75</v>
      </c>
    </row>
    <row r="4591" spans="1:5" x14ac:dyDescent="0.3">
      <c r="A4591" t="s">
        <v>1825</v>
      </c>
      <c r="B4591" t="s">
        <v>10409</v>
      </c>
      <c r="C4591" t="s">
        <v>467</v>
      </c>
      <c r="D4591" t="s">
        <v>10408</v>
      </c>
      <c r="E4591" t="s">
        <v>75</v>
      </c>
    </row>
    <row r="4592" spans="1:5" x14ac:dyDescent="0.3">
      <c r="A4592" t="s">
        <v>1606</v>
      </c>
      <c r="B4592" t="s">
        <v>3866</v>
      </c>
      <c r="C4592" t="s">
        <v>467</v>
      </c>
    </row>
    <row r="4593" spans="1:5" x14ac:dyDescent="0.3">
      <c r="A4593" t="s">
        <v>271</v>
      </c>
      <c r="B4593" t="s">
        <v>10411</v>
      </c>
      <c r="C4593" t="s">
        <v>467</v>
      </c>
      <c r="D4593" t="s">
        <v>10410</v>
      </c>
      <c r="E4593" t="s">
        <v>75</v>
      </c>
    </row>
    <row r="4594" spans="1:5" x14ac:dyDescent="0.3">
      <c r="A4594" t="s">
        <v>808</v>
      </c>
      <c r="B4594" t="s">
        <v>7578</v>
      </c>
      <c r="C4594" t="s">
        <v>467</v>
      </c>
      <c r="D4594" t="s">
        <v>10412</v>
      </c>
      <c r="E4594" t="s">
        <v>75</v>
      </c>
    </row>
    <row r="4595" spans="1:5" x14ac:dyDescent="0.3">
      <c r="A4595" t="s">
        <v>131</v>
      </c>
      <c r="B4595" t="s">
        <v>10414</v>
      </c>
      <c r="C4595" t="s">
        <v>458</v>
      </c>
      <c r="D4595" t="s">
        <v>10413</v>
      </c>
      <c r="E4595" t="s">
        <v>75</v>
      </c>
    </row>
    <row r="4596" spans="1:5" x14ac:dyDescent="0.3">
      <c r="A4596" t="s">
        <v>1357</v>
      </c>
      <c r="B4596" t="s">
        <v>1432</v>
      </c>
      <c r="C4596" t="s">
        <v>461</v>
      </c>
      <c r="D4596" t="s">
        <v>10415</v>
      </c>
      <c r="E4596" t="s">
        <v>75</v>
      </c>
    </row>
    <row r="4597" spans="1:5" x14ac:dyDescent="0.3">
      <c r="A4597" t="s">
        <v>132</v>
      </c>
      <c r="B4597" t="s">
        <v>985</v>
      </c>
      <c r="C4597" t="s">
        <v>458</v>
      </c>
      <c r="D4597" t="s">
        <v>10416</v>
      </c>
      <c r="E4597" t="s">
        <v>75</v>
      </c>
    </row>
    <row r="4598" spans="1:5" x14ac:dyDescent="0.3">
      <c r="A4598" t="s">
        <v>4169</v>
      </c>
      <c r="B4598" t="s">
        <v>2277</v>
      </c>
      <c r="C4598" t="s">
        <v>467</v>
      </c>
      <c r="D4598" t="s">
        <v>10416</v>
      </c>
      <c r="E4598" t="s">
        <v>75</v>
      </c>
    </row>
    <row r="4599" spans="1:5" x14ac:dyDescent="0.3">
      <c r="A4599" t="s">
        <v>1393</v>
      </c>
      <c r="B4599" t="s">
        <v>6078</v>
      </c>
      <c r="C4599" t="s">
        <v>457</v>
      </c>
      <c r="D4599" t="s">
        <v>10418</v>
      </c>
      <c r="E4599" t="s">
        <v>75</v>
      </c>
    </row>
    <row r="4600" spans="1:5" x14ac:dyDescent="0.3">
      <c r="A4600" t="s">
        <v>339</v>
      </c>
      <c r="B4600" t="s">
        <v>8670</v>
      </c>
      <c r="C4600" t="s">
        <v>4555</v>
      </c>
      <c r="D4600" t="s">
        <v>10421</v>
      </c>
      <c r="E4600" t="s">
        <v>75</v>
      </c>
    </row>
    <row r="4601" spans="1:5" x14ac:dyDescent="0.3">
      <c r="A4601" t="s">
        <v>262</v>
      </c>
      <c r="B4601" t="s">
        <v>10423</v>
      </c>
      <c r="C4601" t="s">
        <v>460</v>
      </c>
      <c r="D4601" t="s">
        <v>10422</v>
      </c>
      <c r="E4601" t="s">
        <v>75</v>
      </c>
    </row>
    <row r="4602" spans="1:5" x14ac:dyDescent="0.3">
      <c r="A4602" t="s">
        <v>251</v>
      </c>
      <c r="B4602" t="s">
        <v>6467</v>
      </c>
      <c r="C4602" t="s">
        <v>461</v>
      </c>
      <c r="D4602" t="s">
        <v>10424</v>
      </c>
      <c r="E4602" t="s">
        <v>75</v>
      </c>
    </row>
    <row r="4603" spans="1:5" x14ac:dyDescent="0.3">
      <c r="A4603" t="s">
        <v>190</v>
      </c>
      <c r="B4603" t="s">
        <v>10426</v>
      </c>
      <c r="C4603" t="s">
        <v>10425</v>
      </c>
      <c r="D4603" t="s">
        <v>10424</v>
      </c>
      <c r="E4603" t="s">
        <v>75</v>
      </c>
    </row>
    <row r="4604" spans="1:5" x14ac:dyDescent="0.3">
      <c r="A4604" t="s">
        <v>3251</v>
      </c>
      <c r="B4604" t="s">
        <v>873</v>
      </c>
      <c r="C4604" t="s">
        <v>456</v>
      </c>
      <c r="D4604" t="s">
        <v>871</v>
      </c>
      <c r="E4604" t="s">
        <v>75</v>
      </c>
    </row>
    <row r="4605" spans="1:5" x14ac:dyDescent="0.3">
      <c r="A4605" t="s">
        <v>82</v>
      </c>
      <c r="B4605" t="s">
        <v>4432</v>
      </c>
      <c r="C4605" t="s">
        <v>10428</v>
      </c>
      <c r="D4605" t="s">
        <v>10427</v>
      </c>
      <c r="E4605" t="s">
        <v>75</v>
      </c>
    </row>
    <row r="4606" spans="1:5" x14ac:dyDescent="0.3">
      <c r="A4606" t="s">
        <v>250</v>
      </c>
      <c r="B4606" t="s">
        <v>10430</v>
      </c>
      <c r="C4606" t="s">
        <v>467</v>
      </c>
      <c r="D4606" t="s">
        <v>10429</v>
      </c>
      <c r="E4606" t="s">
        <v>75</v>
      </c>
    </row>
    <row r="4607" spans="1:5" x14ac:dyDescent="0.3">
      <c r="A4607" t="s">
        <v>50</v>
      </c>
      <c r="B4607" t="s">
        <v>5823</v>
      </c>
      <c r="C4607" t="s">
        <v>460</v>
      </c>
      <c r="D4607" t="s">
        <v>10431</v>
      </c>
      <c r="E4607" t="s">
        <v>75</v>
      </c>
    </row>
    <row r="4608" spans="1:5" x14ac:dyDescent="0.3">
      <c r="A4608" t="s">
        <v>251</v>
      </c>
      <c r="B4608" t="s">
        <v>9868</v>
      </c>
      <c r="C4608" t="s">
        <v>10433</v>
      </c>
      <c r="D4608" t="s">
        <v>10432</v>
      </c>
      <c r="E4608" t="s">
        <v>75</v>
      </c>
    </row>
    <row r="4609" spans="1:5" x14ac:dyDescent="0.3">
      <c r="A4609" t="s">
        <v>160</v>
      </c>
      <c r="B4609" t="s">
        <v>3766</v>
      </c>
      <c r="C4609" t="s">
        <v>467</v>
      </c>
      <c r="D4609" t="s">
        <v>10434</v>
      </c>
      <c r="E4609" t="s">
        <v>75</v>
      </c>
    </row>
    <row r="4610" spans="1:5" x14ac:dyDescent="0.3">
      <c r="A4610" t="s">
        <v>123</v>
      </c>
      <c r="B4610" t="s">
        <v>10436</v>
      </c>
      <c r="C4610" t="s">
        <v>460</v>
      </c>
      <c r="D4610" t="s">
        <v>10435</v>
      </c>
      <c r="E4610" t="s">
        <v>75</v>
      </c>
    </row>
    <row r="4611" spans="1:5" x14ac:dyDescent="0.3">
      <c r="A4611" t="s">
        <v>10437</v>
      </c>
      <c r="B4611" t="s">
        <v>10438</v>
      </c>
      <c r="C4611" t="s">
        <v>467</v>
      </c>
      <c r="D4611" t="s">
        <v>10435</v>
      </c>
      <c r="E4611" t="s">
        <v>75</v>
      </c>
    </row>
    <row r="4612" spans="1:5" x14ac:dyDescent="0.3">
      <c r="A4612" t="s">
        <v>3327</v>
      </c>
      <c r="B4612" t="s">
        <v>10441</v>
      </c>
      <c r="C4612" t="s">
        <v>10440</v>
      </c>
      <c r="D4612" t="s">
        <v>10439</v>
      </c>
      <c r="E4612" t="s">
        <v>75</v>
      </c>
    </row>
    <row r="4613" spans="1:5" x14ac:dyDescent="0.3">
      <c r="A4613" t="s">
        <v>22</v>
      </c>
      <c r="B4613" t="s">
        <v>3346</v>
      </c>
      <c r="C4613" t="s">
        <v>459</v>
      </c>
      <c r="D4613" t="s">
        <v>10442</v>
      </c>
      <c r="E4613" t="s">
        <v>75</v>
      </c>
    </row>
    <row r="4614" spans="1:5" x14ac:dyDescent="0.3">
      <c r="A4614" t="s">
        <v>129</v>
      </c>
      <c r="B4614" t="s">
        <v>10443</v>
      </c>
      <c r="C4614" t="s">
        <v>467</v>
      </c>
      <c r="D4614" t="s">
        <v>10442</v>
      </c>
      <c r="E4614" t="s">
        <v>75</v>
      </c>
    </row>
    <row r="4615" spans="1:5" x14ac:dyDescent="0.3">
      <c r="A4615" t="s">
        <v>5724</v>
      </c>
      <c r="B4615" t="s">
        <v>10446</v>
      </c>
      <c r="C4615" t="s">
        <v>10445</v>
      </c>
      <c r="D4615" t="s">
        <v>10444</v>
      </c>
      <c r="E4615" t="s">
        <v>75</v>
      </c>
    </row>
    <row r="4616" spans="1:5" x14ac:dyDescent="0.3">
      <c r="A4616" t="s">
        <v>9740</v>
      </c>
      <c r="B4616" t="s">
        <v>10449</v>
      </c>
      <c r="C4616" t="s">
        <v>10448</v>
      </c>
      <c r="D4616" t="s">
        <v>10447</v>
      </c>
      <c r="E4616" t="s">
        <v>75</v>
      </c>
    </row>
    <row r="4617" spans="1:5" x14ac:dyDescent="0.3">
      <c r="A4617" t="s">
        <v>864</v>
      </c>
      <c r="B4617" t="s">
        <v>7794</v>
      </c>
      <c r="C4617" t="s">
        <v>460</v>
      </c>
      <c r="D4617" t="s">
        <v>10450</v>
      </c>
      <c r="E4617" t="s">
        <v>75</v>
      </c>
    </row>
    <row r="4618" spans="1:5" x14ac:dyDescent="0.3">
      <c r="A4618" t="s">
        <v>66</v>
      </c>
      <c r="B4618" t="s">
        <v>10453</v>
      </c>
      <c r="C4618" t="s">
        <v>10452</v>
      </c>
      <c r="D4618" t="s">
        <v>10451</v>
      </c>
      <c r="E4618" t="s">
        <v>75</v>
      </c>
    </row>
    <row r="4619" spans="1:5" x14ac:dyDescent="0.3">
      <c r="A4619" t="s">
        <v>5143</v>
      </c>
      <c r="B4619" t="s">
        <v>3455</v>
      </c>
      <c r="C4619" t="s">
        <v>467</v>
      </c>
      <c r="D4619" t="s">
        <v>10454</v>
      </c>
      <c r="E4619" t="s">
        <v>75</v>
      </c>
    </row>
    <row r="4620" spans="1:5" x14ac:dyDescent="0.3">
      <c r="A4620" t="s">
        <v>2485</v>
      </c>
      <c r="B4620" t="s">
        <v>3040</v>
      </c>
      <c r="C4620" t="s">
        <v>10456</v>
      </c>
      <c r="D4620" t="s">
        <v>10455</v>
      </c>
      <c r="E4620" t="s">
        <v>75</v>
      </c>
    </row>
    <row r="4621" spans="1:5" x14ac:dyDescent="0.3">
      <c r="A4621" t="s">
        <v>2481</v>
      </c>
      <c r="B4621" t="s">
        <v>10459</v>
      </c>
      <c r="C4621" t="s">
        <v>10458</v>
      </c>
      <c r="D4621" t="s">
        <v>861</v>
      </c>
      <c r="E4621" t="s">
        <v>75</v>
      </c>
    </row>
    <row r="4622" spans="1:5" x14ac:dyDescent="0.3">
      <c r="A4622" t="s">
        <v>182</v>
      </c>
      <c r="B4622" t="s">
        <v>1143</v>
      </c>
      <c r="C4622" t="s">
        <v>9180</v>
      </c>
      <c r="D4622" t="s">
        <v>861</v>
      </c>
      <c r="E4622" t="s">
        <v>75</v>
      </c>
    </row>
    <row r="4623" spans="1:5" x14ac:dyDescent="0.3">
      <c r="A4623" t="s">
        <v>2574</v>
      </c>
      <c r="B4623" t="s">
        <v>10461</v>
      </c>
      <c r="C4623" t="s">
        <v>7413</v>
      </c>
      <c r="D4623" t="s">
        <v>10460</v>
      </c>
      <c r="E4623" t="s">
        <v>75</v>
      </c>
    </row>
    <row r="4624" spans="1:5" x14ac:dyDescent="0.3">
      <c r="A4624" t="s">
        <v>34</v>
      </c>
      <c r="B4624" t="s">
        <v>10463</v>
      </c>
      <c r="C4624" t="s">
        <v>461</v>
      </c>
      <c r="D4624" t="s">
        <v>10462</v>
      </c>
      <c r="E4624" t="s">
        <v>75</v>
      </c>
    </row>
    <row r="4625" spans="1:5" x14ac:dyDescent="0.3">
      <c r="A4625" t="s">
        <v>38</v>
      </c>
      <c r="B4625" t="s">
        <v>3774</v>
      </c>
      <c r="C4625" t="s">
        <v>457</v>
      </c>
      <c r="D4625" t="s">
        <v>10462</v>
      </c>
      <c r="E4625" t="s">
        <v>75</v>
      </c>
    </row>
    <row r="4626" spans="1:5" x14ac:dyDescent="0.3">
      <c r="A4626" t="s">
        <v>220</v>
      </c>
      <c r="B4626" t="s">
        <v>1731</v>
      </c>
      <c r="C4626" t="s">
        <v>459</v>
      </c>
      <c r="D4626" t="s">
        <v>10464</v>
      </c>
      <c r="E4626" t="s">
        <v>75</v>
      </c>
    </row>
    <row r="4627" spans="1:5" x14ac:dyDescent="0.3">
      <c r="A4627" t="s">
        <v>1824</v>
      </c>
      <c r="B4627" t="s">
        <v>2045</v>
      </c>
      <c r="C4627" t="s">
        <v>451</v>
      </c>
      <c r="D4627" t="s">
        <v>10465</v>
      </c>
      <c r="E4627" t="s">
        <v>75</v>
      </c>
    </row>
    <row r="4628" spans="1:5" x14ac:dyDescent="0.3">
      <c r="A4628" t="s">
        <v>1736</v>
      </c>
      <c r="B4628" t="s">
        <v>10466</v>
      </c>
      <c r="C4628" t="s">
        <v>451</v>
      </c>
      <c r="D4628" t="s">
        <v>6168</v>
      </c>
      <c r="E4628" t="s">
        <v>13062</v>
      </c>
    </row>
    <row r="4629" spans="1:5" x14ac:dyDescent="0.3">
      <c r="A4629" t="s">
        <v>2809</v>
      </c>
      <c r="B4629" t="s">
        <v>354</v>
      </c>
      <c r="C4629" t="s">
        <v>458</v>
      </c>
      <c r="D4629" t="s">
        <v>10467</v>
      </c>
      <c r="E4629" t="s">
        <v>75</v>
      </c>
    </row>
    <row r="4630" spans="1:5" x14ac:dyDescent="0.3">
      <c r="A4630" t="s">
        <v>209</v>
      </c>
      <c r="B4630" t="s">
        <v>10469</v>
      </c>
      <c r="C4630" t="s">
        <v>460</v>
      </c>
      <c r="D4630" t="s">
        <v>10468</v>
      </c>
      <c r="E4630" t="s">
        <v>75</v>
      </c>
    </row>
    <row r="4631" spans="1:5" x14ac:dyDescent="0.3">
      <c r="A4631" t="s">
        <v>331</v>
      </c>
      <c r="B4631" t="s">
        <v>10471</v>
      </c>
      <c r="C4631" t="s">
        <v>460</v>
      </c>
      <c r="D4631" t="s">
        <v>10470</v>
      </c>
      <c r="E4631" t="s">
        <v>75</v>
      </c>
    </row>
    <row r="4632" spans="1:5" x14ac:dyDescent="0.3">
      <c r="A4632" t="s">
        <v>740</v>
      </c>
      <c r="B4632" t="s">
        <v>3997</v>
      </c>
      <c r="C4632" t="s">
        <v>467</v>
      </c>
      <c r="D4632" t="s">
        <v>10472</v>
      </c>
      <c r="E4632" t="s">
        <v>75</v>
      </c>
    </row>
    <row r="4633" spans="1:5" x14ac:dyDescent="0.3">
      <c r="A4633" t="s">
        <v>10474</v>
      </c>
      <c r="B4633" t="s">
        <v>1363</v>
      </c>
      <c r="C4633" t="s">
        <v>10475</v>
      </c>
      <c r="D4633" t="s">
        <v>10473</v>
      </c>
      <c r="E4633" t="s">
        <v>75</v>
      </c>
    </row>
    <row r="4634" spans="1:5" x14ac:dyDescent="0.3">
      <c r="A4634" t="s">
        <v>27</v>
      </c>
      <c r="B4634" t="s">
        <v>1630</v>
      </c>
      <c r="C4634" t="s">
        <v>467</v>
      </c>
      <c r="D4634" t="s">
        <v>10476</v>
      </c>
      <c r="E4634" t="s">
        <v>75</v>
      </c>
    </row>
    <row r="4635" spans="1:5" x14ac:dyDescent="0.3">
      <c r="A4635" t="s">
        <v>220</v>
      </c>
      <c r="B4635" t="s">
        <v>320</v>
      </c>
      <c r="C4635" t="s">
        <v>467</v>
      </c>
      <c r="D4635" t="s">
        <v>10477</v>
      </c>
      <c r="E4635" t="s">
        <v>75</v>
      </c>
    </row>
    <row r="4636" spans="1:5" x14ac:dyDescent="0.3">
      <c r="A4636" t="s">
        <v>160</v>
      </c>
      <c r="B4636" t="s">
        <v>10479</v>
      </c>
      <c r="C4636" t="s">
        <v>461</v>
      </c>
      <c r="D4636" t="s">
        <v>10478</v>
      </c>
      <c r="E4636" t="s">
        <v>75</v>
      </c>
    </row>
    <row r="4637" spans="1:5" x14ac:dyDescent="0.3">
      <c r="A4637" t="s">
        <v>20</v>
      </c>
      <c r="B4637" t="s">
        <v>4896</v>
      </c>
      <c r="C4637" t="s">
        <v>460</v>
      </c>
      <c r="D4637" t="s">
        <v>10478</v>
      </c>
      <c r="E4637" t="s">
        <v>75</v>
      </c>
    </row>
    <row r="4638" spans="1:5" x14ac:dyDescent="0.3">
      <c r="A4638" t="s">
        <v>77</v>
      </c>
      <c r="B4638" t="s">
        <v>10480</v>
      </c>
      <c r="C4638" t="s">
        <v>628</v>
      </c>
      <c r="D4638" t="s">
        <v>10478</v>
      </c>
      <c r="E4638" t="s">
        <v>75</v>
      </c>
    </row>
    <row r="4639" spans="1:5" x14ac:dyDescent="0.3">
      <c r="A4639" t="s">
        <v>860</v>
      </c>
      <c r="B4639" t="s">
        <v>10481</v>
      </c>
      <c r="C4639" t="s">
        <v>454</v>
      </c>
      <c r="D4639" t="s">
        <v>10478</v>
      </c>
      <c r="E4639" t="s">
        <v>75</v>
      </c>
    </row>
    <row r="4640" spans="1:5" x14ac:dyDescent="0.3">
      <c r="A4640" t="s">
        <v>64</v>
      </c>
      <c r="B4640" t="s">
        <v>10483</v>
      </c>
      <c r="C4640" t="s">
        <v>461</v>
      </c>
      <c r="D4640" t="s">
        <v>10482</v>
      </c>
      <c r="E4640" t="s">
        <v>75</v>
      </c>
    </row>
    <row r="4641" spans="1:5" x14ac:dyDescent="0.3">
      <c r="A4641" t="s">
        <v>262</v>
      </c>
      <c r="B4641" t="s">
        <v>3285</v>
      </c>
      <c r="C4641" t="s">
        <v>467</v>
      </c>
      <c r="D4641" t="s">
        <v>10484</v>
      </c>
      <c r="E4641" t="s">
        <v>75</v>
      </c>
    </row>
    <row r="4642" spans="1:5" x14ac:dyDescent="0.3">
      <c r="A4642" t="s">
        <v>77</v>
      </c>
      <c r="B4642" t="s">
        <v>7795</v>
      </c>
      <c r="C4642" t="s">
        <v>467</v>
      </c>
      <c r="D4642" t="s">
        <v>10485</v>
      </c>
      <c r="E4642" t="s">
        <v>75</v>
      </c>
    </row>
    <row r="4643" spans="1:5" x14ac:dyDescent="0.3">
      <c r="A4643" t="s">
        <v>4087</v>
      </c>
      <c r="B4643" t="s">
        <v>3563</v>
      </c>
      <c r="C4643" t="s">
        <v>461</v>
      </c>
    </row>
    <row r="4644" spans="1:5" x14ac:dyDescent="0.3">
      <c r="A4644" t="s">
        <v>1058</v>
      </c>
      <c r="B4644" t="s">
        <v>10487</v>
      </c>
      <c r="C4644" t="s">
        <v>467</v>
      </c>
      <c r="D4644" t="s">
        <v>10486</v>
      </c>
      <c r="E4644" t="s">
        <v>75</v>
      </c>
    </row>
    <row r="4645" spans="1:5" x14ac:dyDescent="0.3">
      <c r="A4645" t="s">
        <v>150</v>
      </c>
      <c r="B4645" t="s">
        <v>1170</v>
      </c>
      <c r="C4645" t="s">
        <v>467</v>
      </c>
      <c r="D4645" t="s">
        <v>10488</v>
      </c>
      <c r="E4645" t="s">
        <v>75</v>
      </c>
    </row>
    <row r="4646" spans="1:5" x14ac:dyDescent="0.3">
      <c r="A4646" t="s">
        <v>875</v>
      </c>
      <c r="B4646" t="s">
        <v>3808</v>
      </c>
      <c r="C4646" t="s">
        <v>459</v>
      </c>
      <c r="D4646" t="s">
        <v>10489</v>
      </c>
      <c r="E4646" t="s">
        <v>75</v>
      </c>
    </row>
    <row r="4647" spans="1:5" x14ac:dyDescent="0.3">
      <c r="A4647" t="s">
        <v>77</v>
      </c>
      <c r="B4647" t="s">
        <v>5358</v>
      </c>
      <c r="C4647" t="s">
        <v>10491</v>
      </c>
      <c r="D4647" t="s">
        <v>10490</v>
      </c>
      <c r="E4647" t="s">
        <v>75</v>
      </c>
    </row>
    <row r="4648" spans="1:5" x14ac:dyDescent="0.3">
      <c r="A4648" t="s">
        <v>126</v>
      </c>
      <c r="B4648" t="s">
        <v>10493</v>
      </c>
      <c r="C4648" t="s">
        <v>862</v>
      </c>
      <c r="D4648" t="s">
        <v>10492</v>
      </c>
      <c r="E4648" t="s">
        <v>75</v>
      </c>
    </row>
    <row r="4649" spans="1:5" x14ac:dyDescent="0.3">
      <c r="A4649" t="s">
        <v>206</v>
      </c>
      <c r="B4649" t="s">
        <v>5672</v>
      </c>
      <c r="C4649" t="s">
        <v>10495</v>
      </c>
      <c r="D4649" t="s">
        <v>10494</v>
      </c>
      <c r="E4649" t="s">
        <v>75</v>
      </c>
    </row>
    <row r="4650" spans="1:5" x14ac:dyDescent="0.3">
      <c r="A4650" t="s">
        <v>206</v>
      </c>
      <c r="B4650" t="s">
        <v>1049</v>
      </c>
      <c r="C4650" t="s">
        <v>10497</v>
      </c>
      <c r="D4650" t="s">
        <v>10496</v>
      </c>
      <c r="E4650" t="s">
        <v>75</v>
      </c>
    </row>
    <row r="4651" spans="1:5" x14ac:dyDescent="0.3">
      <c r="A4651" t="s">
        <v>206</v>
      </c>
      <c r="B4651" t="s">
        <v>1450</v>
      </c>
      <c r="C4651" t="s">
        <v>467</v>
      </c>
      <c r="D4651" t="s">
        <v>10496</v>
      </c>
      <c r="E4651" t="s">
        <v>75</v>
      </c>
    </row>
    <row r="4652" spans="1:5" x14ac:dyDescent="0.3">
      <c r="A4652" t="s">
        <v>3861</v>
      </c>
      <c r="B4652" t="s">
        <v>1281</v>
      </c>
      <c r="C4652" t="s">
        <v>10498</v>
      </c>
      <c r="D4652" t="s">
        <v>10496</v>
      </c>
      <c r="E4652" t="s">
        <v>75</v>
      </c>
    </row>
    <row r="4653" spans="1:5" x14ac:dyDescent="0.3">
      <c r="A4653" t="s">
        <v>100</v>
      </c>
      <c r="B4653" t="s">
        <v>4252</v>
      </c>
      <c r="C4653" t="s">
        <v>10499</v>
      </c>
      <c r="D4653" t="s">
        <v>10496</v>
      </c>
      <c r="E4653" t="s">
        <v>75</v>
      </c>
    </row>
    <row r="4654" spans="1:5" x14ac:dyDescent="0.3">
      <c r="A4654" t="s">
        <v>220</v>
      </c>
      <c r="B4654" t="s">
        <v>6046</v>
      </c>
      <c r="C4654" t="s">
        <v>10499</v>
      </c>
      <c r="D4654" t="s">
        <v>10496</v>
      </c>
      <c r="E4654" t="s">
        <v>75</v>
      </c>
    </row>
    <row r="4655" spans="1:5" x14ac:dyDescent="0.3">
      <c r="A4655" t="s">
        <v>3463</v>
      </c>
      <c r="B4655" t="s">
        <v>3147</v>
      </c>
      <c r="C4655" t="s">
        <v>862</v>
      </c>
      <c r="D4655" t="s">
        <v>10500</v>
      </c>
      <c r="E4655" t="s">
        <v>75</v>
      </c>
    </row>
    <row r="4656" spans="1:5" x14ac:dyDescent="0.3">
      <c r="A4656" t="s">
        <v>1212</v>
      </c>
      <c r="B4656" t="s">
        <v>13072</v>
      </c>
      <c r="C4656" t="s">
        <v>862</v>
      </c>
      <c r="D4656" t="s">
        <v>10500</v>
      </c>
      <c r="E4656" t="s">
        <v>75</v>
      </c>
    </row>
    <row r="4657" spans="1:5" x14ac:dyDescent="0.3">
      <c r="A4657" t="s">
        <v>752</v>
      </c>
      <c r="B4657" t="s">
        <v>10502</v>
      </c>
      <c r="C4657" t="s">
        <v>467</v>
      </c>
      <c r="D4657" t="s">
        <v>10501</v>
      </c>
      <c r="E4657" t="s">
        <v>75</v>
      </c>
    </row>
    <row r="4658" spans="1:5" x14ac:dyDescent="0.3">
      <c r="A4658" t="s">
        <v>7535</v>
      </c>
      <c r="B4658" t="s">
        <v>2377</v>
      </c>
      <c r="C4658" t="s">
        <v>460</v>
      </c>
      <c r="D4658" t="s">
        <v>10501</v>
      </c>
      <c r="E4658" t="s">
        <v>75</v>
      </c>
    </row>
    <row r="4659" spans="1:5" x14ac:dyDescent="0.3">
      <c r="A4659" t="s">
        <v>860</v>
      </c>
      <c r="B4659" t="s">
        <v>3818</v>
      </c>
      <c r="C4659" t="s">
        <v>460</v>
      </c>
      <c r="D4659" t="s">
        <v>10503</v>
      </c>
      <c r="E4659" t="s">
        <v>75</v>
      </c>
    </row>
    <row r="4660" spans="1:5" x14ac:dyDescent="0.3">
      <c r="A4660" t="s">
        <v>860</v>
      </c>
      <c r="B4660" t="s">
        <v>10505</v>
      </c>
      <c r="C4660" t="s">
        <v>467</v>
      </c>
      <c r="D4660" t="s">
        <v>10504</v>
      </c>
      <c r="E4660" t="s">
        <v>75</v>
      </c>
    </row>
    <row r="4661" spans="1:5" x14ac:dyDescent="0.3">
      <c r="A4661" t="s">
        <v>9989</v>
      </c>
      <c r="B4661" t="s">
        <v>1617</v>
      </c>
      <c r="C4661" t="s">
        <v>461</v>
      </c>
      <c r="D4661" t="s">
        <v>10506</v>
      </c>
      <c r="E4661" t="s">
        <v>75</v>
      </c>
    </row>
    <row r="4662" spans="1:5" x14ac:dyDescent="0.3">
      <c r="A4662" t="s">
        <v>29</v>
      </c>
      <c r="B4662" t="s">
        <v>9372</v>
      </c>
      <c r="C4662" t="s">
        <v>10508</v>
      </c>
      <c r="D4662" t="s">
        <v>10507</v>
      </c>
      <c r="E4662" t="s">
        <v>75</v>
      </c>
    </row>
    <row r="4663" spans="1:5" x14ac:dyDescent="0.3">
      <c r="A4663" t="s">
        <v>2849</v>
      </c>
      <c r="B4663" t="s">
        <v>7152</v>
      </c>
      <c r="C4663" t="s">
        <v>10508</v>
      </c>
      <c r="D4663" t="s">
        <v>10507</v>
      </c>
      <c r="E4663" t="s">
        <v>75</v>
      </c>
    </row>
    <row r="4664" spans="1:5" x14ac:dyDescent="0.3">
      <c r="A4664" t="s">
        <v>206</v>
      </c>
      <c r="B4664" t="s">
        <v>83</v>
      </c>
      <c r="C4664" t="s">
        <v>460</v>
      </c>
      <c r="D4664" t="s">
        <v>10507</v>
      </c>
      <c r="E4664" t="s">
        <v>75</v>
      </c>
    </row>
    <row r="4665" spans="1:5" x14ac:dyDescent="0.3">
      <c r="A4665" t="s">
        <v>150</v>
      </c>
      <c r="B4665" t="s">
        <v>10510</v>
      </c>
      <c r="C4665" t="s">
        <v>467</v>
      </c>
      <c r="D4665" t="s">
        <v>10509</v>
      </c>
      <c r="E4665" t="s">
        <v>75</v>
      </c>
    </row>
    <row r="4666" spans="1:5" x14ac:dyDescent="0.3">
      <c r="A4666" t="s">
        <v>290</v>
      </c>
      <c r="B4666" t="s">
        <v>10511</v>
      </c>
      <c r="C4666" t="s">
        <v>457</v>
      </c>
      <c r="D4666" t="s">
        <v>10509</v>
      </c>
      <c r="E4666" t="s">
        <v>75</v>
      </c>
    </row>
    <row r="4667" spans="1:5" x14ac:dyDescent="0.3">
      <c r="A4667" t="s">
        <v>1988</v>
      </c>
      <c r="B4667" t="s">
        <v>6174</v>
      </c>
      <c r="C4667" t="s">
        <v>467</v>
      </c>
      <c r="D4667" t="s">
        <v>10512</v>
      </c>
      <c r="E4667" t="s">
        <v>75</v>
      </c>
    </row>
    <row r="4668" spans="1:5" x14ac:dyDescent="0.3">
      <c r="A4668" t="s">
        <v>38</v>
      </c>
      <c r="B4668" t="s">
        <v>2518</v>
      </c>
      <c r="C4668" t="s">
        <v>10514</v>
      </c>
      <c r="D4668" t="s">
        <v>10513</v>
      </c>
      <c r="E4668" t="s">
        <v>75</v>
      </c>
    </row>
    <row r="4669" spans="1:5" x14ac:dyDescent="0.3">
      <c r="A4669" t="s">
        <v>182</v>
      </c>
      <c r="B4669" t="s">
        <v>3338</v>
      </c>
      <c r="C4669" t="s">
        <v>460</v>
      </c>
      <c r="D4669" t="s">
        <v>10515</v>
      </c>
      <c r="E4669" t="s">
        <v>75</v>
      </c>
    </row>
    <row r="4670" spans="1:5" x14ac:dyDescent="0.3">
      <c r="A4670" t="s">
        <v>150</v>
      </c>
      <c r="B4670" t="s">
        <v>10517</v>
      </c>
      <c r="C4670" t="s">
        <v>467</v>
      </c>
      <c r="D4670" t="s">
        <v>10516</v>
      </c>
      <c r="E4670" t="s">
        <v>75</v>
      </c>
    </row>
    <row r="4671" spans="1:5" x14ac:dyDescent="0.3">
      <c r="A4671" t="s">
        <v>1558</v>
      </c>
      <c r="B4671" t="s">
        <v>4935</v>
      </c>
      <c r="C4671" t="s">
        <v>467</v>
      </c>
      <c r="D4671" t="s">
        <v>10518</v>
      </c>
      <c r="E4671" t="s">
        <v>75</v>
      </c>
    </row>
    <row r="4672" spans="1:5" x14ac:dyDescent="0.3">
      <c r="A4672" t="s">
        <v>2407</v>
      </c>
      <c r="B4672" t="s">
        <v>9629</v>
      </c>
      <c r="C4672" t="s">
        <v>467</v>
      </c>
      <c r="D4672" t="s">
        <v>10519</v>
      </c>
      <c r="E4672" t="s">
        <v>75</v>
      </c>
    </row>
    <row r="4673" spans="1:5" x14ac:dyDescent="0.3">
      <c r="A4673" t="s">
        <v>1921</v>
      </c>
      <c r="B4673" t="s">
        <v>10521</v>
      </c>
      <c r="C4673" t="s">
        <v>460</v>
      </c>
      <c r="D4673" t="s">
        <v>10520</v>
      </c>
      <c r="E4673" t="s">
        <v>75</v>
      </c>
    </row>
    <row r="4674" spans="1:5" x14ac:dyDescent="0.3">
      <c r="A4674" t="s">
        <v>82</v>
      </c>
      <c r="B4674" t="s">
        <v>10523</v>
      </c>
      <c r="C4674" t="s">
        <v>10522</v>
      </c>
      <c r="D4674" t="s">
        <v>4277</v>
      </c>
      <c r="E4674" t="s">
        <v>841</v>
      </c>
    </row>
    <row r="4675" spans="1:5" x14ac:dyDescent="0.3">
      <c r="A4675" t="s">
        <v>3175</v>
      </c>
      <c r="B4675" t="s">
        <v>10525</v>
      </c>
      <c r="C4675" t="s">
        <v>467</v>
      </c>
      <c r="D4675" t="s">
        <v>10524</v>
      </c>
      <c r="E4675" t="s">
        <v>75</v>
      </c>
    </row>
    <row r="4676" spans="1:5" x14ac:dyDescent="0.3">
      <c r="A4676" t="s">
        <v>27</v>
      </c>
      <c r="B4676" t="s">
        <v>2551</v>
      </c>
      <c r="C4676" t="s">
        <v>457</v>
      </c>
      <c r="D4676" t="s">
        <v>10526</v>
      </c>
      <c r="E4676" t="s">
        <v>75</v>
      </c>
    </row>
    <row r="4677" spans="1:5" x14ac:dyDescent="0.3">
      <c r="A4677" t="s">
        <v>138</v>
      </c>
      <c r="B4677" t="s">
        <v>4471</v>
      </c>
      <c r="C4677" t="s">
        <v>460</v>
      </c>
      <c r="D4677" t="s">
        <v>10527</v>
      </c>
      <c r="E4677" t="s">
        <v>75</v>
      </c>
    </row>
    <row r="4678" spans="1:5" x14ac:dyDescent="0.3">
      <c r="A4678" t="s">
        <v>972</v>
      </c>
      <c r="B4678" t="s">
        <v>3489</v>
      </c>
      <c r="C4678" t="s">
        <v>460</v>
      </c>
      <c r="D4678" t="s">
        <v>10528</v>
      </c>
      <c r="E4678" t="s">
        <v>75</v>
      </c>
    </row>
    <row r="4679" spans="1:5" x14ac:dyDescent="0.3">
      <c r="A4679" t="s">
        <v>10529</v>
      </c>
      <c r="B4679" t="s">
        <v>10530</v>
      </c>
      <c r="C4679" t="s">
        <v>862</v>
      </c>
      <c r="D4679" t="s">
        <v>919</v>
      </c>
      <c r="E4679" t="s">
        <v>1</v>
      </c>
    </row>
    <row r="4680" spans="1:5" x14ac:dyDescent="0.3">
      <c r="A4680" t="s">
        <v>111</v>
      </c>
      <c r="B4680" t="s">
        <v>4024</v>
      </c>
      <c r="C4680" t="s">
        <v>467</v>
      </c>
      <c r="D4680" t="s">
        <v>10531</v>
      </c>
      <c r="E4680" t="s">
        <v>75</v>
      </c>
    </row>
    <row r="4681" spans="1:5" x14ac:dyDescent="0.3">
      <c r="A4681" t="s">
        <v>9533</v>
      </c>
      <c r="B4681" t="s">
        <v>3011</v>
      </c>
      <c r="C4681" t="s">
        <v>467</v>
      </c>
      <c r="D4681" t="s">
        <v>10532</v>
      </c>
      <c r="E4681" t="s">
        <v>75</v>
      </c>
    </row>
    <row r="4682" spans="1:5" x14ac:dyDescent="0.3">
      <c r="A4682" t="s">
        <v>4743</v>
      </c>
      <c r="B4682" t="s">
        <v>146</v>
      </c>
      <c r="C4682" t="s">
        <v>459</v>
      </c>
      <c r="D4682" t="s">
        <v>10533</v>
      </c>
      <c r="E4682" t="s">
        <v>75</v>
      </c>
    </row>
    <row r="4683" spans="1:5" x14ac:dyDescent="0.3">
      <c r="A4683" t="s">
        <v>1396</v>
      </c>
      <c r="B4683" t="s">
        <v>1363</v>
      </c>
      <c r="C4683" t="s">
        <v>10534</v>
      </c>
      <c r="D4683" t="s">
        <v>10533</v>
      </c>
      <c r="E4683" t="s">
        <v>75</v>
      </c>
    </row>
    <row r="4684" spans="1:5" x14ac:dyDescent="0.3">
      <c r="A4684" t="s">
        <v>66</v>
      </c>
      <c r="B4684" t="s">
        <v>10537</v>
      </c>
      <c r="C4684" t="s">
        <v>10536</v>
      </c>
      <c r="D4684" t="s">
        <v>10535</v>
      </c>
      <c r="E4684" t="s">
        <v>75</v>
      </c>
    </row>
    <row r="4685" spans="1:5" x14ac:dyDescent="0.3">
      <c r="A4685" t="s">
        <v>67</v>
      </c>
      <c r="B4685" t="s">
        <v>4499</v>
      </c>
      <c r="C4685" t="s">
        <v>461</v>
      </c>
      <c r="D4685" t="s">
        <v>10538</v>
      </c>
      <c r="E4685" t="s">
        <v>75</v>
      </c>
    </row>
    <row r="4686" spans="1:5" x14ac:dyDescent="0.3">
      <c r="A4686" t="s">
        <v>132</v>
      </c>
      <c r="B4686" t="s">
        <v>7203</v>
      </c>
      <c r="C4686" t="s">
        <v>467</v>
      </c>
      <c r="D4686" t="s">
        <v>10539</v>
      </c>
      <c r="E4686" t="s">
        <v>75</v>
      </c>
    </row>
    <row r="4687" spans="1:5" x14ac:dyDescent="0.3">
      <c r="A4687" t="s">
        <v>3090</v>
      </c>
      <c r="B4687" t="s">
        <v>10541</v>
      </c>
      <c r="C4687" t="s">
        <v>461</v>
      </c>
      <c r="D4687" t="s">
        <v>10540</v>
      </c>
      <c r="E4687" t="s">
        <v>75</v>
      </c>
    </row>
    <row r="4688" spans="1:5" x14ac:dyDescent="0.3">
      <c r="A4688" t="s">
        <v>89</v>
      </c>
      <c r="B4688" t="s">
        <v>3162</v>
      </c>
      <c r="C4688" t="s">
        <v>10542</v>
      </c>
      <c r="D4688" t="s">
        <v>10540</v>
      </c>
      <c r="E4688" t="s">
        <v>75</v>
      </c>
    </row>
    <row r="4689" spans="1:5" x14ac:dyDescent="0.3">
      <c r="A4689" t="s">
        <v>2391</v>
      </c>
      <c r="B4689" t="s">
        <v>5049</v>
      </c>
      <c r="C4689" t="s">
        <v>467</v>
      </c>
      <c r="D4689" t="s">
        <v>10543</v>
      </c>
      <c r="E4689" t="s">
        <v>75</v>
      </c>
    </row>
    <row r="4690" spans="1:5" x14ac:dyDescent="0.3">
      <c r="A4690" t="s">
        <v>342</v>
      </c>
      <c r="B4690" t="s">
        <v>10545</v>
      </c>
      <c r="C4690" t="s">
        <v>451</v>
      </c>
      <c r="D4690" t="s">
        <v>10544</v>
      </c>
      <c r="E4690" t="s">
        <v>75</v>
      </c>
    </row>
    <row r="4691" spans="1:5" x14ac:dyDescent="0.3">
      <c r="A4691" t="s">
        <v>3327</v>
      </c>
      <c r="B4691" t="s">
        <v>10546</v>
      </c>
      <c r="C4691" t="s">
        <v>458</v>
      </c>
      <c r="D4691" t="s">
        <v>10544</v>
      </c>
      <c r="E4691" t="s">
        <v>75</v>
      </c>
    </row>
    <row r="4692" spans="1:5" x14ac:dyDescent="0.3">
      <c r="A4692" t="s">
        <v>195</v>
      </c>
      <c r="B4692" t="s">
        <v>1291</v>
      </c>
      <c r="C4692" t="s">
        <v>3555</v>
      </c>
      <c r="D4692" t="s">
        <v>10544</v>
      </c>
      <c r="E4692" t="s">
        <v>75</v>
      </c>
    </row>
    <row r="4693" spans="1:5" x14ac:dyDescent="0.3">
      <c r="A4693" t="s">
        <v>7356</v>
      </c>
      <c r="B4693" t="s">
        <v>956</v>
      </c>
      <c r="C4693" t="s">
        <v>467</v>
      </c>
      <c r="D4693" t="s">
        <v>10547</v>
      </c>
      <c r="E4693" t="s">
        <v>75</v>
      </c>
    </row>
    <row r="4694" spans="1:5" x14ac:dyDescent="0.3">
      <c r="A4694" t="s">
        <v>44</v>
      </c>
      <c r="B4694" t="s">
        <v>3541</v>
      </c>
      <c r="C4694" t="s">
        <v>628</v>
      </c>
      <c r="D4694" t="s">
        <v>10548</v>
      </c>
      <c r="E4694" t="s">
        <v>75</v>
      </c>
    </row>
    <row r="4695" spans="1:5" x14ac:dyDescent="0.3">
      <c r="A4695" t="s">
        <v>108</v>
      </c>
      <c r="B4695" t="s">
        <v>3720</v>
      </c>
      <c r="C4695" t="s">
        <v>459</v>
      </c>
      <c r="D4695" t="s">
        <v>10548</v>
      </c>
      <c r="E4695" t="s">
        <v>75</v>
      </c>
    </row>
    <row r="4696" spans="1:5" x14ac:dyDescent="0.3">
      <c r="A4696" t="s">
        <v>184</v>
      </c>
      <c r="B4696" t="s">
        <v>10550</v>
      </c>
      <c r="C4696" t="s">
        <v>460</v>
      </c>
      <c r="D4696" t="s">
        <v>10549</v>
      </c>
      <c r="E4696" t="s">
        <v>75</v>
      </c>
    </row>
    <row r="4697" spans="1:5" x14ac:dyDescent="0.3">
      <c r="A4697" t="s">
        <v>63</v>
      </c>
      <c r="B4697" t="s">
        <v>10552</v>
      </c>
      <c r="C4697" t="s">
        <v>461</v>
      </c>
      <c r="D4697" t="s">
        <v>10552</v>
      </c>
      <c r="E4697" t="s">
        <v>75</v>
      </c>
    </row>
    <row r="4698" spans="1:5" x14ac:dyDescent="0.3">
      <c r="A4698" t="s">
        <v>1829</v>
      </c>
      <c r="B4698" t="s">
        <v>10553</v>
      </c>
      <c r="C4698" t="s">
        <v>9180</v>
      </c>
      <c r="D4698" t="s">
        <v>5796</v>
      </c>
      <c r="E4698" t="s">
        <v>2175</v>
      </c>
    </row>
    <row r="4699" spans="1:5" x14ac:dyDescent="0.3">
      <c r="A4699" t="s">
        <v>230</v>
      </c>
      <c r="B4699" t="s">
        <v>10555</v>
      </c>
      <c r="C4699" t="s">
        <v>862</v>
      </c>
      <c r="D4699" t="s">
        <v>5796</v>
      </c>
      <c r="E4699" t="s">
        <v>2175</v>
      </c>
    </row>
    <row r="4700" spans="1:5" x14ac:dyDescent="0.3">
      <c r="A4700" t="s">
        <v>190</v>
      </c>
      <c r="B4700" t="s">
        <v>10558</v>
      </c>
      <c r="C4700" t="s">
        <v>10557</v>
      </c>
      <c r="D4700" t="s">
        <v>10556</v>
      </c>
      <c r="E4700" t="s">
        <v>75</v>
      </c>
    </row>
    <row r="4701" spans="1:5" x14ac:dyDescent="0.3">
      <c r="A4701" t="s">
        <v>27</v>
      </c>
      <c r="B4701" t="s">
        <v>8394</v>
      </c>
      <c r="C4701" t="s">
        <v>862</v>
      </c>
      <c r="D4701" t="s">
        <v>10559</v>
      </c>
      <c r="E4701" t="s">
        <v>841</v>
      </c>
    </row>
    <row r="4702" spans="1:5" x14ac:dyDescent="0.3">
      <c r="A4702" t="s">
        <v>1745</v>
      </c>
      <c r="B4702" t="s">
        <v>2095</v>
      </c>
      <c r="C4702" t="s">
        <v>461</v>
      </c>
      <c r="D4702" t="s">
        <v>10560</v>
      </c>
      <c r="E4702" t="s">
        <v>75</v>
      </c>
    </row>
    <row r="4703" spans="1:5" x14ac:dyDescent="0.3">
      <c r="A4703" t="s">
        <v>3112</v>
      </c>
      <c r="B4703" t="s">
        <v>10562</v>
      </c>
      <c r="C4703" t="s">
        <v>461</v>
      </c>
      <c r="D4703" t="s">
        <v>10561</v>
      </c>
      <c r="E4703" t="s">
        <v>75</v>
      </c>
    </row>
    <row r="4704" spans="1:5" x14ac:dyDescent="0.3">
      <c r="A4704" t="s">
        <v>13073</v>
      </c>
      <c r="B4704" t="s">
        <v>10563</v>
      </c>
      <c r="C4704" t="s">
        <v>467</v>
      </c>
      <c r="D4704" t="s">
        <v>10561</v>
      </c>
      <c r="E4704" t="s">
        <v>75</v>
      </c>
    </row>
    <row r="4705" spans="1:5" x14ac:dyDescent="0.3">
      <c r="A4705" t="s">
        <v>3447</v>
      </c>
      <c r="B4705" t="s">
        <v>10564</v>
      </c>
      <c r="C4705" t="s">
        <v>459</v>
      </c>
      <c r="D4705" t="s">
        <v>10561</v>
      </c>
      <c r="E4705" t="s">
        <v>75</v>
      </c>
    </row>
    <row r="4706" spans="1:5" x14ac:dyDescent="0.3">
      <c r="A4706" t="s">
        <v>195</v>
      </c>
      <c r="B4706" t="s">
        <v>2079</v>
      </c>
      <c r="C4706" t="s">
        <v>461</v>
      </c>
      <c r="D4706" t="s">
        <v>10561</v>
      </c>
      <c r="E4706" t="s">
        <v>75</v>
      </c>
    </row>
    <row r="4707" spans="1:5" x14ac:dyDescent="0.3">
      <c r="A4707" t="s">
        <v>3062</v>
      </c>
      <c r="B4707" t="s">
        <v>10566</v>
      </c>
      <c r="C4707" t="s">
        <v>467</v>
      </c>
      <c r="D4707" t="s">
        <v>10565</v>
      </c>
      <c r="E4707" t="s">
        <v>75</v>
      </c>
    </row>
    <row r="4708" spans="1:5" x14ac:dyDescent="0.3">
      <c r="A4708" t="s">
        <v>10568</v>
      </c>
      <c r="B4708" t="s">
        <v>5048</v>
      </c>
      <c r="C4708" t="s">
        <v>10569</v>
      </c>
      <c r="D4708" t="s">
        <v>10567</v>
      </c>
      <c r="E4708" t="s">
        <v>75</v>
      </c>
    </row>
    <row r="4709" spans="1:5" x14ac:dyDescent="0.3">
      <c r="A4709" t="s">
        <v>6014</v>
      </c>
      <c r="B4709" t="s">
        <v>10571</v>
      </c>
      <c r="C4709" t="s">
        <v>461</v>
      </c>
      <c r="D4709" t="s">
        <v>10570</v>
      </c>
      <c r="E4709" t="s">
        <v>75</v>
      </c>
    </row>
    <row r="4710" spans="1:5" x14ac:dyDescent="0.3">
      <c r="A4710" t="s">
        <v>10573</v>
      </c>
      <c r="B4710" t="s">
        <v>1824</v>
      </c>
      <c r="C4710" t="s">
        <v>467</v>
      </c>
      <c r="D4710" t="s">
        <v>10572</v>
      </c>
      <c r="E4710" t="s">
        <v>75</v>
      </c>
    </row>
    <row r="4711" spans="1:5" x14ac:dyDescent="0.3">
      <c r="A4711" t="s">
        <v>3274</v>
      </c>
      <c r="B4711" t="s">
        <v>10457</v>
      </c>
      <c r="C4711" t="s">
        <v>2931</v>
      </c>
      <c r="D4711" t="s">
        <v>10574</v>
      </c>
      <c r="E4711" t="s">
        <v>75</v>
      </c>
    </row>
    <row r="4712" spans="1:5" x14ac:dyDescent="0.3">
      <c r="A4712" t="s">
        <v>434</v>
      </c>
      <c r="B4712" t="s">
        <v>4605</v>
      </c>
      <c r="C4712" t="s">
        <v>461</v>
      </c>
      <c r="D4712" t="s">
        <v>10575</v>
      </c>
      <c r="E4712" t="s">
        <v>75</v>
      </c>
    </row>
    <row r="4713" spans="1:5" x14ac:dyDescent="0.3">
      <c r="A4713" t="s">
        <v>14</v>
      </c>
      <c r="B4713" t="s">
        <v>3180</v>
      </c>
      <c r="C4713" t="s">
        <v>459</v>
      </c>
      <c r="D4713" t="s">
        <v>10576</v>
      </c>
      <c r="E4713" t="s">
        <v>75</v>
      </c>
    </row>
    <row r="4714" spans="1:5" x14ac:dyDescent="0.3">
      <c r="A4714" t="s">
        <v>339</v>
      </c>
      <c r="B4714" t="s">
        <v>10578</v>
      </c>
      <c r="C4714" t="s">
        <v>467</v>
      </c>
      <c r="D4714" t="s">
        <v>10577</v>
      </c>
      <c r="E4714" t="s">
        <v>75</v>
      </c>
    </row>
    <row r="4715" spans="1:5" x14ac:dyDescent="0.3">
      <c r="A4715" t="s">
        <v>150</v>
      </c>
      <c r="B4715" t="s">
        <v>158</v>
      </c>
      <c r="C4715" t="s">
        <v>461</v>
      </c>
      <c r="D4715" t="s">
        <v>10577</v>
      </c>
      <c r="E4715" t="s">
        <v>75</v>
      </c>
    </row>
    <row r="4716" spans="1:5" x14ac:dyDescent="0.3">
      <c r="A4716" t="s">
        <v>224</v>
      </c>
      <c r="B4716" t="s">
        <v>10580</v>
      </c>
      <c r="C4716" t="s">
        <v>6118</v>
      </c>
      <c r="D4716" t="s">
        <v>10579</v>
      </c>
      <c r="E4716" t="s">
        <v>75</v>
      </c>
    </row>
    <row r="4717" spans="1:5" x14ac:dyDescent="0.3">
      <c r="A4717" t="s">
        <v>10582</v>
      </c>
      <c r="B4717" t="s">
        <v>10583</v>
      </c>
      <c r="C4717" t="s">
        <v>461</v>
      </c>
      <c r="D4717" t="s">
        <v>10581</v>
      </c>
      <c r="E4717" t="s">
        <v>75</v>
      </c>
    </row>
    <row r="4718" spans="1:5" x14ac:dyDescent="0.3">
      <c r="A4718" t="s">
        <v>10585</v>
      </c>
      <c r="B4718" t="s">
        <v>10586</v>
      </c>
      <c r="C4718" t="s">
        <v>460</v>
      </c>
      <c r="D4718" t="s">
        <v>10584</v>
      </c>
      <c r="E4718" t="s">
        <v>75</v>
      </c>
    </row>
    <row r="4719" spans="1:5" x14ac:dyDescent="0.3">
      <c r="A4719" t="s">
        <v>160</v>
      </c>
      <c r="B4719" t="s">
        <v>1212</v>
      </c>
      <c r="C4719" t="s">
        <v>461</v>
      </c>
      <c r="D4719" t="s">
        <v>10587</v>
      </c>
      <c r="E4719" t="s">
        <v>75</v>
      </c>
    </row>
    <row r="4720" spans="1:5" x14ac:dyDescent="0.3">
      <c r="A4720" t="s">
        <v>66</v>
      </c>
      <c r="B4720" t="s">
        <v>10590</v>
      </c>
      <c r="C4720" t="s">
        <v>10589</v>
      </c>
      <c r="D4720" t="s">
        <v>10588</v>
      </c>
      <c r="E4720" t="s">
        <v>75</v>
      </c>
    </row>
    <row r="4721" spans="1:5" x14ac:dyDescent="0.3">
      <c r="A4721" t="s">
        <v>20</v>
      </c>
      <c r="B4721" t="s">
        <v>10593</v>
      </c>
      <c r="C4721" t="s">
        <v>10592</v>
      </c>
      <c r="D4721" t="s">
        <v>10591</v>
      </c>
      <c r="E4721" t="s">
        <v>75</v>
      </c>
    </row>
    <row r="4722" spans="1:5" x14ac:dyDescent="0.3">
      <c r="A4722" t="s">
        <v>5555</v>
      </c>
      <c r="B4722" t="s">
        <v>10594</v>
      </c>
      <c r="C4722" t="s">
        <v>460</v>
      </c>
      <c r="D4722" t="s">
        <v>10591</v>
      </c>
      <c r="E4722" t="s">
        <v>75</v>
      </c>
    </row>
    <row r="4723" spans="1:5" x14ac:dyDescent="0.3">
      <c r="A4723" t="s">
        <v>7093</v>
      </c>
      <c r="B4723" t="s">
        <v>3860</v>
      </c>
      <c r="C4723" t="s">
        <v>467</v>
      </c>
      <c r="D4723" t="s">
        <v>10595</v>
      </c>
      <c r="E4723" t="s">
        <v>75</v>
      </c>
    </row>
    <row r="4724" spans="1:5" x14ac:dyDescent="0.3">
      <c r="A4724" t="s">
        <v>8295</v>
      </c>
      <c r="B4724" t="s">
        <v>2613</v>
      </c>
      <c r="C4724" t="s">
        <v>467</v>
      </c>
      <c r="D4724" t="s">
        <v>10596</v>
      </c>
      <c r="E4724" t="s">
        <v>75</v>
      </c>
    </row>
    <row r="4725" spans="1:5" x14ac:dyDescent="0.3">
      <c r="A4725" t="s">
        <v>50</v>
      </c>
      <c r="B4725" t="s">
        <v>10598</v>
      </c>
      <c r="C4725" t="s">
        <v>461</v>
      </c>
      <c r="D4725" t="s">
        <v>10597</v>
      </c>
      <c r="E4725" t="s">
        <v>75</v>
      </c>
    </row>
    <row r="4726" spans="1:5" x14ac:dyDescent="0.3">
      <c r="A4726" t="s">
        <v>89</v>
      </c>
      <c r="B4726" t="s">
        <v>10600</v>
      </c>
      <c r="C4726" t="s">
        <v>862</v>
      </c>
      <c r="D4726" t="s">
        <v>10599</v>
      </c>
      <c r="E4726" t="s">
        <v>75</v>
      </c>
    </row>
    <row r="4727" spans="1:5" x14ac:dyDescent="0.3">
      <c r="A4727" t="s">
        <v>66</v>
      </c>
      <c r="B4727" t="s">
        <v>10601</v>
      </c>
      <c r="C4727" t="s">
        <v>457</v>
      </c>
      <c r="D4727" t="s">
        <v>10599</v>
      </c>
      <c r="E4727" t="s">
        <v>75</v>
      </c>
    </row>
    <row r="4728" spans="1:5" x14ac:dyDescent="0.3">
      <c r="A4728" t="s">
        <v>880</v>
      </c>
      <c r="B4728" t="s">
        <v>2990</v>
      </c>
      <c r="C4728" t="s">
        <v>467</v>
      </c>
      <c r="D4728" t="s">
        <v>10599</v>
      </c>
      <c r="E4728" t="s">
        <v>75</v>
      </c>
    </row>
    <row r="4729" spans="1:5" x14ac:dyDescent="0.3">
      <c r="A4729" t="s">
        <v>4333</v>
      </c>
      <c r="B4729" t="s">
        <v>9057</v>
      </c>
      <c r="C4729" t="s">
        <v>459</v>
      </c>
      <c r="D4729" t="s">
        <v>10603</v>
      </c>
      <c r="E4729" t="s">
        <v>75</v>
      </c>
    </row>
    <row r="4730" spans="1:5" x14ac:dyDescent="0.3">
      <c r="A4730" t="s">
        <v>10605</v>
      </c>
      <c r="B4730" t="s">
        <v>5290</v>
      </c>
      <c r="C4730" t="s">
        <v>461</v>
      </c>
      <c r="D4730" t="s">
        <v>10604</v>
      </c>
      <c r="E4730" t="s">
        <v>75</v>
      </c>
    </row>
    <row r="4731" spans="1:5" x14ac:dyDescent="0.3">
      <c r="A4731" t="s">
        <v>264</v>
      </c>
      <c r="B4731" t="s">
        <v>10607</v>
      </c>
      <c r="C4731" t="s">
        <v>459</v>
      </c>
      <c r="D4731" t="s">
        <v>10606</v>
      </c>
      <c r="E4731" t="s">
        <v>75</v>
      </c>
    </row>
    <row r="4732" spans="1:5" x14ac:dyDescent="0.3">
      <c r="A4732" t="s">
        <v>5011</v>
      </c>
      <c r="B4732" t="s">
        <v>5212</v>
      </c>
      <c r="C4732" t="s">
        <v>698</v>
      </c>
      <c r="D4732" t="s">
        <v>10608</v>
      </c>
      <c r="E4732" t="s">
        <v>75</v>
      </c>
    </row>
    <row r="4733" spans="1:5" x14ac:dyDescent="0.3">
      <c r="A4733" t="s">
        <v>199</v>
      </c>
      <c r="B4733" t="s">
        <v>1204</v>
      </c>
      <c r="C4733" t="s">
        <v>461</v>
      </c>
      <c r="D4733" t="s">
        <v>10609</v>
      </c>
      <c r="E4733" t="s">
        <v>758</v>
      </c>
    </row>
    <row r="4734" spans="1:5" x14ac:dyDescent="0.3">
      <c r="A4734" t="s">
        <v>2833</v>
      </c>
      <c r="B4734" t="s">
        <v>10611</v>
      </c>
      <c r="C4734" t="s">
        <v>467</v>
      </c>
      <c r="D4734" t="s">
        <v>10610</v>
      </c>
      <c r="E4734" t="s">
        <v>75</v>
      </c>
    </row>
    <row r="4735" spans="1:5" x14ac:dyDescent="0.3">
      <c r="A4735" t="s">
        <v>2428</v>
      </c>
      <c r="B4735" t="s">
        <v>10613</v>
      </c>
      <c r="C4735" t="s">
        <v>460</v>
      </c>
      <c r="D4735" t="s">
        <v>10612</v>
      </c>
      <c r="E4735" t="s">
        <v>75</v>
      </c>
    </row>
    <row r="4736" spans="1:5" x14ac:dyDescent="0.3">
      <c r="A4736" t="s">
        <v>331</v>
      </c>
      <c r="B4736" t="s">
        <v>3298</v>
      </c>
      <c r="C4736" t="s">
        <v>459</v>
      </c>
      <c r="D4736" t="s">
        <v>10614</v>
      </c>
      <c r="E4736" t="s">
        <v>75</v>
      </c>
    </row>
    <row r="4737" spans="1:5" x14ac:dyDescent="0.3">
      <c r="A4737" t="s">
        <v>79</v>
      </c>
      <c r="B4737" t="s">
        <v>10616</v>
      </c>
      <c r="C4737" t="s">
        <v>457</v>
      </c>
      <c r="D4737" t="s">
        <v>10615</v>
      </c>
      <c r="E4737" t="s">
        <v>75</v>
      </c>
    </row>
    <row r="4738" spans="1:5" x14ac:dyDescent="0.3">
      <c r="A4738" t="s">
        <v>150</v>
      </c>
      <c r="B4738" t="s">
        <v>10617</v>
      </c>
      <c r="C4738" t="s">
        <v>461</v>
      </c>
      <c r="D4738" t="s">
        <v>10615</v>
      </c>
      <c r="E4738" t="s">
        <v>75</v>
      </c>
    </row>
    <row r="4739" spans="1:5" x14ac:dyDescent="0.3">
      <c r="A4739" t="s">
        <v>10619</v>
      </c>
      <c r="B4739" t="s">
        <v>10620</v>
      </c>
      <c r="C4739" t="s">
        <v>6118</v>
      </c>
      <c r="D4739" t="s">
        <v>10618</v>
      </c>
      <c r="E4739" t="s">
        <v>75</v>
      </c>
    </row>
    <row r="4740" spans="1:5" x14ac:dyDescent="0.3">
      <c r="A4740" t="s">
        <v>41</v>
      </c>
      <c r="B4740" t="s">
        <v>1937</v>
      </c>
      <c r="C4740" t="s">
        <v>467</v>
      </c>
      <c r="D4740" t="s">
        <v>10621</v>
      </c>
      <c r="E4740" t="s">
        <v>75</v>
      </c>
    </row>
    <row r="4741" spans="1:5" x14ac:dyDescent="0.3">
      <c r="A4741" t="s">
        <v>20</v>
      </c>
      <c r="B4741" t="s">
        <v>10623</v>
      </c>
      <c r="C4741" t="s">
        <v>460</v>
      </c>
      <c r="D4741" t="s">
        <v>10622</v>
      </c>
      <c r="E4741" t="s">
        <v>75</v>
      </c>
    </row>
    <row r="4742" spans="1:5" x14ac:dyDescent="0.3">
      <c r="A4742" t="s">
        <v>44</v>
      </c>
      <c r="B4742" t="s">
        <v>5088</v>
      </c>
      <c r="C4742" t="s">
        <v>10625</v>
      </c>
      <c r="D4742" t="s">
        <v>10624</v>
      </c>
      <c r="E4742" t="s">
        <v>75</v>
      </c>
    </row>
    <row r="4743" spans="1:5" x14ac:dyDescent="0.3">
      <c r="A4743" t="s">
        <v>1340</v>
      </c>
      <c r="B4743" t="s">
        <v>10627</v>
      </c>
      <c r="C4743" t="s">
        <v>4555</v>
      </c>
      <c r="D4743" t="s">
        <v>10626</v>
      </c>
      <c r="E4743" t="s">
        <v>75</v>
      </c>
    </row>
    <row r="4744" spans="1:5" x14ac:dyDescent="0.3">
      <c r="A4744" t="s">
        <v>10629</v>
      </c>
      <c r="B4744" t="s">
        <v>10630</v>
      </c>
      <c r="C4744" t="s">
        <v>467</v>
      </c>
      <c r="D4744" t="s">
        <v>10628</v>
      </c>
      <c r="E4744" t="s">
        <v>75</v>
      </c>
    </row>
    <row r="4745" spans="1:5" x14ac:dyDescent="0.3">
      <c r="A4745" t="s">
        <v>10632</v>
      </c>
      <c r="B4745" t="s">
        <v>10633</v>
      </c>
      <c r="C4745" t="s">
        <v>459</v>
      </c>
      <c r="D4745" t="s">
        <v>10631</v>
      </c>
      <c r="E4745" t="s">
        <v>75</v>
      </c>
    </row>
    <row r="4746" spans="1:5" x14ac:dyDescent="0.3">
      <c r="A4746" t="s">
        <v>10635</v>
      </c>
      <c r="B4746" t="s">
        <v>10637</v>
      </c>
      <c r="C4746" t="s">
        <v>10636</v>
      </c>
      <c r="D4746" t="s">
        <v>10634</v>
      </c>
      <c r="E4746" t="s">
        <v>75</v>
      </c>
    </row>
    <row r="4747" spans="1:5" x14ac:dyDescent="0.3">
      <c r="A4747" t="s">
        <v>116</v>
      </c>
      <c r="B4747" t="s">
        <v>6013</v>
      </c>
      <c r="C4747" t="s">
        <v>467</v>
      </c>
      <c r="D4747" t="s">
        <v>10638</v>
      </c>
      <c r="E4747" t="s">
        <v>75</v>
      </c>
    </row>
    <row r="4748" spans="1:5" x14ac:dyDescent="0.3">
      <c r="A4748" t="s">
        <v>331</v>
      </c>
      <c r="B4748" t="s">
        <v>10640</v>
      </c>
      <c r="C4748" t="s">
        <v>457</v>
      </c>
      <c r="D4748" t="s">
        <v>10639</v>
      </c>
      <c r="E4748" t="s">
        <v>75</v>
      </c>
    </row>
    <row r="4749" spans="1:5" x14ac:dyDescent="0.3">
      <c r="A4749" t="s">
        <v>44</v>
      </c>
      <c r="B4749" t="s">
        <v>10643</v>
      </c>
      <c r="C4749" t="s">
        <v>10642</v>
      </c>
      <c r="D4749" t="s">
        <v>10641</v>
      </c>
      <c r="E4749" t="s">
        <v>75</v>
      </c>
    </row>
    <row r="4750" spans="1:5" x14ac:dyDescent="0.3">
      <c r="A4750" t="s">
        <v>3735</v>
      </c>
      <c r="B4750" t="s">
        <v>10644</v>
      </c>
      <c r="C4750" t="s">
        <v>460</v>
      </c>
      <c r="D4750" t="s">
        <v>10641</v>
      </c>
      <c r="E4750" t="s">
        <v>75</v>
      </c>
    </row>
    <row r="4751" spans="1:5" x14ac:dyDescent="0.3">
      <c r="A4751" t="s">
        <v>1495</v>
      </c>
      <c r="B4751" t="s">
        <v>750</v>
      </c>
      <c r="C4751" t="s">
        <v>460</v>
      </c>
      <c r="D4751" t="s">
        <v>9081</v>
      </c>
      <c r="E4751" t="s">
        <v>75</v>
      </c>
    </row>
    <row r="4752" spans="1:5" x14ac:dyDescent="0.3">
      <c r="A4752" t="s">
        <v>10226</v>
      </c>
      <c r="B4752" t="s">
        <v>1476</v>
      </c>
      <c r="C4752" t="s">
        <v>9974</v>
      </c>
      <c r="D4752" t="s">
        <v>10645</v>
      </c>
      <c r="E4752" t="s">
        <v>75</v>
      </c>
    </row>
    <row r="4753" spans="1:5" x14ac:dyDescent="0.3">
      <c r="A4753" t="s">
        <v>2458</v>
      </c>
      <c r="B4753" t="s">
        <v>7514</v>
      </c>
      <c r="C4753" t="s">
        <v>10646</v>
      </c>
      <c r="D4753" t="s">
        <v>10645</v>
      </c>
      <c r="E4753" t="s">
        <v>75</v>
      </c>
    </row>
    <row r="4754" spans="1:5" x14ac:dyDescent="0.3">
      <c r="A4754" t="s">
        <v>2727</v>
      </c>
      <c r="B4754" t="s">
        <v>10649</v>
      </c>
      <c r="C4754" t="s">
        <v>459</v>
      </c>
      <c r="D4754" t="s">
        <v>10648</v>
      </c>
      <c r="E4754" t="s">
        <v>75</v>
      </c>
    </row>
    <row r="4755" spans="1:5" x14ac:dyDescent="0.3">
      <c r="A4755" t="s">
        <v>50</v>
      </c>
      <c r="B4755" t="s">
        <v>10651</v>
      </c>
      <c r="C4755" t="s">
        <v>457</v>
      </c>
      <c r="D4755" t="s">
        <v>10650</v>
      </c>
      <c r="E4755" t="s">
        <v>75</v>
      </c>
    </row>
    <row r="4756" spans="1:5" x14ac:dyDescent="0.3">
      <c r="A4756" t="s">
        <v>82</v>
      </c>
      <c r="B4756" t="s">
        <v>1978</v>
      </c>
      <c r="C4756" t="s">
        <v>460</v>
      </c>
      <c r="D4756" t="s">
        <v>10652</v>
      </c>
      <c r="E4756" t="s">
        <v>75</v>
      </c>
    </row>
    <row r="4757" spans="1:5" x14ac:dyDescent="0.3">
      <c r="A4757" t="s">
        <v>41</v>
      </c>
      <c r="B4757" t="s">
        <v>10654</v>
      </c>
      <c r="C4757" t="s">
        <v>467</v>
      </c>
      <c r="D4757" t="s">
        <v>10653</v>
      </c>
      <c r="E4757" t="s">
        <v>75</v>
      </c>
    </row>
    <row r="4758" spans="1:5" x14ac:dyDescent="0.3">
      <c r="A4758" t="s">
        <v>22</v>
      </c>
      <c r="B4758" t="s">
        <v>10656</v>
      </c>
      <c r="C4758" t="s">
        <v>461</v>
      </c>
      <c r="D4758" t="s">
        <v>10655</v>
      </c>
      <c r="E4758" t="s">
        <v>75</v>
      </c>
    </row>
    <row r="4759" spans="1:5" x14ac:dyDescent="0.3">
      <c r="A4759" t="s">
        <v>138</v>
      </c>
      <c r="B4759" t="s">
        <v>4241</v>
      </c>
      <c r="C4759" t="s">
        <v>10658</v>
      </c>
      <c r="D4759" t="s">
        <v>10657</v>
      </c>
      <c r="E4759" t="s">
        <v>75</v>
      </c>
    </row>
    <row r="4760" spans="1:5" x14ac:dyDescent="0.3">
      <c r="A4760" t="s">
        <v>342</v>
      </c>
      <c r="B4760" t="s">
        <v>917</v>
      </c>
      <c r="C4760" t="s">
        <v>467</v>
      </c>
      <c r="D4760" t="s">
        <v>10659</v>
      </c>
      <c r="E4760" t="s">
        <v>75</v>
      </c>
    </row>
    <row r="4761" spans="1:5" x14ac:dyDescent="0.3">
      <c r="A4761" t="s">
        <v>10661</v>
      </c>
      <c r="B4761" t="s">
        <v>10198</v>
      </c>
      <c r="C4761" t="s">
        <v>461</v>
      </c>
      <c r="D4761" t="s">
        <v>10660</v>
      </c>
      <c r="E4761" t="s">
        <v>75</v>
      </c>
    </row>
    <row r="4762" spans="1:5" x14ac:dyDescent="0.3">
      <c r="A4762" t="s">
        <v>1606</v>
      </c>
      <c r="B4762" t="s">
        <v>10663</v>
      </c>
      <c r="C4762" t="s">
        <v>460</v>
      </c>
      <c r="D4762" t="s">
        <v>10662</v>
      </c>
      <c r="E4762" t="s">
        <v>75</v>
      </c>
    </row>
    <row r="4763" spans="1:5" x14ac:dyDescent="0.3">
      <c r="A4763" t="s">
        <v>220</v>
      </c>
      <c r="B4763" t="s">
        <v>3094</v>
      </c>
      <c r="C4763" t="s">
        <v>10665</v>
      </c>
      <c r="D4763" t="s">
        <v>10664</v>
      </c>
      <c r="E4763" t="s">
        <v>75</v>
      </c>
    </row>
    <row r="4764" spans="1:5" x14ac:dyDescent="0.3">
      <c r="A4764" t="s">
        <v>864</v>
      </c>
      <c r="B4764" t="s">
        <v>10121</v>
      </c>
      <c r="C4764" t="s">
        <v>10667</v>
      </c>
      <c r="D4764" t="s">
        <v>10666</v>
      </c>
      <c r="E4764" t="s">
        <v>75</v>
      </c>
    </row>
    <row r="4765" spans="1:5" x14ac:dyDescent="0.3">
      <c r="A4765" t="s">
        <v>398</v>
      </c>
      <c r="B4765" t="s">
        <v>3795</v>
      </c>
      <c r="C4765" t="s">
        <v>460</v>
      </c>
      <c r="D4765" t="s">
        <v>10668</v>
      </c>
      <c r="E4765" t="s">
        <v>75</v>
      </c>
    </row>
    <row r="4766" spans="1:5" x14ac:dyDescent="0.3">
      <c r="A4766" t="s">
        <v>740</v>
      </c>
      <c r="B4766" t="s">
        <v>3960</v>
      </c>
      <c r="C4766" t="s">
        <v>10669</v>
      </c>
      <c r="D4766" t="s">
        <v>10668</v>
      </c>
      <c r="E4766" t="s">
        <v>75</v>
      </c>
    </row>
    <row r="4767" spans="1:5" x14ac:dyDescent="0.3">
      <c r="A4767" t="s">
        <v>298</v>
      </c>
      <c r="B4767" t="s">
        <v>299</v>
      </c>
      <c r="C4767" t="s">
        <v>457</v>
      </c>
      <c r="D4767" t="s">
        <v>10670</v>
      </c>
      <c r="E4767" t="s">
        <v>75</v>
      </c>
    </row>
    <row r="4768" spans="1:5" x14ac:dyDescent="0.3">
      <c r="A4768" t="s">
        <v>2179</v>
      </c>
      <c r="B4768" t="s">
        <v>10672</v>
      </c>
      <c r="C4768" t="s">
        <v>467</v>
      </c>
      <c r="D4768" t="s">
        <v>10671</v>
      </c>
      <c r="E4768" t="s">
        <v>75</v>
      </c>
    </row>
    <row r="4769" spans="1:5" x14ac:dyDescent="0.3">
      <c r="A4769" t="s">
        <v>3069</v>
      </c>
      <c r="B4769" t="s">
        <v>2050</v>
      </c>
      <c r="C4769" t="s">
        <v>461</v>
      </c>
      <c r="D4769" t="s">
        <v>10673</v>
      </c>
      <c r="E4769" t="s">
        <v>75</v>
      </c>
    </row>
    <row r="4770" spans="1:5" x14ac:dyDescent="0.3">
      <c r="A4770" t="s">
        <v>3616</v>
      </c>
      <c r="B4770" t="s">
        <v>4905</v>
      </c>
      <c r="C4770" t="s">
        <v>459</v>
      </c>
      <c r="D4770" t="s">
        <v>10674</v>
      </c>
      <c r="E4770" t="s">
        <v>75</v>
      </c>
    </row>
    <row r="4771" spans="1:5" x14ac:dyDescent="0.3">
      <c r="A4771" t="s">
        <v>5270</v>
      </c>
      <c r="B4771" t="s">
        <v>10676</v>
      </c>
      <c r="C4771" t="s">
        <v>461</v>
      </c>
      <c r="D4771" t="s">
        <v>10675</v>
      </c>
      <c r="E4771" t="s">
        <v>75</v>
      </c>
    </row>
    <row r="4772" spans="1:5" x14ac:dyDescent="0.3">
      <c r="A4772" t="s">
        <v>1433</v>
      </c>
      <c r="B4772" t="s">
        <v>10678</v>
      </c>
      <c r="C4772" t="s">
        <v>461</v>
      </c>
      <c r="D4772" t="s">
        <v>10677</v>
      </c>
      <c r="E4772" t="s">
        <v>75</v>
      </c>
    </row>
    <row r="4773" spans="1:5" x14ac:dyDescent="0.3">
      <c r="A4773" t="s">
        <v>9885</v>
      </c>
      <c r="B4773" t="s">
        <v>4094</v>
      </c>
      <c r="C4773" t="s">
        <v>457</v>
      </c>
      <c r="D4773" t="s">
        <v>10679</v>
      </c>
      <c r="E4773" t="s">
        <v>75</v>
      </c>
    </row>
    <row r="4774" spans="1:5" x14ac:dyDescent="0.3">
      <c r="A4774" t="s">
        <v>4003</v>
      </c>
      <c r="B4774" t="s">
        <v>10015</v>
      </c>
      <c r="C4774" t="s">
        <v>10682</v>
      </c>
      <c r="D4774" t="s">
        <v>10681</v>
      </c>
      <c r="E4774" t="s">
        <v>75</v>
      </c>
    </row>
    <row r="4775" spans="1:5" x14ac:dyDescent="0.3">
      <c r="A4775" t="s">
        <v>10683</v>
      </c>
      <c r="B4775" t="s">
        <v>4878</v>
      </c>
      <c r="C4775" t="s">
        <v>459</v>
      </c>
      <c r="D4775" t="s">
        <v>10681</v>
      </c>
      <c r="E4775" t="s">
        <v>75</v>
      </c>
    </row>
    <row r="4776" spans="1:5" x14ac:dyDescent="0.3">
      <c r="A4776" t="s">
        <v>3362</v>
      </c>
      <c r="B4776" t="s">
        <v>10685</v>
      </c>
      <c r="C4776" t="s">
        <v>461</v>
      </c>
      <c r="D4776" t="s">
        <v>10684</v>
      </c>
      <c r="E4776" t="s">
        <v>75</v>
      </c>
    </row>
    <row r="4777" spans="1:5" x14ac:dyDescent="0.3">
      <c r="A4777" t="s">
        <v>230</v>
      </c>
      <c r="B4777" t="s">
        <v>10687</v>
      </c>
      <c r="C4777" t="s">
        <v>461</v>
      </c>
      <c r="D4777" t="s">
        <v>10686</v>
      </c>
      <c r="E4777" t="s">
        <v>75</v>
      </c>
    </row>
    <row r="4778" spans="1:5" x14ac:dyDescent="0.3">
      <c r="A4778" t="s">
        <v>4951</v>
      </c>
      <c r="B4778" t="s">
        <v>3655</v>
      </c>
      <c r="C4778" t="s">
        <v>2571</v>
      </c>
      <c r="D4778" t="s">
        <v>2049</v>
      </c>
      <c r="E4778" t="s">
        <v>841</v>
      </c>
    </row>
    <row r="4779" spans="1:5" x14ac:dyDescent="0.3">
      <c r="A4779" t="s">
        <v>195</v>
      </c>
      <c r="B4779" t="s">
        <v>4292</v>
      </c>
      <c r="C4779" t="s">
        <v>467</v>
      </c>
      <c r="D4779" t="s">
        <v>4329</v>
      </c>
      <c r="E4779" t="s">
        <v>75</v>
      </c>
    </row>
    <row r="4780" spans="1:5" x14ac:dyDescent="0.3">
      <c r="A4780" t="s">
        <v>1300</v>
      </c>
      <c r="B4780" t="s">
        <v>10689</v>
      </c>
      <c r="C4780" t="s">
        <v>10688</v>
      </c>
      <c r="D4780" t="s">
        <v>8433</v>
      </c>
      <c r="E4780" t="s">
        <v>75</v>
      </c>
    </row>
    <row r="4781" spans="1:5" x14ac:dyDescent="0.3">
      <c r="A4781" t="s">
        <v>66</v>
      </c>
      <c r="B4781" t="s">
        <v>446</v>
      </c>
      <c r="C4781" t="s">
        <v>10690</v>
      </c>
      <c r="D4781" t="s">
        <v>10122</v>
      </c>
      <c r="E4781" t="s">
        <v>741</v>
      </c>
    </row>
    <row r="4782" spans="1:5" x14ac:dyDescent="0.3">
      <c r="A4782" t="s">
        <v>1310</v>
      </c>
      <c r="B4782" t="s">
        <v>2569</v>
      </c>
      <c r="C4782" t="s">
        <v>862</v>
      </c>
      <c r="D4782" t="s">
        <v>919</v>
      </c>
      <c r="E4782" t="s">
        <v>1</v>
      </c>
    </row>
    <row r="4783" spans="1:5" x14ac:dyDescent="0.3">
      <c r="A4783" t="s">
        <v>10692</v>
      </c>
      <c r="B4783" t="s">
        <v>10693</v>
      </c>
      <c r="C4783" t="s">
        <v>461</v>
      </c>
      <c r="D4783" t="s">
        <v>10691</v>
      </c>
      <c r="E4783" t="s">
        <v>75</v>
      </c>
    </row>
    <row r="4784" spans="1:5" x14ac:dyDescent="0.3">
      <c r="A4784" t="s">
        <v>66</v>
      </c>
      <c r="B4784" t="s">
        <v>10694</v>
      </c>
      <c r="C4784" t="s">
        <v>467</v>
      </c>
      <c r="D4784" t="s">
        <v>5875</v>
      </c>
      <c r="E4784" t="s">
        <v>75</v>
      </c>
    </row>
    <row r="4785" spans="1:5" x14ac:dyDescent="0.3">
      <c r="A4785" t="s">
        <v>10695</v>
      </c>
      <c r="B4785" t="s">
        <v>10696</v>
      </c>
      <c r="C4785" t="s">
        <v>518</v>
      </c>
      <c r="D4785" t="s">
        <v>787</v>
      </c>
      <c r="E4785" t="s">
        <v>1</v>
      </c>
    </row>
    <row r="4786" spans="1:5" x14ac:dyDescent="0.3">
      <c r="A4786" t="s">
        <v>1760</v>
      </c>
      <c r="B4786" t="s">
        <v>10699</v>
      </c>
      <c r="C4786" t="s">
        <v>10698</v>
      </c>
      <c r="D4786" t="s">
        <v>3188</v>
      </c>
      <c r="E4786" t="s">
        <v>75</v>
      </c>
    </row>
    <row r="4787" spans="1:5" x14ac:dyDescent="0.3">
      <c r="A4787" t="s">
        <v>1171</v>
      </c>
      <c r="B4787" t="s">
        <v>10702</v>
      </c>
      <c r="C4787" t="s">
        <v>10701</v>
      </c>
      <c r="D4787" t="s">
        <v>10700</v>
      </c>
      <c r="E4787" t="s">
        <v>75</v>
      </c>
    </row>
    <row r="4788" spans="1:5" x14ac:dyDescent="0.3">
      <c r="A4788" t="s">
        <v>4244</v>
      </c>
      <c r="B4788" t="s">
        <v>10705</v>
      </c>
      <c r="C4788" t="s">
        <v>10704</v>
      </c>
      <c r="D4788" t="s">
        <v>10703</v>
      </c>
      <c r="E4788" t="s">
        <v>75</v>
      </c>
    </row>
    <row r="4789" spans="1:5" x14ac:dyDescent="0.3">
      <c r="A4789" t="s">
        <v>1071</v>
      </c>
      <c r="B4789" t="s">
        <v>5839</v>
      </c>
      <c r="C4789" t="s">
        <v>10706</v>
      </c>
      <c r="D4789" t="s">
        <v>1838</v>
      </c>
      <c r="E4789" t="s">
        <v>741</v>
      </c>
    </row>
    <row r="4790" spans="1:5" x14ac:dyDescent="0.3">
      <c r="A4790" t="s">
        <v>1018</v>
      </c>
      <c r="B4790" t="s">
        <v>265</v>
      </c>
      <c r="C4790" t="s">
        <v>10707</v>
      </c>
      <c r="D4790" t="s">
        <v>895</v>
      </c>
      <c r="E4790" t="s">
        <v>897</v>
      </c>
    </row>
    <row r="4791" spans="1:5" x14ac:dyDescent="0.3">
      <c r="A4791" t="s">
        <v>786</v>
      </c>
      <c r="B4791" t="s">
        <v>13074</v>
      </c>
      <c r="C4791" t="s">
        <v>467</v>
      </c>
      <c r="D4791" t="s">
        <v>10708</v>
      </c>
      <c r="E4791" t="s">
        <v>75</v>
      </c>
    </row>
    <row r="4792" spans="1:5" x14ac:dyDescent="0.3">
      <c r="A4792" t="s">
        <v>2989</v>
      </c>
      <c r="B4792" t="s">
        <v>10710</v>
      </c>
      <c r="C4792" t="s">
        <v>518</v>
      </c>
      <c r="D4792" t="s">
        <v>10709</v>
      </c>
      <c r="E4792" t="s">
        <v>75</v>
      </c>
    </row>
    <row r="4793" spans="1:5" x14ac:dyDescent="0.3">
      <c r="A4793" t="s">
        <v>331</v>
      </c>
      <c r="B4793" t="s">
        <v>10712</v>
      </c>
      <c r="C4793" t="s">
        <v>461</v>
      </c>
      <c r="D4793" t="s">
        <v>10711</v>
      </c>
      <c r="E4793" t="s">
        <v>75</v>
      </c>
    </row>
    <row r="4794" spans="1:5" x14ac:dyDescent="0.3">
      <c r="A4794" t="s">
        <v>1569</v>
      </c>
      <c r="B4794" t="s">
        <v>4008</v>
      </c>
      <c r="C4794" t="s">
        <v>862</v>
      </c>
      <c r="D4794" t="s">
        <v>10713</v>
      </c>
      <c r="E4794" t="s">
        <v>75</v>
      </c>
    </row>
    <row r="4795" spans="1:5" x14ac:dyDescent="0.3">
      <c r="A4795" t="s">
        <v>331</v>
      </c>
      <c r="B4795" t="s">
        <v>3466</v>
      </c>
      <c r="C4795" t="s">
        <v>461</v>
      </c>
      <c r="D4795" t="s">
        <v>4396</v>
      </c>
      <c r="E4795" t="s">
        <v>75</v>
      </c>
    </row>
    <row r="4796" spans="1:5" x14ac:dyDescent="0.3">
      <c r="A4796" t="s">
        <v>1213</v>
      </c>
      <c r="B4796" t="s">
        <v>10714</v>
      </c>
      <c r="C4796" t="s">
        <v>467</v>
      </c>
      <c r="D4796" t="s">
        <v>4870</v>
      </c>
      <c r="E4796" t="s">
        <v>75</v>
      </c>
    </row>
    <row r="4797" spans="1:5" x14ac:dyDescent="0.3">
      <c r="A4797" t="s">
        <v>177</v>
      </c>
      <c r="B4797" t="s">
        <v>10715</v>
      </c>
      <c r="C4797" t="s">
        <v>461</v>
      </c>
      <c r="D4797" t="s">
        <v>5193</v>
      </c>
      <c r="E4797" t="s">
        <v>75</v>
      </c>
    </row>
    <row r="4798" spans="1:5" x14ac:dyDescent="0.3">
      <c r="A4798" t="s">
        <v>10716</v>
      </c>
      <c r="B4798" t="s">
        <v>1432</v>
      </c>
      <c r="C4798" t="s">
        <v>862</v>
      </c>
      <c r="D4798" t="s">
        <v>751</v>
      </c>
      <c r="E4798" t="s">
        <v>1</v>
      </c>
    </row>
    <row r="4799" spans="1:5" x14ac:dyDescent="0.3">
      <c r="A4799" t="s">
        <v>10717</v>
      </c>
      <c r="B4799" t="s">
        <v>4583</v>
      </c>
      <c r="C4799" t="s">
        <v>862</v>
      </c>
      <c r="D4799" t="s">
        <v>754</v>
      </c>
      <c r="E4799" t="s">
        <v>741</v>
      </c>
    </row>
    <row r="4800" spans="1:5" x14ac:dyDescent="0.3">
      <c r="A4800" t="s">
        <v>259</v>
      </c>
      <c r="B4800" t="s">
        <v>10720</v>
      </c>
      <c r="C4800" t="s">
        <v>10719</v>
      </c>
      <c r="D4800" t="s">
        <v>754</v>
      </c>
      <c r="E4800" t="s">
        <v>741</v>
      </c>
    </row>
    <row r="4801" spans="1:5" x14ac:dyDescent="0.3">
      <c r="A4801" t="s">
        <v>3879</v>
      </c>
      <c r="B4801" t="s">
        <v>10722</v>
      </c>
      <c r="C4801" t="s">
        <v>862</v>
      </c>
      <c r="D4801" t="s">
        <v>751</v>
      </c>
      <c r="E4801" t="s">
        <v>1</v>
      </c>
    </row>
    <row r="4802" spans="1:5" x14ac:dyDescent="0.3">
      <c r="A4802" t="s">
        <v>132</v>
      </c>
      <c r="B4802" t="s">
        <v>5866</v>
      </c>
      <c r="C4802" t="s">
        <v>10723</v>
      </c>
      <c r="D4802" t="s">
        <v>4424</v>
      </c>
      <c r="E4802" t="s">
        <v>75</v>
      </c>
    </row>
    <row r="4803" spans="1:5" x14ac:dyDescent="0.3">
      <c r="A4803" t="s">
        <v>195</v>
      </c>
      <c r="B4803" t="s">
        <v>1516</v>
      </c>
      <c r="C4803" t="s">
        <v>518</v>
      </c>
      <c r="D4803" t="s">
        <v>763</v>
      </c>
      <c r="E4803" t="s">
        <v>1</v>
      </c>
    </row>
    <row r="4804" spans="1:5" x14ac:dyDescent="0.3">
      <c r="A4804" t="s">
        <v>44</v>
      </c>
      <c r="B4804" t="s">
        <v>10724</v>
      </c>
      <c r="C4804" t="s">
        <v>862</v>
      </c>
      <c r="D4804" t="s">
        <v>747</v>
      </c>
      <c r="E4804" t="s">
        <v>1</v>
      </c>
    </row>
    <row r="4805" spans="1:5" x14ac:dyDescent="0.3">
      <c r="A4805" t="s">
        <v>2143</v>
      </c>
      <c r="B4805" t="s">
        <v>2544</v>
      </c>
      <c r="C4805" t="s">
        <v>458</v>
      </c>
      <c r="D4805" t="s">
        <v>10725</v>
      </c>
      <c r="E4805" t="s">
        <v>75</v>
      </c>
    </row>
    <row r="4806" spans="1:5" x14ac:dyDescent="0.3">
      <c r="A4806" t="s">
        <v>19</v>
      </c>
      <c r="B4806" t="s">
        <v>1085</v>
      </c>
      <c r="C4806" t="s">
        <v>518</v>
      </c>
      <c r="D4806" t="s">
        <v>1838</v>
      </c>
      <c r="E4806" t="s">
        <v>741</v>
      </c>
    </row>
    <row r="4807" spans="1:5" x14ac:dyDescent="0.3">
      <c r="A4807" t="s">
        <v>224</v>
      </c>
      <c r="B4807" t="s">
        <v>10727</v>
      </c>
      <c r="C4807" t="s">
        <v>458</v>
      </c>
      <c r="D4807" t="s">
        <v>10726</v>
      </c>
      <c r="E4807" t="s">
        <v>75</v>
      </c>
    </row>
    <row r="4808" spans="1:5" x14ac:dyDescent="0.3">
      <c r="A4808" t="s">
        <v>1410</v>
      </c>
      <c r="B4808" t="s">
        <v>10728</v>
      </c>
      <c r="C4808" t="s">
        <v>10701</v>
      </c>
      <c r="D4808" t="s">
        <v>4754</v>
      </c>
      <c r="E4808" t="s">
        <v>75</v>
      </c>
    </row>
    <row r="4809" spans="1:5" x14ac:dyDescent="0.3">
      <c r="A4809" t="s">
        <v>82</v>
      </c>
      <c r="B4809" t="s">
        <v>10730</v>
      </c>
      <c r="C4809" t="s">
        <v>467</v>
      </c>
      <c r="D4809" t="s">
        <v>10729</v>
      </c>
      <c r="E4809" t="s">
        <v>75</v>
      </c>
    </row>
    <row r="4810" spans="1:5" x14ac:dyDescent="0.3">
      <c r="A4810" t="s">
        <v>10732</v>
      </c>
      <c r="B4810" t="s">
        <v>1596</v>
      </c>
      <c r="C4810" t="s">
        <v>862</v>
      </c>
      <c r="D4810" t="s">
        <v>10731</v>
      </c>
      <c r="E4810" t="s">
        <v>75</v>
      </c>
    </row>
    <row r="4811" spans="1:5" x14ac:dyDescent="0.3">
      <c r="A4811" t="s">
        <v>4904</v>
      </c>
      <c r="B4811" t="s">
        <v>10733</v>
      </c>
      <c r="C4811" t="s">
        <v>862</v>
      </c>
      <c r="D4811" t="s">
        <v>1716</v>
      </c>
      <c r="E4811" t="s">
        <v>741</v>
      </c>
    </row>
    <row r="4812" spans="1:5" x14ac:dyDescent="0.3">
      <c r="A4812" t="s">
        <v>97</v>
      </c>
      <c r="B4812" t="s">
        <v>10735</v>
      </c>
      <c r="C4812" t="s">
        <v>10734</v>
      </c>
      <c r="D4812" t="s">
        <v>769</v>
      </c>
      <c r="E4812" t="s">
        <v>1</v>
      </c>
    </row>
    <row r="4813" spans="1:5" x14ac:dyDescent="0.3">
      <c r="A4813" t="s">
        <v>1921</v>
      </c>
      <c r="B4813" t="s">
        <v>10736</v>
      </c>
      <c r="C4813" t="s">
        <v>862</v>
      </c>
      <c r="D4813" t="s">
        <v>1716</v>
      </c>
      <c r="E4813" t="s">
        <v>741</v>
      </c>
    </row>
    <row r="4814" spans="1:5" x14ac:dyDescent="0.3">
      <c r="A4814" t="s">
        <v>27</v>
      </c>
      <c r="B4814" t="s">
        <v>3458</v>
      </c>
      <c r="C4814" t="s">
        <v>10737</v>
      </c>
      <c r="D4814" t="s">
        <v>1716</v>
      </c>
      <c r="E4814" t="s">
        <v>741</v>
      </c>
    </row>
    <row r="4815" spans="1:5" x14ac:dyDescent="0.3">
      <c r="A4815" t="s">
        <v>4638</v>
      </c>
      <c r="B4815" t="s">
        <v>10199</v>
      </c>
      <c r="C4815" t="s">
        <v>10738</v>
      </c>
      <c r="D4815" t="s">
        <v>1716</v>
      </c>
      <c r="E4815" t="s">
        <v>741</v>
      </c>
    </row>
    <row r="4816" spans="1:5" x14ac:dyDescent="0.3">
      <c r="A4816" t="s">
        <v>77</v>
      </c>
      <c r="B4816" t="s">
        <v>10739</v>
      </c>
      <c r="C4816" t="s">
        <v>461</v>
      </c>
      <c r="D4816" t="s">
        <v>8093</v>
      </c>
      <c r="E4816" t="s">
        <v>75</v>
      </c>
    </row>
    <row r="4817" spans="1:5" x14ac:dyDescent="0.3">
      <c r="A4817" t="s">
        <v>10740</v>
      </c>
      <c r="B4817" t="s">
        <v>2976</v>
      </c>
      <c r="C4817" t="s">
        <v>467</v>
      </c>
      <c r="D4817" t="s">
        <v>2007</v>
      </c>
      <c r="E4817" t="s">
        <v>774</v>
      </c>
    </row>
    <row r="4818" spans="1:5" x14ac:dyDescent="0.3">
      <c r="A4818" t="s">
        <v>1410</v>
      </c>
      <c r="B4818" t="s">
        <v>4046</v>
      </c>
      <c r="C4818" t="s">
        <v>10742</v>
      </c>
      <c r="D4818" t="s">
        <v>10741</v>
      </c>
      <c r="E4818" t="s">
        <v>75</v>
      </c>
    </row>
    <row r="4819" spans="1:5" x14ac:dyDescent="0.3">
      <c r="A4819" t="s">
        <v>157</v>
      </c>
      <c r="B4819" t="s">
        <v>10744</v>
      </c>
      <c r="C4819" t="s">
        <v>461</v>
      </c>
      <c r="D4819" t="s">
        <v>10743</v>
      </c>
      <c r="E4819" t="s">
        <v>75</v>
      </c>
    </row>
    <row r="4820" spans="1:5" x14ac:dyDescent="0.3">
      <c r="A4820" t="s">
        <v>4174</v>
      </c>
      <c r="B4820" t="s">
        <v>10746</v>
      </c>
      <c r="C4820" t="s">
        <v>458</v>
      </c>
      <c r="D4820" t="s">
        <v>10745</v>
      </c>
      <c r="E4820" t="s">
        <v>75</v>
      </c>
    </row>
    <row r="4821" spans="1:5" x14ac:dyDescent="0.3">
      <c r="A4821" t="s">
        <v>112</v>
      </c>
      <c r="B4821" t="s">
        <v>10748</v>
      </c>
      <c r="C4821" t="s">
        <v>458</v>
      </c>
      <c r="D4821" t="s">
        <v>10747</v>
      </c>
      <c r="E4821" t="s">
        <v>75</v>
      </c>
    </row>
    <row r="4822" spans="1:5" x14ac:dyDescent="0.3">
      <c r="A4822" t="s">
        <v>162</v>
      </c>
      <c r="B4822" t="s">
        <v>10750</v>
      </c>
      <c r="C4822" t="s">
        <v>6361</v>
      </c>
      <c r="D4822" t="s">
        <v>10749</v>
      </c>
      <c r="E4822" t="s">
        <v>75</v>
      </c>
    </row>
    <row r="4823" spans="1:5" x14ac:dyDescent="0.3">
      <c r="A4823" t="s">
        <v>47</v>
      </c>
      <c r="B4823" t="s">
        <v>7394</v>
      </c>
      <c r="C4823" t="s">
        <v>10701</v>
      </c>
      <c r="D4823" t="s">
        <v>4870</v>
      </c>
      <c r="E4823" t="s">
        <v>75</v>
      </c>
    </row>
    <row r="4824" spans="1:5" x14ac:dyDescent="0.3">
      <c r="A4824" t="s">
        <v>2633</v>
      </c>
      <c r="B4824" t="s">
        <v>10752</v>
      </c>
      <c r="C4824" t="s">
        <v>10751</v>
      </c>
      <c r="D4824" t="s">
        <v>1838</v>
      </c>
      <c r="E4824" t="s">
        <v>741</v>
      </c>
    </row>
    <row r="4825" spans="1:5" x14ac:dyDescent="0.3">
      <c r="A4825" t="s">
        <v>150</v>
      </c>
      <c r="B4825" t="s">
        <v>10754</v>
      </c>
      <c r="C4825" t="s">
        <v>10753</v>
      </c>
      <c r="D4825" t="s">
        <v>754</v>
      </c>
      <c r="E4825" t="s">
        <v>741</v>
      </c>
    </row>
    <row r="4826" spans="1:5" x14ac:dyDescent="0.3">
      <c r="A4826" t="s">
        <v>370</v>
      </c>
      <c r="B4826" t="s">
        <v>5706</v>
      </c>
      <c r="C4826" t="s">
        <v>10755</v>
      </c>
      <c r="D4826" t="s">
        <v>1716</v>
      </c>
      <c r="E4826" t="s">
        <v>741</v>
      </c>
    </row>
    <row r="4827" spans="1:5" x14ac:dyDescent="0.3">
      <c r="A4827" t="s">
        <v>116</v>
      </c>
      <c r="B4827" t="s">
        <v>4648</v>
      </c>
      <c r="C4827" t="s">
        <v>458</v>
      </c>
      <c r="D4827" t="s">
        <v>10757</v>
      </c>
      <c r="E4827" t="s">
        <v>75</v>
      </c>
    </row>
    <row r="4828" spans="1:5" x14ac:dyDescent="0.3">
      <c r="A4828" t="s">
        <v>1793</v>
      </c>
      <c r="B4828" t="s">
        <v>10758</v>
      </c>
      <c r="C4828" t="s">
        <v>461</v>
      </c>
      <c r="D4828" t="s">
        <v>4078</v>
      </c>
      <c r="E4828" t="s">
        <v>774</v>
      </c>
    </row>
    <row r="4829" spans="1:5" x14ac:dyDescent="0.3">
      <c r="A4829" t="s">
        <v>740</v>
      </c>
      <c r="B4829" t="s">
        <v>10760</v>
      </c>
      <c r="C4829" t="s">
        <v>10759</v>
      </c>
      <c r="D4829" t="s">
        <v>951</v>
      </c>
      <c r="E4829" t="s">
        <v>1</v>
      </c>
    </row>
    <row r="4830" spans="1:5" x14ac:dyDescent="0.3">
      <c r="A4830" t="s">
        <v>10762</v>
      </c>
      <c r="B4830" t="s">
        <v>5335</v>
      </c>
      <c r="C4830" t="s">
        <v>467</v>
      </c>
      <c r="D4830" t="s">
        <v>10761</v>
      </c>
      <c r="E4830" t="s">
        <v>75</v>
      </c>
    </row>
    <row r="4831" spans="1:5" x14ac:dyDescent="0.3">
      <c r="A4831" t="s">
        <v>10763</v>
      </c>
      <c r="B4831" t="s">
        <v>1488</v>
      </c>
      <c r="C4831" t="s">
        <v>10764</v>
      </c>
      <c r="D4831" t="s">
        <v>754</v>
      </c>
      <c r="E4831" t="s">
        <v>741</v>
      </c>
    </row>
    <row r="4832" spans="1:5" x14ac:dyDescent="0.3">
      <c r="A4832" t="s">
        <v>1569</v>
      </c>
      <c r="B4832" t="s">
        <v>10766</v>
      </c>
      <c r="C4832" t="s">
        <v>10765</v>
      </c>
      <c r="D4832" t="s">
        <v>5549</v>
      </c>
      <c r="E4832" t="s">
        <v>75</v>
      </c>
    </row>
    <row r="4833" spans="1:5" x14ac:dyDescent="0.3">
      <c r="A4833" t="s">
        <v>1053</v>
      </c>
      <c r="B4833" t="s">
        <v>4435</v>
      </c>
      <c r="C4833" t="s">
        <v>862</v>
      </c>
      <c r="D4833" t="s">
        <v>4727</v>
      </c>
      <c r="E4833" t="s">
        <v>75</v>
      </c>
    </row>
    <row r="4834" spans="1:5" x14ac:dyDescent="0.3">
      <c r="A4834" t="s">
        <v>27</v>
      </c>
      <c r="B4834" t="s">
        <v>10768</v>
      </c>
      <c r="C4834" t="s">
        <v>10767</v>
      </c>
      <c r="D4834" t="s">
        <v>1716</v>
      </c>
      <c r="E4834" t="s">
        <v>741</v>
      </c>
    </row>
    <row r="4835" spans="1:5" x14ac:dyDescent="0.3">
      <c r="A4835" t="s">
        <v>1583</v>
      </c>
      <c r="B4835" t="s">
        <v>1994</v>
      </c>
      <c r="C4835" t="s">
        <v>862</v>
      </c>
      <c r="D4835" t="s">
        <v>3776</v>
      </c>
      <c r="E4835" t="s">
        <v>781</v>
      </c>
    </row>
    <row r="4836" spans="1:5" x14ac:dyDescent="0.3">
      <c r="A4836" t="s">
        <v>843</v>
      </c>
      <c r="B4836" t="s">
        <v>8900</v>
      </c>
      <c r="C4836" t="s">
        <v>8050</v>
      </c>
      <c r="D4836" t="s">
        <v>4547</v>
      </c>
      <c r="E4836" t="s">
        <v>75</v>
      </c>
    </row>
    <row r="4837" spans="1:5" x14ac:dyDescent="0.3">
      <c r="A4837" t="s">
        <v>10770</v>
      </c>
      <c r="B4837" t="s">
        <v>10771</v>
      </c>
      <c r="C4837" t="s">
        <v>461</v>
      </c>
      <c r="D4837" t="s">
        <v>10769</v>
      </c>
      <c r="E4837" t="s">
        <v>75</v>
      </c>
    </row>
    <row r="4838" spans="1:5" x14ac:dyDescent="0.3">
      <c r="A4838" t="s">
        <v>331</v>
      </c>
      <c r="B4838" t="s">
        <v>3328</v>
      </c>
      <c r="C4838" t="s">
        <v>458</v>
      </c>
      <c r="D4838" t="s">
        <v>10721</v>
      </c>
      <c r="E4838" t="s">
        <v>75</v>
      </c>
    </row>
    <row r="4839" spans="1:5" x14ac:dyDescent="0.3">
      <c r="A4839" t="s">
        <v>181</v>
      </c>
      <c r="B4839" t="s">
        <v>139</v>
      </c>
      <c r="C4839" t="s">
        <v>459</v>
      </c>
      <c r="D4839" t="s">
        <v>10772</v>
      </c>
      <c r="E4839" t="s">
        <v>75</v>
      </c>
    </row>
    <row r="4840" spans="1:5" x14ac:dyDescent="0.3">
      <c r="A4840" t="s">
        <v>2526</v>
      </c>
      <c r="B4840" t="s">
        <v>2526</v>
      </c>
      <c r="C4840" t="s">
        <v>7135</v>
      </c>
      <c r="D4840" t="s">
        <v>2526</v>
      </c>
      <c r="E4840" t="s">
        <v>75</v>
      </c>
    </row>
    <row r="4841" spans="1:5" x14ac:dyDescent="0.3">
      <c r="A4841" t="s">
        <v>259</v>
      </c>
      <c r="B4841" t="s">
        <v>2389</v>
      </c>
      <c r="C4841" t="s">
        <v>862</v>
      </c>
      <c r="D4841" t="s">
        <v>919</v>
      </c>
      <c r="E4841" t="s">
        <v>1</v>
      </c>
    </row>
    <row r="4842" spans="1:5" x14ac:dyDescent="0.3">
      <c r="A4842" t="s">
        <v>279</v>
      </c>
      <c r="B4842" t="s">
        <v>1957</v>
      </c>
      <c r="C4842" t="s">
        <v>461</v>
      </c>
      <c r="D4842" t="s">
        <v>4356</v>
      </c>
      <c r="E4842" t="s">
        <v>75</v>
      </c>
    </row>
    <row r="4843" spans="1:5" x14ac:dyDescent="0.3">
      <c r="A4843" t="s">
        <v>3150</v>
      </c>
      <c r="B4843" t="s">
        <v>6830</v>
      </c>
      <c r="C4843" t="s">
        <v>10773</v>
      </c>
      <c r="D4843" t="s">
        <v>8387</v>
      </c>
      <c r="E4843" t="s">
        <v>774</v>
      </c>
    </row>
    <row r="4844" spans="1:5" x14ac:dyDescent="0.3">
      <c r="A4844" t="s">
        <v>10775</v>
      </c>
      <c r="B4844" t="s">
        <v>5903</v>
      </c>
      <c r="C4844" t="s">
        <v>461</v>
      </c>
      <c r="D4844" t="s">
        <v>3135</v>
      </c>
      <c r="E4844" t="s">
        <v>75</v>
      </c>
    </row>
    <row r="4845" spans="1:5" x14ac:dyDescent="0.3">
      <c r="A4845" t="s">
        <v>224</v>
      </c>
      <c r="B4845" t="s">
        <v>10777</v>
      </c>
      <c r="C4845" t="s">
        <v>459</v>
      </c>
      <c r="D4845" t="s">
        <v>10776</v>
      </c>
      <c r="E4845" t="s">
        <v>75</v>
      </c>
    </row>
    <row r="4846" spans="1:5" x14ac:dyDescent="0.3">
      <c r="A4846" t="s">
        <v>9595</v>
      </c>
      <c r="B4846" t="s">
        <v>10778</v>
      </c>
      <c r="C4846" t="s">
        <v>518</v>
      </c>
      <c r="D4846" t="s">
        <v>10776</v>
      </c>
      <c r="E4846" t="s">
        <v>75</v>
      </c>
    </row>
    <row r="4847" spans="1:5" x14ac:dyDescent="0.3">
      <c r="A4847" t="s">
        <v>4978</v>
      </c>
      <c r="B4847" t="s">
        <v>287</v>
      </c>
      <c r="C4847" t="s">
        <v>461</v>
      </c>
      <c r="D4847" t="s">
        <v>10779</v>
      </c>
      <c r="E4847" t="s">
        <v>75</v>
      </c>
    </row>
    <row r="4848" spans="1:5" x14ac:dyDescent="0.3">
      <c r="A4848" t="s">
        <v>41</v>
      </c>
      <c r="B4848" t="s">
        <v>10780</v>
      </c>
      <c r="C4848" t="s">
        <v>862</v>
      </c>
      <c r="D4848" t="s">
        <v>754</v>
      </c>
      <c r="E4848" t="s">
        <v>741</v>
      </c>
    </row>
    <row r="4849" spans="1:5" x14ac:dyDescent="0.3">
      <c r="A4849" t="s">
        <v>10781</v>
      </c>
      <c r="B4849" t="s">
        <v>8319</v>
      </c>
      <c r="C4849" t="s">
        <v>461</v>
      </c>
      <c r="D4849" t="s">
        <v>4238</v>
      </c>
      <c r="E4849" t="s">
        <v>75</v>
      </c>
    </row>
    <row r="4850" spans="1:5" x14ac:dyDescent="0.3">
      <c r="A4850" t="s">
        <v>220</v>
      </c>
      <c r="B4850" t="s">
        <v>10783</v>
      </c>
      <c r="C4850" t="s">
        <v>458</v>
      </c>
      <c r="D4850" t="s">
        <v>10782</v>
      </c>
      <c r="E4850" t="s">
        <v>75</v>
      </c>
    </row>
    <row r="4851" spans="1:5" x14ac:dyDescent="0.3">
      <c r="A4851" t="s">
        <v>10784</v>
      </c>
      <c r="B4851" t="s">
        <v>1615</v>
      </c>
      <c r="C4851" t="s">
        <v>458</v>
      </c>
      <c r="D4851" t="s">
        <v>1716</v>
      </c>
      <c r="E4851" t="s">
        <v>741</v>
      </c>
    </row>
    <row r="4852" spans="1:5" x14ac:dyDescent="0.3">
      <c r="A4852" t="s">
        <v>331</v>
      </c>
      <c r="B4852" t="s">
        <v>10786</v>
      </c>
      <c r="C4852" t="s">
        <v>461</v>
      </c>
      <c r="D4852" t="s">
        <v>10785</v>
      </c>
      <c r="E4852" t="s">
        <v>75</v>
      </c>
    </row>
    <row r="4853" spans="1:5" x14ac:dyDescent="0.3">
      <c r="A4853" t="s">
        <v>329</v>
      </c>
      <c r="B4853" t="s">
        <v>10788</v>
      </c>
      <c r="C4853" t="s">
        <v>458</v>
      </c>
      <c r="D4853" t="s">
        <v>10787</v>
      </c>
      <c r="E4853" t="s">
        <v>75</v>
      </c>
    </row>
    <row r="4854" spans="1:5" x14ac:dyDescent="0.3">
      <c r="A4854" t="s">
        <v>1489</v>
      </c>
      <c r="B4854" t="s">
        <v>9772</v>
      </c>
      <c r="C4854" t="s">
        <v>862</v>
      </c>
      <c r="D4854" t="s">
        <v>1716</v>
      </c>
      <c r="E4854" t="s">
        <v>741</v>
      </c>
    </row>
    <row r="4855" spans="1:5" x14ac:dyDescent="0.3">
      <c r="A4855" t="s">
        <v>1055</v>
      </c>
      <c r="B4855" t="s">
        <v>3697</v>
      </c>
      <c r="C4855" t="s">
        <v>10789</v>
      </c>
      <c r="D4855" t="s">
        <v>1509</v>
      </c>
      <c r="E4855" t="s">
        <v>781</v>
      </c>
    </row>
    <row r="4856" spans="1:5" x14ac:dyDescent="0.3">
      <c r="A4856" t="s">
        <v>220</v>
      </c>
      <c r="B4856" t="s">
        <v>331</v>
      </c>
      <c r="C4856" t="s">
        <v>862</v>
      </c>
      <c r="D4856" t="s">
        <v>754</v>
      </c>
      <c r="E4856" t="s">
        <v>741</v>
      </c>
    </row>
    <row r="4857" spans="1:5" x14ac:dyDescent="0.3">
      <c r="A4857" t="s">
        <v>41</v>
      </c>
      <c r="B4857" t="s">
        <v>3701</v>
      </c>
      <c r="C4857" t="s">
        <v>10701</v>
      </c>
      <c r="D4857" t="s">
        <v>10790</v>
      </c>
      <c r="E4857" t="s">
        <v>75</v>
      </c>
    </row>
    <row r="4858" spans="1:5" x14ac:dyDescent="0.3">
      <c r="A4858" t="s">
        <v>1196</v>
      </c>
      <c r="B4858" t="s">
        <v>5512</v>
      </c>
      <c r="C4858" t="s">
        <v>518</v>
      </c>
      <c r="D4858" t="s">
        <v>794</v>
      </c>
      <c r="E4858" t="s">
        <v>75</v>
      </c>
    </row>
    <row r="4859" spans="1:5" x14ac:dyDescent="0.3">
      <c r="A4859" t="s">
        <v>9595</v>
      </c>
      <c r="B4859" t="s">
        <v>10778</v>
      </c>
      <c r="C4859" t="s">
        <v>518</v>
      </c>
      <c r="D4859" t="s">
        <v>10776</v>
      </c>
      <c r="E4859" t="s">
        <v>75</v>
      </c>
    </row>
    <row r="4860" spans="1:5" x14ac:dyDescent="0.3">
      <c r="A4860" t="s">
        <v>209</v>
      </c>
      <c r="B4860" t="s">
        <v>10792</v>
      </c>
      <c r="C4860" t="s">
        <v>10791</v>
      </c>
      <c r="D4860" t="s">
        <v>943</v>
      </c>
      <c r="E4860" t="s">
        <v>1</v>
      </c>
    </row>
    <row r="4861" spans="1:5" x14ac:dyDescent="0.3">
      <c r="A4861" t="s">
        <v>1969</v>
      </c>
      <c r="B4861" t="s">
        <v>3873</v>
      </c>
      <c r="C4861" t="s">
        <v>458</v>
      </c>
      <c r="D4861" t="s">
        <v>10793</v>
      </c>
      <c r="E4861" t="s">
        <v>75</v>
      </c>
    </row>
    <row r="4862" spans="1:5" x14ac:dyDescent="0.3">
      <c r="A4862" t="s">
        <v>2849</v>
      </c>
      <c r="B4862" t="s">
        <v>10794</v>
      </c>
      <c r="C4862" t="s">
        <v>862</v>
      </c>
      <c r="D4862" t="s">
        <v>4754</v>
      </c>
      <c r="E4862" t="s">
        <v>75</v>
      </c>
    </row>
    <row r="4863" spans="1:5" x14ac:dyDescent="0.3">
      <c r="A4863" t="s">
        <v>59</v>
      </c>
      <c r="B4863" t="s">
        <v>7374</v>
      </c>
      <c r="C4863" t="s">
        <v>460</v>
      </c>
      <c r="D4863" t="s">
        <v>10795</v>
      </c>
      <c r="E4863" t="s">
        <v>75</v>
      </c>
    </row>
    <row r="4864" spans="1:5" x14ac:dyDescent="0.3">
      <c r="A4864" t="s">
        <v>130</v>
      </c>
      <c r="B4864" t="s">
        <v>10798</v>
      </c>
      <c r="C4864" t="s">
        <v>862</v>
      </c>
      <c r="D4864" t="s">
        <v>10797</v>
      </c>
      <c r="E4864" t="s">
        <v>75</v>
      </c>
    </row>
    <row r="4865" spans="1:5" x14ac:dyDescent="0.3">
      <c r="A4865" t="s">
        <v>7473</v>
      </c>
      <c r="B4865" t="s">
        <v>10801</v>
      </c>
      <c r="C4865" t="s">
        <v>10800</v>
      </c>
      <c r="D4865" t="s">
        <v>10799</v>
      </c>
      <c r="E4865" t="s">
        <v>75</v>
      </c>
    </row>
    <row r="4866" spans="1:5" x14ac:dyDescent="0.3">
      <c r="A4866" t="s">
        <v>1373</v>
      </c>
      <c r="B4866" t="s">
        <v>10803</v>
      </c>
      <c r="C4866" t="s">
        <v>467</v>
      </c>
      <c r="D4866" t="s">
        <v>10776</v>
      </c>
      <c r="E4866" t="s">
        <v>75</v>
      </c>
    </row>
    <row r="4867" spans="1:5" x14ac:dyDescent="0.3">
      <c r="A4867" t="s">
        <v>27</v>
      </c>
      <c r="B4867" t="s">
        <v>10805</v>
      </c>
      <c r="C4867" t="s">
        <v>10804</v>
      </c>
      <c r="D4867" t="s">
        <v>4754</v>
      </c>
      <c r="E4867" t="s">
        <v>75</v>
      </c>
    </row>
    <row r="4868" spans="1:5" x14ac:dyDescent="0.3">
      <c r="A4868" t="s">
        <v>1443</v>
      </c>
      <c r="B4868" t="s">
        <v>348</v>
      </c>
      <c r="C4868" t="s">
        <v>10806</v>
      </c>
      <c r="D4868" t="s">
        <v>1246</v>
      </c>
      <c r="E4868" t="s">
        <v>1</v>
      </c>
    </row>
    <row r="4869" spans="1:5" x14ac:dyDescent="0.3">
      <c r="A4869" t="s">
        <v>100</v>
      </c>
      <c r="B4869" t="s">
        <v>10807</v>
      </c>
      <c r="C4869" t="s">
        <v>467</v>
      </c>
      <c r="D4869" t="s">
        <v>895</v>
      </c>
      <c r="E4869" t="s">
        <v>897</v>
      </c>
    </row>
    <row r="4870" spans="1:5" x14ac:dyDescent="0.3">
      <c r="A4870" t="s">
        <v>100</v>
      </c>
      <c r="B4870" t="s">
        <v>10808</v>
      </c>
      <c r="C4870" t="s">
        <v>862</v>
      </c>
      <c r="D4870" t="s">
        <v>919</v>
      </c>
      <c r="E4870" t="s">
        <v>1</v>
      </c>
    </row>
    <row r="4871" spans="1:5" x14ac:dyDescent="0.3">
      <c r="A4871" t="s">
        <v>1495</v>
      </c>
      <c r="B4871" t="s">
        <v>5731</v>
      </c>
      <c r="C4871" t="s">
        <v>862</v>
      </c>
      <c r="D4871" t="s">
        <v>10809</v>
      </c>
      <c r="E4871" t="s">
        <v>75</v>
      </c>
    </row>
    <row r="4872" spans="1:5" x14ac:dyDescent="0.3">
      <c r="A4872" t="s">
        <v>224</v>
      </c>
      <c r="B4872" t="s">
        <v>10810</v>
      </c>
      <c r="C4872" t="s">
        <v>461</v>
      </c>
      <c r="D4872" t="s">
        <v>2581</v>
      </c>
      <c r="E4872" t="s">
        <v>1</v>
      </c>
    </row>
    <row r="4873" spans="1:5" x14ac:dyDescent="0.3">
      <c r="A4873" t="s">
        <v>50</v>
      </c>
      <c r="B4873" t="s">
        <v>340</v>
      </c>
      <c r="C4873" t="s">
        <v>467</v>
      </c>
      <c r="D4873" t="s">
        <v>10811</v>
      </c>
      <c r="E4873" t="s">
        <v>75</v>
      </c>
    </row>
    <row r="4874" spans="1:5" x14ac:dyDescent="0.3">
      <c r="A4874" t="s">
        <v>10812</v>
      </c>
      <c r="B4874" t="s">
        <v>10813</v>
      </c>
      <c r="C4874" t="s">
        <v>459</v>
      </c>
      <c r="D4874" t="s">
        <v>7612</v>
      </c>
      <c r="E4874" t="s">
        <v>75</v>
      </c>
    </row>
    <row r="4875" spans="1:5" x14ac:dyDescent="0.3">
      <c r="A4875" t="s">
        <v>2432</v>
      </c>
      <c r="B4875" t="s">
        <v>3482</v>
      </c>
      <c r="C4875" t="s">
        <v>458</v>
      </c>
      <c r="D4875" t="s">
        <v>10802</v>
      </c>
      <c r="E4875" t="s">
        <v>75</v>
      </c>
    </row>
    <row r="4876" spans="1:5" x14ac:dyDescent="0.3">
      <c r="A4876" t="s">
        <v>4811</v>
      </c>
      <c r="B4876" t="s">
        <v>10815</v>
      </c>
      <c r="C4876" t="s">
        <v>10814</v>
      </c>
      <c r="D4876" t="s">
        <v>1716</v>
      </c>
      <c r="E4876" t="s">
        <v>741</v>
      </c>
    </row>
    <row r="4877" spans="1:5" x14ac:dyDescent="0.3">
      <c r="A4877" t="s">
        <v>112</v>
      </c>
      <c r="B4877" t="s">
        <v>313</v>
      </c>
      <c r="C4877" t="s">
        <v>10816</v>
      </c>
      <c r="D4877" t="s">
        <v>1655</v>
      </c>
      <c r="E4877" t="s">
        <v>781</v>
      </c>
    </row>
    <row r="4878" spans="1:5" x14ac:dyDescent="0.3">
      <c r="A4878" t="s">
        <v>259</v>
      </c>
      <c r="B4878" t="s">
        <v>10818</v>
      </c>
      <c r="C4878" t="s">
        <v>458</v>
      </c>
      <c r="D4878" t="s">
        <v>895</v>
      </c>
      <c r="E4878" t="s">
        <v>897</v>
      </c>
    </row>
    <row r="4879" spans="1:5" x14ac:dyDescent="0.3">
      <c r="A4879" t="s">
        <v>2849</v>
      </c>
      <c r="B4879" t="s">
        <v>10820</v>
      </c>
      <c r="C4879" t="s">
        <v>458</v>
      </c>
      <c r="D4879" t="s">
        <v>10819</v>
      </c>
      <c r="E4879" t="s">
        <v>75</v>
      </c>
    </row>
    <row r="4880" spans="1:5" x14ac:dyDescent="0.3">
      <c r="A4880" t="s">
        <v>132</v>
      </c>
      <c r="B4880" t="s">
        <v>10822</v>
      </c>
      <c r="C4880" t="s">
        <v>10821</v>
      </c>
      <c r="D4880" t="s">
        <v>5075</v>
      </c>
      <c r="E4880" t="s">
        <v>781</v>
      </c>
    </row>
    <row r="4881" spans="1:5" x14ac:dyDescent="0.3">
      <c r="A4881" t="s">
        <v>195</v>
      </c>
      <c r="B4881" t="s">
        <v>10823</v>
      </c>
      <c r="C4881" t="s">
        <v>862</v>
      </c>
      <c r="D4881" t="s">
        <v>1716</v>
      </c>
      <c r="E4881" t="s">
        <v>741</v>
      </c>
    </row>
    <row r="4882" spans="1:5" x14ac:dyDescent="0.3">
      <c r="A4882" t="s">
        <v>420</v>
      </c>
      <c r="B4882" t="s">
        <v>10825</v>
      </c>
      <c r="C4882" t="s">
        <v>461</v>
      </c>
      <c r="D4882" t="s">
        <v>10824</v>
      </c>
      <c r="E4882" t="s">
        <v>75</v>
      </c>
    </row>
    <row r="4883" spans="1:5" x14ac:dyDescent="0.3">
      <c r="A4883" t="s">
        <v>10420</v>
      </c>
      <c r="B4883" t="s">
        <v>221</v>
      </c>
      <c r="C4883" t="s">
        <v>10826</v>
      </c>
      <c r="D4883" t="s">
        <v>4211</v>
      </c>
      <c r="E4883" t="s">
        <v>75</v>
      </c>
    </row>
    <row r="4884" spans="1:5" x14ac:dyDescent="0.3">
      <c r="A4884" t="s">
        <v>3695</v>
      </c>
      <c r="B4884" t="s">
        <v>7121</v>
      </c>
      <c r="C4884" t="s">
        <v>518</v>
      </c>
      <c r="D4884" t="s">
        <v>1868</v>
      </c>
      <c r="E4884" t="s">
        <v>774</v>
      </c>
    </row>
    <row r="4885" spans="1:5" x14ac:dyDescent="0.3">
      <c r="A4885" t="s">
        <v>860</v>
      </c>
      <c r="B4885" t="s">
        <v>10828</v>
      </c>
      <c r="C4885" t="s">
        <v>10701</v>
      </c>
      <c r="D4885" t="s">
        <v>10827</v>
      </c>
      <c r="E4885" t="s">
        <v>75</v>
      </c>
    </row>
    <row r="4886" spans="1:5" x14ac:dyDescent="0.3">
      <c r="A4886" t="s">
        <v>313</v>
      </c>
      <c r="B4886" t="s">
        <v>10830</v>
      </c>
      <c r="C4886" t="s">
        <v>10829</v>
      </c>
      <c r="D4886" t="s">
        <v>4754</v>
      </c>
      <c r="E4886" t="s">
        <v>75</v>
      </c>
    </row>
    <row r="4887" spans="1:5" x14ac:dyDescent="0.3">
      <c r="A4887" t="s">
        <v>10831</v>
      </c>
      <c r="B4887" t="s">
        <v>4139</v>
      </c>
      <c r="C4887" t="s">
        <v>458</v>
      </c>
      <c r="D4887" t="s">
        <v>5799</v>
      </c>
      <c r="E4887" t="s">
        <v>75</v>
      </c>
    </row>
    <row r="4888" spans="1:5" x14ac:dyDescent="0.3">
      <c r="A4888" t="s">
        <v>66</v>
      </c>
      <c r="B4888" t="s">
        <v>10833</v>
      </c>
      <c r="C4888" t="s">
        <v>10832</v>
      </c>
      <c r="D4888" t="s">
        <v>5524</v>
      </c>
      <c r="E4888" t="s">
        <v>774</v>
      </c>
    </row>
    <row r="4889" spans="1:5" x14ac:dyDescent="0.3">
      <c r="A4889" t="s">
        <v>153</v>
      </c>
      <c r="B4889" t="s">
        <v>10835</v>
      </c>
      <c r="C4889" t="s">
        <v>10834</v>
      </c>
      <c r="D4889" t="s">
        <v>754</v>
      </c>
      <c r="E4889" t="s">
        <v>741</v>
      </c>
    </row>
    <row r="4890" spans="1:5" x14ac:dyDescent="0.3">
      <c r="A4890" t="s">
        <v>2881</v>
      </c>
      <c r="B4890" t="s">
        <v>9589</v>
      </c>
      <c r="C4890" t="s">
        <v>10836</v>
      </c>
      <c r="D4890" t="s">
        <v>5075</v>
      </c>
      <c r="E4890" t="s">
        <v>781</v>
      </c>
    </row>
    <row r="4891" spans="1:5" x14ac:dyDescent="0.3">
      <c r="A4891" t="s">
        <v>411</v>
      </c>
      <c r="B4891" t="s">
        <v>3107</v>
      </c>
      <c r="C4891" t="s">
        <v>10837</v>
      </c>
      <c r="D4891" t="s">
        <v>1716</v>
      </c>
      <c r="E4891" t="s">
        <v>741</v>
      </c>
    </row>
    <row r="4892" spans="1:5" x14ac:dyDescent="0.3">
      <c r="A4892" t="s">
        <v>3821</v>
      </c>
      <c r="B4892" t="s">
        <v>193</v>
      </c>
      <c r="C4892" t="s">
        <v>461</v>
      </c>
      <c r="D4892" t="s">
        <v>10838</v>
      </c>
      <c r="E4892" t="s">
        <v>75</v>
      </c>
    </row>
    <row r="4893" spans="1:5" x14ac:dyDescent="0.3">
      <c r="A4893" t="s">
        <v>3356</v>
      </c>
      <c r="B4893" t="s">
        <v>7369</v>
      </c>
      <c r="C4893" t="s">
        <v>862</v>
      </c>
      <c r="D4893" t="s">
        <v>790</v>
      </c>
      <c r="E4893" t="s">
        <v>75</v>
      </c>
    </row>
    <row r="4894" spans="1:5" x14ac:dyDescent="0.3">
      <c r="A4894" t="s">
        <v>2849</v>
      </c>
      <c r="B4894" t="s">
        <v>10840</v>
      </c>
      <c r="C4894" t="s">
        <v>10839</v>
      </c>
      <c r="D4894" t="s">
        <v>4791</v>
      </c>
      <c r="E4894" t="s">
        <v>75</v>
      </c>
    </row>
    <row r="4895" spans="1:5" x14ac:dyDescent="0.3">
      <c r="A4895" t="s">
        <v>150</v>
      </c>
      <c r="B4895" t="s">
        <v>10841</v>
      </c>
      <c r="C4895" t="s">
        <v>467</v>
      </c>
      <c r="D4895" t="s">
        <v>919</v>
      </c>
      <c r="E4895" t="s">
        <v>1</v>
      </c>
    </row>
    <row r="4896" spans="1:5" x14ac:dyDescent="0.3">
      <c r="A4896" t="s">
        <v>3062</v>
      </c>
      <c r="B4896" t="s">
        <v>5316</v>
      </c>
      <c r="C4896" t="s">
        <v>518</v>
      </c>
      <c r="D4896" t="s">
        <v>1940</v>
      </c>
      <c r="E4896" t="s">
        <v>743</v>
      </c>
    </row>
    <row r="4897" spans="1:5" x14ac:dyDescent="0.3">
      <c r="A4897" t="s">
        <v>5734</v>
      </c>
      <c r="B4897" t="s">
        <v>10842</v>
      </c>
      <c r="C4897" t="s">
        <v>6327</v>
      </c>
      <c r="D4897" t="s">
        <v>1940</v>
      </c>
      <c r="E4897" t="s">
        <v>743</v>
      </c>
    </row>
    <row r="4898" spans="1:5" x14ac:dyDescent="0.3">
      <c r="A4898" t="s">
        <v>10843</v>
      </c>
      <c r="B4898" t="s">
        <v>7409</v>
      </c>
      <c r="C4898" t="s">
        <v>862</v>
      </c>
      <c r="D4898" t="s">
        <v>768</v>
      </c>
      <c r="E4898" t="s">
        <v>1</v>
      </c>
    </row>
    <row r="4899" spans="1:5" x14ac:dyDescent="0.3">
      <c r="A4899" t="s">
        <v>261</v>
      </c>
      <c r="B4899" t="s">
        <v>3446</v>
      </c>
      <c r="C4899" t="s">
        <v>459</v>
      </c>
      <c r="D4899" t="s">
        <v>4688</v>
      </c>
      <c r="E4899" t="s">
        <v>2175</v>
      </c>
    </row>
    <row r="4900" spans="1:5" x14ac:dyDescent="0.3">
      <c r="A4900" t="s">
        <v>5728</v>
      </c>
      <c r="B4900" t="s">
        <v>10845</v>
      </c>
      <c r="C4900" t="s">
        <v>457</v>
      </c>
      <c r="D4900" t="s">
        <v>10844</v>
      </c>
      <c r="E4900" t="s">
        <v>75</v>
      </c>
    </row>
    <row r="4901" spans="1:5" x14ac:dyDescent="0.3">
      <c r="A4901" t="s">
        <v>936</v>
      </c>
      <c r="B4901" t="s">
        <v>10846</v>
      </c>
      <c r="C4901" t="s">
        <v>459</v>
      </c>
      <c r="D4901" t="s">
        <v>4821</v>
      </c>
      <c r="E4901" t="s">
        <v>75</v>
      </c>
    </row>
    <row r="4902" spans="1:5" x14ac:dyDescent="0.3">
      <c r="A4902" t="s">
        <v>1988</v>
      </c>
      <c r="B4902" t="s">
        <v>10847</v>
      </c>
      <c r="C4902" t="s">
        <v>3299</v>
      </c>
      <c r="D4902" t="s">
        <v>818</v>
      </c>
      <c r="E4902" t="s">
        <v>774</v>
      </c>
    </row>
    <row r="4903" spans="1:5" x14ac:dyDescent="0.3">
      <c r="A4903" t="s">
        <v>1099</v>
      </c>
      <c r="B4903" t="s">
        <v>10850</v>
      </c>
      <c r="C4903" t="s">
        <v>10849</v>
      </c>
      <c r="D4903" t="s">
        <v>10848</v>
      </c>
      <c r="E4903" t="s">
        <v>75</v>
      </c>
    </row>
    <row r="4904" spans="1:5" x14ac:dyDescent="0.3">
      <c r="A4904" t="s">
        <v>116</v>
      </c>
      <c r="B4904" t="s">
        <v>4410</v>
      </c>
      <c r="C4904" t="s">
        <v>862</v>
      </c>
      <c r="D4904" t="s">
        <v>818</v>
      </c>
      <c r="E4904" t="s">
        <v>774</v>
      </c>
    </row>
    <row r="4905" spans="1:5" x14ac:dyDescent="0.3">
      <c r="A4905" t="s">
        <v>10852</v>
      </c>
      <c r="B4905" t="s">
        <v>8978</v>
      </c>
      <c r="C4905" t="s">
        <v>461</v>
      </c>
      <c r="D4905" t="s">
        <v>10851</v>
      </c>
      <c r="E4905" t="s">
        <v>75</v>
      </c>
    </row>
    <row r="4906" spans="1:5" x14ac:dyDescent="0.3">
      <c r="A4906" t="s">
        <v>3079</v>
      </c>
      <c r="B4906" t="s">
        <v>2076</v>
      </c>
      <c r="C4906" t="s">
        <v>461</v>
      </c>
      <c r="D4906" t="s">
        <v>4876</v>
      </c>
      <c r="E4906" t="s">
        <v>75</v>
      </c>
    </row>
    <row r="4907" spans="1:5" x14ac:dyDescent="0.3">
      <c r="A4907" t="s">
        <v>66</v>
      </c>
      <c r="B4907" t="s">
        <v>1579</v>
      </c>
      <c r="C4907" t="s">
        <v>2571</v>
      </c>
      <c r="D4907" t="s">
        <v>754</v>
      </c>
      <c r="E4907" t="s">
        <v>741</v>
      </c>
    </row>
    <row r="4908" spans="1:5" x14ac:dyDescent="0.3">
      <c r="A4908" t="s">
        <v>27</v>
      </c>
      <c r="B4908" t="s">
        <v>4444</v>
      </c>
      <c r="C4908" t="s">
        <v>862</v>
      </c>
      <c r="D4908" t="s">
        <v>895</v>
      </c>
      <c r="E4908" t="s">
        <v>897</v>
      </c>
    </row>
    <row r="4909" spans="1:5" x14ac:dyDescent="0.3">
      <c r="A4909" t="s">
        <v>153</v>
      </c>
      <c r="B4909" t="s">
        <v>3077</v>
      </c>
      <c r="C4909" t="s">
        <v>467</v>
      </c>
      <c r="D4909" t="s">
        <v>10853</v>
      </c>
      <c r="E4909" t="s">
        <v>75</v>
      </c>
    </row>
    <row r="4910" spans="1:5" x14ac:dyDescent="0.3">
      <c r="A4910" t="s">
        <v>224</v>
      </c>
      <c r="B4910" t="s">
        <v>1204</v>
      </c>
      <c r="C4910" t="s">
        <v>461</v>
      </c>
      <c r="D4910" t="s">
        <v>3847</v>
      </c>
      <c r="E4910" t="s">
        <v>75</v>
      </c>
    </row>
    <row r="4911" spans="1:5" x14ac:dyDescent="0.3">
      <c r="A4911" t="s">
        <v>4272</v>
      </c>
      <c r="B4911" t="s">
        <v>4273</v>
      </c>
      <c r="C4911" t="s">
        <v>467</v>
      </c>
      <c r="D4911" t="s">
        <v>10721</v>
      </c>
      <c r="E4911" t="s">
        <v>75</v>
      </c>
    </row>
    <row r="4912" spans="1:5" x14ac:dyDescent="0.3">
      <c r="A4912" t="s">
        <v>44</v>
      </c>
      <c r="B4912" t="s">
        <v>1105</v>
      </c>
      <c r="C4912" t="s">
        <v>461</v>
      </c>
      <c r="D4912" t="s">
        <v>10854</v>
      </c>
      <c r="E4912" t="s">
        <v>75</v>
      </c>
    </row>
    <row r="4913" spans="1:5" x14ac:dyDescent="0.3">
      <c r="A4913" t="s">
        <v>3890</v>
      </c>
      <c r="B4913" t="s">
        <v>1945</v>
      </c>
      <c r="C4913" t="s">
        <v>461</v>
      </c>
      <c r="D4913" t="s">
        <v>10855</v>
      </c>
      <c r="E4913" t="s">
        <v>75</v>
      </c>
    </row>
    <row r="4914" spans="1:5" x14ac:dyDescent="0.3">
      <c r="A4914" t="s">
        <v>864</v>
      </c>
      <c r="B4914" t="s">
        <v>10856</v>
      </c>
      <c r="C4914" t="s">
        <v>467</v>
      </c>
      <c r="D4914" t="s">
        <v>3146</v>
      </c>
      <c r="E4914" t="s">
        <v>75</v>
      </c>
    </row>
    <row r="4915" spans="1:5" x14ac:dyDescent="0.3">
      <c r="A4915" t="s">
        <v>38</v>
      </c>
      <c r="B4915" t="s">
        <v>10858</v>
      </c>
      <c r="C4915" t="s">
        <v>862</v>
      </c>
      <c r="D4915" t="s">
        <v>4727</v>
      </c>
      <c r="E4915" t="s">
        <v>75</v>
      </c>
    </row>
    <row r="4916" spans="1:5" x14ac:dyDescent="0.3">
      <c r="A4916" t="s">
        <v>224</v>
      </c>
      <c r="B4916" t="s">
        <v>776</v>
      </c>
      <c r="C4916" t="s">
        <v>7327</v>
      </c>
      <c r="D4916" t="s">
        <v>10857</v>
      </c>
      <c r="E4916" t="s">
        <v>75</v>
      </c>
    </row>
    <row r="4917" spans="1:5" x14ac:dyDescent="0.3">
      <c r="A4917" t="s">
        <v>6623</v>
      </c>
      <c r="B4917" t="s">
        <v>1432</v>
      </c>
      <c r="C4917" t="s">
        <v>10859</v>
      </c>
      <c r="D4917" t="s">
        <v>806</v>
      </c>
      <c r="E4917" t="s">
        <v>1</v>
      </c>
    </row>
    <row r="4918" spans="1:5" x14ac:dyDescent="0.3">
      <c r="A4918" t="s">
        <v>66</v>
      </c>
      <c r="B4918" t="s">
        <v>287</v>
      </c>
      <c r="C4918" t="s">
        <v>458</v>
      </c>
      <c r="D4918" t="s">
        <v>5708</v>
      </c>
      <c r="E4918" t="s">
        <v>75</v>
      </c>
    </row>
    <row r="4919" spans="1:5" x14ac:dyDescent="0.3">
      <c r="A4919" t="s">
        <v>1410</v>
      </c>
      <c r="B4919" t="s">
        <v>10861</v>
      </c>
      <c r="C4919" t="s">
        <v>467</v>
      </c>
      <c r="D4919" t="s">
        <v>10860</v>
      </c>
      <c r="E4919" t="s">
        <v>75</v>
      </c>
    </row>
    <row r="4920" spans="1:5" x14ac:dyDescent="0.3">
      <c r="A4920" t="s">
        <v>3291</v>
      </c>
      <c r="B4920" t="s">
        <v>10863</v>
      </c>
      <c r="C4920" t="s">
        <v>862</v>
      </c>
      <c r="D4920" t="s">
        <v>10862</v>
      </c>
      <c r="E4920" t="s">
        <v>75</v>
      </c>
    </row>
    <row r="4921" spans="1:5" x14ac:dyDescent="0.3">
      <c r="A4921" t="s">
        <v>182</v>
      </c>
      <c r="B4921" t="s">
        <v>10865</v>
      </c>
      <c r="C4921" t="s">
        <v>461</v>
      </c>
      <c r="D4921" t="s">
        <v>10864</v>
      </c>
      <c r="E4921" t="s">
        <v>75</v>
      </c>
    </row>
    <row r="4922" spans="1:5" x14ac:dyDescent="0.3">
      <c r="A4922" t="s">
        <v>1937</v>
      </c>
      <c r="B4922" t="s">
        <v>10866</v>
      </c>
      <c r="C4922" t="s">
        <v>458</v>
      </c>
      <c r="D4922" t="s">
        <v>5508</v>
      </c>
      <c r="E4922" t="s">
        <v>75</v>
      </c>
    </row>
    <row r="4923" spans="1:5" x14ac:dyDescent="0.3">
      <c r="A4923" t="s">
        <v>4567</v>
      </c>
      <c r="B4923" t="s">
        <v>10870</v>
      </c>
      <c r="C4923" t="s">
        <v>467</v>
      </c>
      <c r="D4923" t="s">
        <v>10869</v>
      </c>
      <c r="E4923" t="s">
        <v>75</v>
      </c>
    </row>
    <row r="4924" spans="1:5" x14ac:dyDescent="0.3">
      <c r="A4924" t="s">
        <v>50</v>
      </c>
      <c r="B4924" t="s">
        <v>2562</v>
      </c>
      <c r="C4924" t="s">
        <v>459</v>
      </c>
      <c r="D4924" t="s">
        <v>10871</v>
      </c>
      <c r="E4924" t="s">
        <v>75</v>
      </c>
    </row>
    <row r="4925" spans="1:5" x14ac:dyDescent="0.3">
      <c r="A4925" t="s">
        <v>44</v>
      </c>
      <c r="B4925" t="s">
        <v>2648</v>
      </c>
      <c r="C4925" t="s">
        <v>467</v>
      </c>
      <c r="D4925" t="s">
        <v>2915</v>
      </c>
      <c r="E4925" t="s">
        <v>75</v>
      </c>
    </row>
    <row r="4926" spans="1:5" x14ac:dyDescent="0.3">
      <c r="A4926" t="s">
        <v>160</v>
      </c>
      <c r="B4926" t="s">
        <v>10873</v>
      </c>
      <c r="C4926" t="s">
        <v>461</v>
      </c>
      <c r="D4926" t="s">
        <v>2915</v>
      </c>
      <c r="E4926" t="s">
        <v>75</v>
      </c>
    </row>
    <row r="4927" spans="1:5" x14ac:dyDescent="0.3">
      <c r="A4927" t="s">
        <v>10875</v>
      </c>
      <c r="B4927" t="s">
        <v>10877</v>
      </c>
      <c r="C4927" t="s">
        <v>10876</v>
      </c>
      <c r="D4927" t="s">
        <v>10874</v>
      </c>
      <c r="E4927" t="s">
        <v>75</v>
      </c>
    </row>
    <row r="4928" spans="1:5" x14ac:dyDescent="0.3">
      <c r="A4928" t="s">
        <v>66</v>
      </c>
      <c r="B4928" t="s">
        <v>230</v>
      </c>
      <c r="C4928" t="s">
        <v>4742</v>
      </c>
      <c r="D4928" t="s">
        <v>10878</v>
      </c>
      <c r="E4928" t="s">
        <v>75</v>
      </c>
    </row>
    <row r="4929" spans="1:5" x14ac:dyDescent="0.3">
      <c r="A4929" t="s">
        <v>224</v>
      </c>
      <c r="B4929" t="s">
        <v>10881</v>
      </c>
      <c r="C4929" t="s">
        <v>461</v>
      </c>
      <c r="D4929" t="s">
        <v>10880</v>
      </c>
      <c r="E4929" t="s">
        <v>75</v>
      </c>
    </row>
    <row r="4930" spans="1:5" x14ac:dyDescent="0.3">
      <c r="A4930" t="s">
        <v>150</v>
      </c>
      <c r="B4930" t="s">
        <v>10882</v>
      </c>
      <c r="C4930" t="s">
        <v>460</v>
      </c>
      <c r="D4930" t="s">
        <v>10817</v>
      </c>
      <c r="E4930" t="s">
        <v>75</v>
      </c>
    </row>
    <row r="4931" spans="1:5" x14ac:dyDescent="0.3">
      <c r="A4931" t="s">
        <v>41</v>
      </c>
      <c r="B4931" t="s">
        <v>10884</v>
      </c>
      <c r="C4931" t="s">
        <v>460</v>
      </c>
      <c r="D4931" t="s">
        <v>10883</v>
      </c>
      <c r="E4931" t="s">
        <v>75</v>
      </c>
    </row>
    <row r="4932" spans="1:5" x14ac:dyDescent="0.3">
      <c r="A4932" t="s">
        <v>27</v>
      </c>
      <c r="B4932" t="s">
        <v>7727</v>
      </c>
      <c r="C4932" t="s">
        <v>460</v>
      </c>
      <c r="D4932" t="s">
        <v>10885</v>
      </c>
      <c r="E4932" t="s">
        <v>75</v>
      </c>
    </row>
    <row r="4933" spans="1:5" x14ac:dyDescent="0.3">
      <c r="A4933" t="s">
        <v>1476</v>
      </c>
      <c r="B4933" t="s">
        <v>10551</v>
      </c>
      <c r="C4933" t="s">
        <v>5858</v>
      </c>
      <c r="D4933" t="s">
        <v>10886</v>
      </c>
      <c r="E4933" t="s">
        <v>75</v>
      </c>
    </row>
    <row r="4934" spans="1:5" x14ac:dyDescent="0.3">
      <c r="A4934" t="s">
        <v>150</v>
      </c>
      <c r="B4934" t="s">
        <v>1615</v>
      </c>
      <c r="C4934" t="s">
        <v>467</v>
      </c>
      <c r="D4934" t="s">
        <v>10887</v>
      </c>
      <c r="E4934" t="s">
        <v>75</v>
      </c>
    </row>
    <row r="4935" spans="1:5" x14ac:dyDescent="0.3">
      <c r="A4935" t="s">
        <v>404</v>
      </c>
      <c r="B4935" t="s">
        <v>4780</v>
      </c>
      <c r="C4935" t="s">
        <v>10888</v>
      </c>
      <c r="D4935" t="s">
        <v>10887</v>
      </c>
      <c r="E4935" t="s">
        <v>75</v>
      </c>
    </row>
    <row r="4936" spans="1:5" x14ac:dyDescent="0.3">
      <c r="A4936" t="s">
        <v>342</v>
      </c>
      <c r="B4936" t="s">
        <v>10891</v>
      </c>
      <c r="C4936" t="s">
        <v>461</v>
      </c>
      <c r="D4936" t="s">
        <v>10890</v>
      </c>
      <c r="E4936" t="s">
        <v>75</v>
      </c>
    </row>
    <row r="4937" spans="1:5" x14ac:dyDescent="0.3">
      <c r="A4937" t="s">
        <v>3410</v>
      </c>
      <c r="B4937" t="s">
        <v>3121</v>
      </c>
      <c r="C4937" t="s">
        <v>461</v>
      </c>
      <c r="D4937" t="s">
        <v>10892</v>
      </c>
      <c r="E4937" t="s">
        <v>75</v>
      </c>
    </row>
    <row r="4938" spans="1:5" x14ac:dyDescent="0.3">
      <c r="A4938" t="s">
        <v>3504</v>
      </c>
      <c r="B4938" t="s">
        <v>824</v>
      </c>
      <c r="C4938" t="s">
        <v>467</v>
      </c>
      <c r="D4938" t="s">
        <v>10893</v>
      </c>
      <c r="E4938" t="s">
        <v>75</v>
      </c>
    </row>
    <row r="4939" spans="1:5" x14ac:dyDescent="0.3">
      <c r="A4939" t="s">
        <v>278</v>
      </c>
      <c r="B4939" t="s">
        <v>4012</v>
      </c>
      <c r="C4939" t="s">
        <v>467</v>
      </c>
      <c r="D4939" t="s">
        <v>10894</v>
      </c>
      <c r="E4939" t="s">
        <v>75</v>
      </c>
    </row>
    <row r="4940" spans="1:5" x14ac:dyDescent="0.3">
      <c r="A4940" t="s">
        <v>130</v>
      </c>
      <c r="B4940" t="s">
        <v>10896</v>
      </c>
      <c r="C4940" t="s">
        <v>461</v>
      </c>
      <c r="D4940" t="s">
        <v>10895</v>
      </c>
      <c r="E4940" t="s">
        <v>75</v>
      </c>
    </row>
    <row r="4941" spans="1:5" x14ac:dyDescent="0.3">
      <c r="A4941" t="s">
        <v>864</v>
      </c>
      <c r="B4941" t="s">
        <v>8831</v>
      </c>
      <c r="C4941" t="s">
        <v>460</v>
      </c>
      <c r="D4941" t="s">
        <v>5174</v>
      </c>
      <c r="E4941" t="s">
        <v>75</v>
      </c>
    </row>
    <row r="4942" spans="1:5" x14ac:dyDescent="0.3">
      <c r="A4942" t="s">
        <v>190</v>
      </c>
      <c r="B4942" t="s">
        <v>3444</v>
      </c>
      <c r="C4942" t="s">
        <v>460</v>
      </c>
      <c r="D4942" t="s">
        <v>10897</v>
      </c>
      <c r="E4942" t="s">
        <v>75</v>
      </c>
    </row>
    <row r="4943" spans="1:5" x14ac:dyDescent="0.3">
      <c r="A4943" t="s">
        <v>10899</v>
      </c>
      <c r="B4943" t="s">
        <v>1272</v>
      </c>
      <c r="C4943" t="s">
        <v>467</v>
      </c>
      <c r="D4943" t="s">
        <v>10898</v>
      </c>
      <c r="E4943" t="s">
        <v>75</v>
      </c>
    </row>
    <row r="4944" spans="1:5" x14ac:dyDescent="0.3">
      <c r="A4944" t="s">
        <v>160</v>
      </c>
      <c r="B4944" t="s">
        <v>2477</v>
      </c>
      <c r="C4944" t="s">
        <v>460</v>
      </c>
      <c r="D4944" t="s">
        <v>10900</v>
      </c>
      <c r="E4944" t="s">
        <v>75</v>
      </c>
    </row>
    <row r="4945" spans="1:5" x14ac:dyDescent="0.3">
      <c r="A4945" t="s">
        <v>399</v>
      </c>
      <c r="B4945" t="s">
        <v>4749</v>
      </c>
      <c r="C4945" t="s">
        <v>461</v>
      </c>
      <c r="D4945" t="s">
        <v>10901</v>
      </c>
      <c r="E4945" t="s">
        <v>781</v>
      </c>
    </row>
    <row r="4946" spans="1:5" x14ac:dyDescent="0.3">
      <c r="A4946" t="s">
        <v>108</v>
      </c>
      <c r="B4946" t="s">
        <v>4430</v>
      </c>
      <c r="C4946" t="s">
        <v>467</v>
      </c>
      <c r="D4946" t="s">
        <v>10902</v>
      </c>
      <c r="E4946" t="s">
        <v>75</v>
      </c>
    </row>
    <row r="4947" spans="1:5" x14ac:dyDescent="0.3">
      <c r="A4947" t="s">
        <v>65</v>
      </c>
      <c r="B4947" t="s">
        <v>10904</v>
      </c>
      <c r="C4947" t="s">
        <v>7960</v>
      </c>
      <c r="D4947" t="s">
        <v>10903</v>
      </c>
      <c r="E4947" t="s">
        <v>75</v>
      </c>
    </row>
    <row r="4948" spans="1:5" x14ac:dyDescent="0.3">
      <c r="A4948" t="s">
        <v>997</v>
      </c>
      <c r="B4948" t="s">
        <v>9507</v>
      </c>
      <c r="C4948" t="s">
        <v>3109</v>
      </c>
      <c r="D4948" t="s">
        <v>10905</v>
      </c>
      <c r="E4948" t="s">
        <v>75</v>
      </c>
    </row>
    <row r="4949" spans="1:5" x14ac:dyDescent="0.3">
      <c r="A4949" t="s">
        <v>3169</v>
      </c>
      <c r="B4949" t="s">
        <v>870</v>
      </c>
      <c r="C4949" t="s">
        <v>467</v>
      </c>
      <c r="D4949" t="s">
        <v>10905</v>
      </c>
      <c r="E4949" t="s">
        <v>75</v>
      </c>
    </row>
    <row r="4950" spans="1:5" x14ac:dyDescent="0.3">
      <c r="A4950" t="s">
        <v>1579</v>
      </c>
      <c r="B4950" t="s">
        <v>1291</v>
      </c>
      <c r="C4950" t="s">
        <v>457</v>
      </c>
      <c r="D4950" t="s">
        <v>10906</v>
      </c>
      <c r="E4950" t="s">
        <v>75</v>
      </c>
    </row>
    <row r="4951" spans="1:5" x14ac:dyDescent="0.3">
      <c r="A4951" t="s">
        <v>116</v>
      </c>
      <c r="B4951" t="s">
        <v>4712</v>
      </c>
      <c r="C4951" t="s">
        <v>461</v>
      </c>
      <c r="D4951" t="s">
        <v>10907</v>
      </c>
      <c r="E4951" t="s">
        <v>75</v>
      </c>
    </row>
    <row r="4952" spans="1:5" x14ac:dyDescent="0.3">
      <c r="A4952" t="s">
        <v>3561</v>
      </c>
      <c r="B4952" t="s">
        <v>7805</v>
      </c>
      <c r="C4952" t="s">
        <v>461</v>
      </c>
      <c r="D4952" t="s">
        <v>10908</v>
      </c>
      <c r="E4952" t="s">
        <v>761</v>
      </c>
    </row>
    <row r="4953" spans="1:5" x14ac:dyDescent="0.3">
      <c r="A4953" t="s">
        <v>150</v>
      </c>
      <c r="B4953" t="s">
        <v>3805</v>
      </c>
      <c r="C4953" t="s">
        <v>461</v>
      </c>
      <c r="D4953" t="s">
        <v>10909</v>
      </c>
      <c r="E4953" t="s">
        <v>75</v>
      </c>
    </row>
    <row r="4954" spans="1:5" x14ac:dyDescent="0.3">
      <c r="A4954" t="s">
        <v>10911</v>
      </c>
      <c r="B4954" t="s">
        <v>5229</v>
      </c>
      <c r="C4954" t="s">
        <v>461</v>
      </c>
      <c r="D4954" t="s">
        <v>10910</v>
      </c>
      <c r="E4954" t="s">
        <v>75</v>
      </c>
    </row>
    <row r="4955" spans="1:5" x14ac:dyDescent="0.3">
      <c r="A4955" t="s">
        <v>181</v>
      </c>
      <c r="B4955" t="s">
        <v>5805</v>
      </c>
      <c r="C4955" t="s">
        <v>3521</v>
      </c>
      <c r="D4955" t="s">
        <v>10912</v>
      </c>
      <c r="E4955" t="s">
        <v>75</v>
      </c>
    </row>
    <row r="4956" spans="1:5" x14ac:dyDescent="0.3">
      <c r="A4956" t="s">
        <v>298</v>
      </c>
      <c r="B4956" t="s">
        <v>4747</v>
      </c>
      <c r="C4956" t="s">
        <v>457</v>
      </c>
      <c r="D4956" t="s">
        <v>10913</v>
      </c>
      <c r="E4956" t="s">
        <v>75</v>
      </c>
    </row>
    <row r="4957" spans="1:5" x14ac:dyDescent="0.3">
      <c r="A4957" t="s">
        <v>6380</v>
      </c>
      <c r="B4957" t="s">
        <v>10915</v>
      </c>
      <c r="C4957" t="s">
        <v>862</v>
      </c>
      <c r="D4957" t="s">
        <v>10914</v>
      </c>
      <c r="E4957" t="s">
        <v>75</v>
      </c>
    </row>
    <row r="4958" spans="1:5" x14ac:dyDescent="0.3">
      <c r="A4958" t="s">
        <v>6347</v>
      </c>
      <c r="B4958" t="s">
        <v>10917</v>
      </c>
      <c r="C4958" t="s">
        <v>461</v>
      </c>
      <c r="D4958" t="s">
        <v>10916</v>
      </c>
      <c r="E4958" t="s">
        <v>75</v>
      </c>
    </row>
    <row r="4959" spans="1:5" x14ac:dyDescent="0.3">
      <c r="A4959" t="s">
        <v>253</v>
      </c>
      <c r="B4959" t="s">
        <v>10921</v>
      </c>
      <c r="C4959" t="s">
        <v>461</v>
      </c>
      <c r="D4959" t="s">
        <v>10920</v>
      </c>
      <c r="E4959" t="s">
        <v>75</v>
      </c>
    </row>
    <row r="4960" spans="1:5" x14ac:dyDescent="0.3">
      <c r="A4960" t="s">
        <v>224</v>
      </c>
      <c r="B4960" t="s">
        <v>10923</v>
      </c>
      <c r="C4960" t="s">
        <v>457</v>
      </c>
      <c r="D4960" t="s">
        <v>10922</v>
      </c>
      <c r="E4960" t="s">
        <v>75</v>
      </c>
    </row>
    <row r="4961" spans="1:5" x14ac:dyDescent="0.3">
      <c r="A4961" t="s">
        <v>14</v>
      </c>
      <c r="B4961" t="s">
        <v>2355</v>
      </c>
      <c r="C4961" t="s">
        <v>467</v>
      </c>
      <c r="D4961" t="s">
        <v>10924</v>
      </c>
      <c r="E4961" t="s">
        <v>75</v>
      </c>
    </row>
    <row r="4962" spans="1:5" x14ac:dyDescent="0.3">
      <c r="A4962" t="s">
        <v>82</v>
      </c>
      <c r="B4962" t="s">
        <v>7257</v>
      </c>
      <c r="C4962" t="s">
        <v>460</v>
      </c>
      <c r="D4962" t="s">
        <v>9122</v>
      </c>
      <c r="E4962" t="s">
        <v>75</v>
      </c>
    </row>
    <row r="4963" spans="1:5" x14ac:dyDescent="0.3">
      <c r="A4963" t="s">
        <v>184</v>
      </c>
      <c r="B4963" t="s">
        <v>10926</v>
      </c>
      <c r="C4963" t="s">
        <v>457</v>
      </c>
      <c r="D4963" t="s">
        <v>10925</v>
      </c>
      <c r="E4963" t="s">
        <v>75</v>
      </c>
    </row>
    <row r="4964" spans="1:5" x14ac:dyDescent="0.3">
      <c r="A4964" t="s">
        <v>1409</v>
      </c>
      <c r="B4964" t="s">
        <v>10928</v>
      </c>
      <c r="C4964" t="s">
        <v>461</v>
      </c>
      <c r="D4964" t="s">
        <v>10927</v>
      </c>
      <c r="E4964" t="s">
        <v>75</v>
      </c>
    </row>
    <row r="4965" spans="1:5" x14ac:dyDescent="0.3">
      <c r="A4965" t="s">
        <v>131</v>
      </c>
      <c r="B4965" t="s">
        <v>10931</v>
      </c>
      <c r="C4965" t="s">
        <v>6069</v>
      </c>
      <c r="D4965" t="s">
        <v>10930</v>
      </c>
      <c r="E4965" t="s">
        <v>75</v>
      </c>
    </row>
    <row r="4966" spans="1:5" x14ac:dyDescent="0.3">
      <c r="A4966" t="s">
        <v>79</v>
      </c>
      <c r="B4966" t="s">
        <v>2948</v>
      </c>
      <c r="C4966" t="s">
        <v>460</v>
      </c>
      <c r="D4966" t="s">
        <v>10932</v>
      </c>
      <c r="E4966" t="s">
        <v>75</v>
      </c>
    </row>
    <row r="4967" spans="1:5" x14ac:dyDescent="0.3">
      <c r="A4967" t="s">
        <v>1793</v>
      </c>
      <c r="B4967" t="s">
        <v>816</v>
      </c>
      <c r="C4967" t="s">
        <v>461</v>
      </c>
      <c r="D4967" t="s">
        <v>10933</v>
      </c>
      <c r="E4967" t="s">
        <v>75</v>
      </c>
    </row>
    <row r="4968" spans="1:5" x14ac:dyDescent="0.3">
      <c r="A4968" t="s">
        <v>1329</v>
      </c>
      <c r="B4968" t="s">
        <v>5271</v>
      </c>
      <c r="C4968" t="s">
        <v>459</v>
      </c>
      <c r="D4968" t="s">
        <v>10934</v>
      </c>
      <c r="E4968" t="s">
        <v>75</v>
      </c>
    </row>
    <row r="4969" spans="1:5" x14ac:dyDescent="0.3">
      <c r="A4969" t="s">
        <v>2048</v>
      </c>
      <c r="B4969" t="s">
        <v>10936</v>
      </c>
      <c r="C4969" t="s">
        <v>461</v>
      </c>
      <c r="D4969" t="s">
        <v>10935</v>
      </c>
      <c r="E4969" t="s">
        <v>75</v>
      </c>
    </row>
    <row r="4970" spans="1:5" x14ac:dyDescent="0.3">
      <c r="A4970" t="s">
        <v>65</v>
      </c>
      <c r="B4970" t="s">
        <v>10938</v>
      </c>
      <c r="C4970" t="s">
        <v>467</v>
      </c>
      <c r="D4970" t="s">
        <v>10937</v>
      </c>
      <c r="E4970" t="s">
        <v>75</v>
      </c>
    </row>
    <row r="4971" spans="1:5" x14ac:dyDescent="0.3">
      <c r="A4971" t="s">
        <v>315</v>
      </c>
      <c r="B4971" t="s">
        <v>10940</v>
      </c>
      <c r="C4971" t="s">
        <v>458</v>
      </c>
      <c r="D4971" t="s">
        <v>10939</v>
      </c>
      <c r="E4971" t="s">
        <v>75</v>
      </c>
    </row>
    <row r="4972" spans="1:5" x14ac:dyDescent="0.3">
      <c r="A4972" t="s">
        <v>132</v>
      </c>
      <c r="B4972" t="s">
        <v>3727</v>
      </c>
      <c r="C4972" t="s">
        <v>8491</v>
      </c>
      <c r="D4972" t="s">
        <v>10941</v>
      </c>
      <c r="E4972" t="s">
        <v>75</v>
      </c>
    </row>
    <row r="4973" spans="1:5" x14ac:dyDescent="0.3">
      <c r="A4973" t="s">
        <v>10943</v>
      </c>
      <c r="B4973" t="s">
        <v>10944</v>
      </c>
      <c r="C4973" t="s">
        <v>460</v>
      </c>
      <c r="D4973" t="s">
        <v>10941</v>
      </c>
      <c r="E4973" t="s">
        <v>75</v>
      </c>
    </row>
    <row r="4974" spans="1:5" x14ac:dyDescent="0.3">
      <c r="A4974" t="s">
        <v>224</v>
      </c>
      <c r="B4974" t="s">
        <v>1837</v>
      </c>
      <c r="C4974" t="s">
        <v>4645</v>
      </c>
      <c r="D4974" t="s">
        <v>10945</v>
      </c>
      <c r="E4974" t="s">
        <v>75</v>
      </c>
    </row>
    <row r="4975" spans="1:5" x14ac:dyDescent="0.3">
      <c r="A4975" t="s">
        <v>10947</v>
      </c>
      <c r="B4975" t="s">
        <v>8098</v>
      </c>
      <c r="C4975" t="s">
        <v>461</v>
      </c>
      <c r="D4975" t="s">
        <v>10946</v>
      </c>
      <c r="E4975" t="s">
        <v>75</v>
      </c>
    </row>
    <row r="4976" spans="1:5" x14ac:dyDescent="0.3">
      <c r="A4976" t="s">
        <v>1179</v>
      </c>
      <c r="B4976" t="s">
        <v>10948</v>
      </c>
      <c r="C4976" t="s">
        <v>467</v>
      </c>
      <c r="D4976" t="s">
        <v>10946</v>
      </c>
      <c r="E4976" t="s">
        <v>75</v>
      </c>
    </row>
    <row r="4977" spans="1:5" x14ac:dyDescent="0.3">
      <c r="A4977" t="s">
        <v>50</v>
      </c>
      <c r="B4977" t="s">
        <v>1196</v>
      </c>
      <c r="C4977" t="s">
        <v>10625</v>
      </c>
      <c r="D4977" t="s">
        <v>10946</v>
      </c>
      <c r="E4977" t="s">
        <v>75</v>
      </c>
    </row>
    <row r="4978" spans="1:5" x14ac:dyDescent="0.3">
      <c r="A4978" t="s">
        <v>10163</v>
      </c>
      <c r="B4978" t="s">
        <v>927</v>
      </c>
      <c r="C4978" t="s">
        <v>10949</v>
      </c>
      <c r="D4978" t="s">
        <v>963</v>
      </c>
      <c r="E4978" t="s">
        <v>758</v>
      </c>
    </row>
    <row r="4979" spans="1:5" x14ac:dyDescent="0.3">
      <c r="A4979" t="s">
        <v>131</v>
      </c>
      <c r="B4979" t="s">
        <v>950</v>
      </c>
      <c r="C4979" t="s">
        <v>461</v>
      </c>
      <c r="D4979" t="s">
        <v>10950</v>
      </c>
      <c r="E4979" t="s">
        <v>75</v>
      </c>
    </row>
    <row r="4980" spans="1:5" x14ac:dyDescent="0.3">
      <c r="A4980" t="s">
        <v>826</v>
      </c>
      <c r="B4980" t="s">
        <v>838</v>
      </c>
      <c r="C4980" t="s">
        <v>5766</v>
      </c>
      <c r="D4980" t="s">
        <v>10951</v>
      </c>
      <c r="E4980" t="s">
        <v>75</v>
      </c>
    </row>
    <row r="4981" spans="1:5" x14ac:dyDescent="0.3">
      <c r="A4981" t="s">
        <v>4144</v>
      </c>
      <c r="B4981" t="s">
        <v>8921</v>
      </c>
      <c r="C4981" t="s">
        <v>862</v>
      </c>
      <c r="D4981" t="s">
        <v>10952</v>
      </c>
      <c r="E4981" t="s">
        <v>75</v>
      </c>
    </row>
    <row r="4982" spans="1:5" x14ac:dyDescent="0.3">
      <c r="A4982" t="s">
        <v>4543</v>
      </c>
      <c r="B4982" t="s">
        <v>8682</v>
      </c>
      <c r="C4982" t="s">
        <v>8828</v>
      </c>
      <c r="D4982" t="s">
        <v>10952</v>
      </c>
      <c r="E4982" t="s">
        <v>75</v>
      </c>
    </row>
    <row r="4983" spans="1:5" x14ac:dyDescent="0.3">
      <c r="A4983" t="s">
        <v>44</v>
      </c>
      <c r="B4983" t="s">
        <v>10954</v>
      </c>
      <c r="C4983" t="s">
        <v>460</v>
      </c>
      <c r="D4983" t="s">
        <v>10953</v>
      </c>
      <c r="E4983" t="s">
        <v>75</v>
      </c>
    </row>
    <row r="4984" spans="1:5" x14ac:dyDescent="0.3">
      <c r="A4984" t="s">
        <v>1253</v>
      </c>
      <c r="B4984" t="s">
        <v>10956</v>
      </c>
      <c r="C4984" t="s">
        <v>461</v>
      </c>
      <c r="D4984" t="s">
        <v>10955</v>
      </c>
      <c r="E4984" t="s">
        <v>75</v>
      </c>
    </row>
    <row r="4985" spans="1:5" x14ac:dyDescent="0.3">
      <c r="A4985" t="s">
        <v>3012</v>
      </c>
      <c r="B4985" t="s">
        <v>1420</v>
      </c>
      <c r="C4985" t="s">
        <v>467</v>
      </c>
      <c r="D4985" t="s">
        <v>10957</v>
      </c>
      <c r="E4985" t="s">
        <v>75</v>
      </c>
    </row>
    <row r="4986" spans="1:5" x14ac:dyDescent="0.3">
      <c r="A4986" t="s">
        <v>997</v>
      </c>
      <c r="B4986" t="s">
        <v>330</v>
      </c>
      <c r="C4986" t="s">
        <v>461</v>
      </c>
      <c r="D4986" t="s">
        <v>10958</v>
      </c>
      <c r="E4986" t="s">
        <v>75</v>
      </c>
    </row>
    <row r="4987" spans="1:5" x14ac:dyDescent="0.3">
      <c r="A4987" t="s">
        <v>10960</v>
      </c>
      <c r="B4987" t="s">
        <v>1758</v>
      </c>
      <c r="C4987" t="s">
        <v>10961</v>
      </c>
      <c r="D4987" t="s">
        <v>10959</v>
      </c>
      <c r="E4987" t="s">
        <v>75</v>
      </c>
    </row>
    <row r="4988" spans="1:5" x14ac:dyDescent="0.3">
      <c r="A4988" t="s">
        <v>846</v>
      </c>
      <c r="B4988" t="s">
        <v>10963</v>
      </c>
      <c r="C4988" t="s">
        <v>10962</v>
      </c>
      <c r="D4988" t="s">
        <v>10959</v>
      </c>
      <c r="E4988" t="s">
        <v>75</v>
      </c>
    </row>
    <row r="4989" spans="1:5" x14ac:dyDescent="0.3">
      <c r="A4989" t="s">
        <v>157</v>
      </c>
      <c r="B4989" t="s">
        <v>6663</v>
      </c>
      <c r="C4989" t="s">
        <v>459</v>
      </c>
      <c r="D4989" t="s">
        <v>10959</v>
      </c>
      <c r="E4989" t="s">
        <v>75</v>
      </c>
    </row>
    <row r="4990" spans="1:5" x14ac:dyDescent="0.3">
      <c r="A4990" t="s">
        <v>10965</v>
      </c>
      <c r="B4990" t="s">
        <v>5782</v>
      </c>
      <c r="C4990" t="s">
        <v>457</v>
      </c>
      <c r="D4990" t="s">
        <v>10964</v>
      </c>
      <c r="E4990" t="s">
        <v>774</v>
      </c>
    </row>
    <row r="4991" spans="1:5" x14ac:dyDescent="0.3">
      <c r="A4991" t="s">
        <v>160</v>
      </c>
      <c r="B4991" t="s">
        <v>3692</v>
      </c>
      <c r="C4991" t="s">
        <v>467</v>
      </c>
      <c r="D4991" t="s">
        <v>10966</v>
      </c>
      <c r="E4991" t="s">
        <v>75</v>
      </c>
    </row>
    <row r="4992" spans="1:5" x14ac:dyDescent="0.3">
      <c r="A4992" t="s">
        <v>331</v>
      </c>
      <c r="B4992" t="s">
        <v>1370</v>
      </c>
      <c r="C4992" t="s">
        <v>6069</v>
      </c>
      <c r="D4992" t="s">
        <v>10967</v>
      </c>
      <c r="E4992" t="s">
        <v>75</v>
      </c>
    </row>
    <row r="4993" spans="1:5" x14ac:dyDescent="0.3">
      <c r="A4993" t="s">
        <v>10969</v>
      </c>
      <c r="B4993" t="s">
        <v>10971</v>
      </c>
      <c r="C4993" t="s">
        <v>10970</v>
      </c>
      <c r="D4993" t="s">
        <v>10968</v>
      </c>
      <c r="E4993" t="s">
        <v>75</v>
      </c>
    </row>
    <row r="4994" spans="1:5" x14ac:dyDescent="0.3">
      <c r="A4994" t="s">
        <v>50</v>
      </c>
      <c r="B4994" t="s">
        <v>3750</v>
      </c>
      <c r="C4994" t="s">
        <v>10972</v>
      </c>
      <c r="D4994" t="s">
        <v>6370</v>
      </c>
      <c r="E4994" t="s">
        <v>75</v>
      </c>
    </row>
    <row r="4995" spans="1:5" x14ac:dyDescent="0.3">
      <c r="A4995" t="s">
        <v>6014</v>
      </c>
      <c r="B4995" t="s">
        <v>10973</v>
      </c>
      <c r="C4995" t="s">
        <v>1415</v>
      </c>
      <c r="D4995" t="s">
        <v>739</v>
      </c>
      <c r="E4995" t="s">
        <v>741</v>
      </c>
    </row>
    <row r="4996" spans="1:5" x14ac:dyDescent="0.3">
      <c r="A4996" t="s">
        <v>2391</v>
      </c>
      <c r="B4996" t="s">
        <v>10976</v>
      </c>
      <c r="C4996" t="s">
        <v>460</v>
      </c>
      <c r="D4996" t="s">
        <v>10975</v>
      </c>
      <c r="E4996" t="s">
        <v>75</v>
      </c>
    </row>
    <row r="4997" spans="1:5" x14ac:dyDescent="0.3">
      <c r="A4997" t="s">
        <v>259</v>
      </c>
      <c r="B4997" t="s">
        <v>5089</v>
      </c>
      <c r="C4997" t="s">
        <v>10978</v>
      </c>
      <c r="D4997" t="s">
        <v>10977</v>
      </c>
      <c r="E4997" t="s">
        <v>75</v>
      </c>
    </row>
    <row r="4998" spans="1:5" x14ac:dyDescent="0.3">
      <c r="A4998" t="s">
        <v>1433</v>
      </c>
      <c r="B4998" t="s">
        <v>8554</v>
      </c>
      <c r="C4998" t="s">
        <v>10979</v>
      </c>
      <c r="D4998" t="s">
        <v>1940</v>
      </c>
      <c r="E4998" t="s">
        <v>743</v>
      </c>
    </row>
    <row r="4999" spans="1:5" x14ac:dyDescent="0.3">
      <c r="A4999" t="s">
        <v>931</v>
      </c>
      <c r="B4999" t="s">
        <v>10980</v>
      </c>
      <c r="C4999" t="s">
        <v>467</v>
      </c>
      <c r="D4999" t="s">
        <v>4440</v>
      </c>
      <c r="E4999" t="s">
        <v>75</v>
      </c>
    </row>
    <row r="5000" spans="1:5" x14ac:dyDescent="0.3">
      <c r="A5000" t="s">
        <v>786</v>
      </c>
      <c r="B5000" t="s">
        <v>4292</v>
      </c>
      <c r="C5000" t="s">
        <v>5054</v>
      </c>
      <c r="D5000" t="s">
        <v>4440</v>
      </c>
      <c r="E5000" t="s">
        <v>75</v>
      </c>
    </row>
    <row r="5001" spans="1:5" x14ac:dyDescent="0.3">
      <c r="A5001" t="s">
        <v>206</v>
      </c>
      <c r="B5001" t="s">
        <v>1945</v>
      </c>
      <c r="C5001" t="s">
        <v>460</v>
      </c>
    </row>
    <row r="5002" spans="1:5" x14ac:dyDescent="0.3">
      <c r="A5002" t="s">
        <v>5622</v>
      </c>
      <c r="B5002" t="s">
        <v>10981</v>
      </c>
      <c r="C5002" t="s">
        <v>460</v>
      </c>
    </row>
    <row r="5003" spans="1:5" x14ac:dyDescent="0.3">
      <c r="A5003" t="s">
        <v>411</v>
      </c>
      <c r="B5003" t="s">
        <v>10983</v>
      </c>
      <c r="C5003" t="s">
        <v>467</v>
      </c>
      <c r="D5003" t="s">
        <v>10982</v>
      </c>
      <c r="E5003" t="s">
        <v>75</v>
      </c>
    </row>
    <row r="5004" spans="1:5" x14ac:dyDescent="0.3">
      <c r="A5004" t="s">
        <v>206</v>
      </c>
      <c r="B5004" t="s">
        <v>3795</v>
      </c>
      <c r="C5004" t="s">
        <v>461</v>
      </c>
      <c r="D5004" t="s">
        <v>10982</v>
      </c>
      <c r="E5004" t="s">
        <v>75</v>
      </c>
    </row>
    <row r="5005" spans="1:5" x14ac:dyDescent="0.3">
      <c r="A5005" t="s">
        <v>195</v>
      </c>
      <c r="B5005" t="s">
        <v>2400</v>
      </c>
      <c r="C5005" t="s">
        <v>454</v>
      </c>
      <c r="D5005" t="s">
        <v>10982</v>
      </c>
      <c r="E5005" t="s">
        <v>75</v>
      </c>
    </row>
    <row r="5006" spans="1:5" x14ac:dyDescent="0.3">
      <c r="A5006" t="s">
        <v>195</v>
      </c>
      <c r="B5006" t="s">
        <v>10985</v>
      </c>
      <c r="C5006" t="s">
        <v>457</v>
      </c>
      <c r="D5006" t="s">
        <v>10984</v>
      </c>
      <c r="E5006" t="s">
        <v>75</v>
      </c>
    </row>
    <row r="5007" spans="1:5" x14ac:dyDescent="0.3">
      <c r="A5007" t="s">
        <v>262</v>
      </c>
      <c r="B5007" t="s">
        <v>10987</v>
      </c>
      <c r="C5007" t="s">
        <v>460</v>
      </c>
      <c r="D5007" t="s">
        <v>10986</v>
      </c>
      <c r="E5007" t="s">
        <v>75</v>
      </c>
    </row>
    <row r="5008" spans="1:5" x14ac:dyDescent="0.3">
      <c r="A5008" t="s">
        <v>195</v>
      </c>
      <c r="B5008" t="s">
        <v>8109</v>
      </c>
      <c r="C5008" t="s">
        <v>467</v>
      </c>
      <c r="D5008" t="s">
        <v>10988</v>
      </c>
      <c r="E5008" t="s">
        <v>75</v>
      </c>
    </row>
    <row r="5009" spans="1:5" x14ac:dyDescent="0.3">
      <c r="A5009" t="s">
        <v>399</v>
      </c>
      <c r="B5009" t="s">
        <v>2795</v>
      </c>
      <c r="C5009" t="s">
        <v>862</v>
      </c>
      <c r="D5009" t="s">
        <v>10989</v>
      </c>
      <c r="E5009" t="s">
        <v>75</v>
      </c>
    </row>
    <row r="5010" spans="1:5" x14ac:dyDescent="0.3">
      <c r="A5010" t="s">
        <v>50</v>
      </c>
      <c r="B5010" t="s">
        <v>3577</v>
      </c>
      <c r="C5010" t="s">
        <v>10990</v>
      </c>
      <c r="D5010" t="s">
        <v>769</v>
      </c>
      <c r="E5010" t="s">
        <v>1</v>
      </c>
    </row>
    <row r="5011" spans="1:5" x14ac:dyDescent="0.3">
      <c r="A5011" t="s">
        <v>398</v>
      </c>
      <c r="B5011" t="s">
        <v>10992</v>
      </c>
      <c r="C5011" t="s">
        <v>467</v>
      </c>
      <c r="D5011" t="s">
        <v>10991</v>
      </c>
      <c r="E5011" t="s">
        <v>75</v>
      </c>
    </row>
    <row r="5012" spans="1:5" x14ac:dyDescent="0.3">
      <c r="A5012" t="s">
        <v>3069</v>
      </c>
      <c r="B5012" t="s">
        <v>10995</v>
      </c>
      <c r="C5012" t="s">
        <v>10994</v>
      </c>
      <c r="D5012" t="s">
        <v>10993</v>
      </c>
      <c r="E5012" t="s">
        <v>841</v>
      </c>
    </row>
    <row r="5013" spans="1:5" x14ac:dyDescent="0.3">
      <c r="A5013" t="s">
        <v>9129</v>
      </c>
      <c r="B5013" t="s">
        <v>10997</v>
      </c>
      <c r="C5013" t="s">
        <v>457</v>
      </c>
      <c r="D5013" t="s">
        <v>10996</v>
      </c>
      <c r="E5013" t="s">
        <v>75</v>
      </c>
    </row>
    <row r="5014" spans="1:5" x14ac:dyDescent="0.3">
      <c r="A5014" t="s">
        <v>82</v>
      </c>
      <c r="B5014" t="s">
        <v>10998</v>
      </c>
      <c r="C5014" t="s">
        <v>467</v>
      </c>
      <c r="D5014" t="s">
        <v>763</v>
      </c>
      <c r="E5014" t="s">
        <v>1</v>
      </c>
    </row>
    <row r="5015" spans="1:5" x14ac:dyDescent="0.3">
      <c r="A5015" t="s">
        <v>12562</v>
      </c>
      <c r="B5015" t="s">
        <v>11000</v>
      </c>
      <c r="C5015" t="s">
        <v>467</v>
      </c>
      <c r="D5015" t="s">
        <v>10999</v>
      </c>
      <c r="E5015" t="s">
        <v>75</v>
      </c>
    </row>
    <row r="5016" spans="1:5" x14ac:dyDescent="0.3">
      <c r="A5016" t="s">
        <v>3268</v>
      </c>
      <c r="B5016" t="s">
        <v>86</v>
      </c>
      <c r="C5016" t="s">
        <v>11001</v>
      </c>
      <c r="D5016" t="s">
        <v>747</v>
      </c>
      <c r="E5016" t="s">
        <v>1</v>
      </c>
    </row>
    <row r="5017" spans="1:5" x14ac:dyDescent="0.3">
      <c r="A5017" t="s">
        <v>3694</v>
      </c>
      <c r="B5017" t="s">
        <v>11004</v>
      </c>
      <c r="C5017" t="s">
        <v>11003</v>
      </c>
      <c r="D5017" t="s">
        <v>11002</v>
      </c>
      <c r="E5017" t="s">
        <v>75</v>
      </c>
    </row>
    <row r="5018" spans="1:5" x14ac:dyDescent="0.3">
      <c r="A5018" t="s">
        <v>3194</v>
      </c>
      <c r="B5018" t="s">
        <v>11004</v>
      </c>
      <c r="C5018" t="s">
        <v>461</v>
      </c>
      <c r="D5018" t="s">
        <v>11002</v>
      </c>
      <c r="E5018" t="s">
        <v>75</v>
      </c>
    </row>
    <row r="5019" spans="1:5" x14ac:dyDescent="0.3">
      <c r="A5019" t="s">
        <v>205</v>
      </c>
      <c r="B5019" t="s">
        <v>11006</v>
      </c>
      <c r="C5019" t="s">
        <v>3483</v>
      </c>
      <c r="D5019" t="s">
        <v>11005</v>
      </c>
      <c r="E5019" t="s">
        <v>774</v>
      </c>
    </row>
    <row r="5020" spans="1:5" x14ac:dyDescent="0.3">
      <c r="A5020" t="s">
        <v>1979</v>
      </c>
      <c r="B5020" t="s">
        <v>4581</v>
      </c>
      <c r="C5020" t="s">
        <v>11007</v>
      </c>
      <c r="D5020" t="s">
        <v>1183</v>
      </c>
      <c r="E5020" t="s">
        <v>1</v>
      </c>
    </row>
    <row r="5021" spans="1:5" x14ac:dyDescent="0.3">
      <c r="A5021" t="s">
        <v>50</v>
      </c>
      <c r="B5021" t="s">
        <v>11009</v>
      </c>
      <c r="C5021" t="s">
        <v>460</v>
      </c>
      <c r="D5021" t="s">
        <v>11008</v>
      </c>
      <c r="E5021" t="s">
        <v>75</v>
      </c>
    </row>
    <row r="5022" spans="1:5" x14ac:dyDescent="0.3">
      <c r="A5022" t="s">
        <v>4692</v>
      </c>
      <c r="B5022" t="s">
        <v>11011</v>
      </c>
      <c r="C5022" t="s">
        <v>8644</v>
      </c>
      <c r="D5022" t="s">
        <v>11010</v>
      </c>
      <c r="E5022" t="s">
        <v>75</v>
      </c>
    </row>
    <row r="5023" spans="1:5" x14ac:dyDescent="0.3">
      <c r="A5023" t="s">
        <v>3074</v>
      </c>
      <c r="B5023" t="s">
        <v>7372</v>
      </c>
      <c r="C5023" t="s">
        <v>467</v>
      </c>
      <c r="D5023" t="s">
        <v>11012</v>
      </c>
      <c r="E5023" t="s">
        <v>75</v>
      </c>
    </row>
    <row r="5024" spans="1:5" x14ac:dyDescent="0.3">
      <c r="A5024" t="s">
        <v>347</v>
      </c>
      <c r="B5024" t="s">
        <v>9543</v>
      </c>
      <c r="C5024" t="s">
        <v>461</v>
      </c>
      <c r="D5024" t="s">
        <v>11013</v>
      </c>
      <c r="E5024" t="s">
        <v>75</v>
      </c>
    </row>
    <row r="5025" spans="1:5" x14ac:dyDescent="0.3">
      <c r="A5025" t="s">
        <v>3092</v>
      </c>
      <c r="B5025" t="s">
        <v>11015</v>
      </c>
      <c r="C5025" t="s">
        <v>467</v>
      </c>
      <c r="D5025" t="s">
        <v>11014</v>
      </c>
      <c r="E5025" t="s">
        <v>75</v>
      </c>
    </row>
    <row r="5026" spans="1:5" x14ac:dyDescent="0.3">
      <c r="A5026" t="s">
        <v>3319</v>
      </c>
      <c r="B5026" t="s">
        <v>4999</v>
      </c>
      <c r="C5026" t="s">
        <v>11016</v>
      </c>
      <c r="D5026" t="s">
        <v>4688</v>
      </c>
      <c r="E5026" t="s">
        <v>2175</v>
      </c>
    </row>
    <row r="5027" spans="1:5" x14ac:dyDescent="0.3">
      <c r="A5027" t="s">
        <v>11018</v>
      </c>
      <c r="B5027" t="s">
        <v>11019</v>
      </c>
      <c r="C5027" t="s">
        <v>458</v>
      </c>
      <c r="D5027" t="s">
        <v>11017</v>
      </c>
      <c r="E5027" t="s">
        <v>75</v>
      </c>
    </row>
    <row r="5028" spans="1:5" x14ac:dyDescent="0.3">
      <c r="A5028" t="s">
        <v>2187</v>
      </c>
      <c r="B5028" t="s">
        <v>3104</v>
      </c>
      <c r="C5028" t="s">
        <v>11022</v>
      </c>
      <c r="D5028" t="s">
        <v>11021</v>
      </c>
      <c r="E5028" t="s">
        <v>75</v>
      </c>
    </row>
    <row r="5029" spans="1:5" x14ac:dyDescent="0.3">
      <c r="A5029" t="s">
        <v>3208</v>
      </c>
      <c r="B5029" t="s">
        <v>2991</v>
      </c>
      <c r="C5029" t="s">
        <v>7960</v>
      </c>
      <c r="D5029" t="s">
        <v>11021</v>
      </c>
      <c r="E5029" t="s">
        <v>75</v>
      </c>
    </row>
    <row r="5030" spans="1:5" x14ac:dyDescent="0.3">
      <c r="A5030" t="s">
        <v>997</v>
      </c>
      <c r="B5030" t="s">
        <v>5842</v>
      </c>
      <c r="C5030" t="s">
        <v>467</v>
      </c>
      <c r="D5030" t="s">
        <v>11023</v>
      </c>
      <c r="E5030" t="s">
        <v>75</v>
      </c>
    </row>
    <row r="5031" spans="1:5" x14ac:dyDescent="0.3">
      <c r="A5031" t="s">
        <v>130</v>
      </c>
      <c r="B5031" t="s">
        <v>4161</v>
      </c>
      <c r="C5031" t="s">
        <v>6069</v>
      </c>
      <c r="D5031" t="s">
        <v>11023</v>
      </c>
      <c r="E5031" t="s">
        <v>75</v>
      </c>
    </row>
    <row r="5032" spans="1:5" x14ac:dyDescent="0.3">
      <c r="A5032" t="s">
        <v>150</v>
      </c>
      <c r="B5032" t="s">
        <v>11025</v>
      </c>
      <c r="C5032" t="s">
        <v>11024</v>
      </c>
      <c r="D5032" t="s">
        <v>11023</v>
      </c>
      <c r="E5032" t="s">
        <v>75</v>
      </c>
    </row>
    <row r="5033" spans="1:5" x14ac:dyDescent="0.3">
      <c r="A5033" t="s">
        <v>1631</v>
      </c>
      <c r="B5033" t="s">
        <v>11027</v>
      </c>
      <c r="C5033" t="s">
        <v>457</v>
      </c>
      <c r="D5033" t="s">
        <v>11026</v>
      </c>
      <c r="E5033" t="s">
        <v>75</v>
      </c>
    </row>
    <row r="5034" spans="1:5" x14ac:dyDescent="0.3">
      <c r="A5034" t="s">
        <v>3062</v>
      </c>
      <c r="B5034" t="s">
        <v>4782</v>
      </c>
      <c r="C5034" t="s">
        <v>459</v>
      </c>
      <c r="D5034" t="s">
        <v>11028</v>
      </c>
      <c r="E5034" t="s">
        <v>75</v>
      </c>
    </row>
    <row r="5035" spans="1:5" x14ac:dyDescent="0.3">
      <c r="A5035" t="s">
        <v>1212</v>
      </c>
      <c r="B5035" t="s">
        <v>1630</v>
      </c>
      <c r="C5035" t="s">
        <v>461</v>
      </c>
      <c r="D5035" t="s">
        <v>11030</v>
      </c>
      <c r="E5035" t="s">
        <v>75</v>
      </c>
    </row>
    <row r="5036" spans="1:5" x14ac:dyDescent="0.3">
      <c r="A5036" t="s">
        <v>259</v>
      </c>
      <c r="B5036" t="s">
        <v>5362</v>
      </c>
      <c r="C5036" t="s">
        <v>11031</v>
      </c>
      <c r="D5036" t="s">
        <v>951</v>
      </c>
      <c r="E5036" t="s">
        <v>1</v>
      </c>
    </row>
    <row r="5037" spans="1:5" x14ac:dyDescent="0.3">
      <c r="A5037" t="s">
        <v>999</v>
      </c>
      <c r="B5037" t="s">
        <v>824</v>
      </c>
      <c r="C5037" t="s">
        <v>461</v>
      </c>
      <c r="D5037" t="s">
        <v>11032</v>
      </c>
      <c r="E5037" t="s">
        <v>75</v>
      </c>
    </row>
    <row r="5038" spans="1:5" x14ac:dyDescent="0.3">
      <c r="A5038" t="s">
        <v>931</v>
      </c>
      <c r="B5038" t="s">
        <v>364</v>
      </c>
      <c r="C5038" t="s">
        <v>467</v>
      </c>
      <c r="D5038" t="s">
        <v>11033</v>
      </c>
      <c r="E5038" t="s">
        <v>75</v>
      </c>
    </row>
    <row r="5039" spans="1:5" x14ac:dyDescent="0.3">
      <c r="A5039" t="s">
        <v>133</v>
      </c>
      <c r="B5039" t="s">
        <v>4445</v>
      </c>
      <c r="C5039" t="s">
        <v>467</v>
      </c>
      <c r="D5039" t="s">
        <v>11033</v>
      </c>
      <c r="E5039" t="s">
        <v>75</v>
      </c>
    </row>
    <row r="5040" spans="1:5" x14ac:dyDescent="0.3">
      <c r="A5040" t="s">
        <v>220</v>
      </c>
      <c r="B5040" t="s">
        <v>1370</v>
      </c>
      <c r="C5040" t="s">
        <v>461</v>
      </c>
    </row>
    <row r="5041" spans="1:5" x14ac:dyDescent="0.3">
      <c r="A5041" t="s">
        <v>2483</v>
      </c>
      <c r="B5041" t="s">
        <v>2603</v>
      </c>
      <c r="C5041" t="s">
        <v>467</v>
      </c>
    </row>
    <row r="5042" spans="1:5" x14ac:dyDescent="0.3">
      <c r="A5042" t="s">
        <v>11035</v>
      </c>
      <c r="B5042" t="s">
        <v>3429</v>
      </c>
      <c r="C5042" t="s">
        <v>461</v>
      </c>
      <c r="D5042" t="s">
        <v>11034</v>
      </c>
      <c r="E5042" t="s">
        <v>75</v>
      </c>
    </row>
    <row r="5043" spans="1:5" x14ac:dyDescent="0.3">
      <c r="A5043" t="s">
        <v>41</v>
      </c>
      <c r="B5043" t="s">
        <v>11037</v>
      </c>
      <c r="C5043" t="s">
        <v>459</v>
      </c>
      <c r="D5043" t="s">
        <v>11036</v>
      </c>
      <c r="E5043" t="s">
        <v>75</v>
      </c>
    </row>
    <row r="5044" spans="1:5" x14ac:dyDescent="0.3">
      <c r="A5044" t="s">
        <v>184</v>
      </c>
      <c r="B5044" t="s">
        <v>4730</v>
      </c>
      <c r="C5044" t="s">
        <v>460</v>
      </c>
      <c r="D5044" t="s">
        <v>11038</v>
      </c>
      <c r="E5044" t="s">
        <v>75</v>
      </c>
    </row>
    <row r="5045" spans="1:5" x14ac:dyDescent="0.3">
      <c r="A5045" t="s">
        <v>150</v>
      </c>
      <c r="B5045" t="s">
        <v>7394</v>
      </c>
      <c r="C5045" t="s">
        <v>7024</v>
      </c>
      <c r="D5045" t="s">
        <v>11039</v>
      </c>
      <c r="E5045" t="s">
        <v>75</v>
      </c>
    </row>
    <row r="5046" spans="1:5" x14ac:dyDescent="0.3">
      <c r="A5046" t="s">
        <v>41</v>
      </c>
      <c r="B5046" t="s">
        <v>11041</v>
      </c>
      <c r="C5046" t="s">
        <v>461</v>
      </c>
      <c r="D5046" t="s">
        <v>11040</v>
      </c>
      <c r="E5046" t="s">
        <v>75</v>
      </c>
    </row>
    <row r="5047" spans="1:5" x14ac:dyDescent="0.3">
      <c r="A5047" t="s">
        <v>41</v>
      </c>
      <c r="B5047" t="s">
        <v>10647</v>
      </c>
      <c r="C5047" t="s">
        <v>5291</v>
      </c>
      <c r="D5047" t="s">
        <v>11042</v>
      </c>
      <c r="E5047" t="s">
        <v>75</v>
      </c>
    </row>
    <row r="5048" spans="1:5" x14ac:dyDescent="0.3">
      <c r="A5048" t="s">
        <v>1825</v>
      </c>
      <c r="B5048" t="s">
        <v>1170</v>
      </c>
      <c r="C5048" t="s">
        <v>467</v>
      </c>
      <c r="D5048" t="s">
        <v>11043</v>
      </c>
      <c r="E5048" t="s">
        <v>75</v>
      </c>
    </row>
    <row r="5049" spans="1:5" x14ac:dyDescent="0.3">
      <c r="A5049" t="s">
        <v>5305</v>
      </c>
      <c r="B5049" t="s">
        <v>4092</v>
      </c>
      <c r="C5049" t="s">
        <v>698</v>
      </c>
      <c r="D5049" t="s">
        <v>11044</v>
      </c>
      <c r="E5049" t="s">
        <v>75</v>
      </c>
    </row>
    <row r="5050" spans="1:5" x14ac:dyDescent="0.3">
      <c r="A5050" t="s">
        <v>160</v>
      </c>
      <c r="B5050" t="s">
        <v>11046</v>
      </c>
      <c r="C5050" t="s">
        <v>467</v>
      </c>
      <c r="D5050" t="s">
        <v>11045</v>
      </c>
      <c r="E5050" t="s">
        <v>75</v>
      </c>
    </row>
    <row r="5051" spans="1:5" x14ac:dyDescent="0.3">
      <c r="A5051" t="s">
        <v>2179</v>
      </c>
      <c r="B5051" t="s">
        <v>1420</v>
      </c>
      <c r="C5051" t="s">
        <v>628</v>
      </c>
      <c r="D5051" t="s">
        <v>11047</v>
      </c>
      <c r="E5051" t="s">
        <v>75</v>
      </c>
    </row>
    <row r="5052" spans="1:5" x14ac:dyDescent="0.3">
      <c r="A5052" t="s">
        <v>29</v>
      </c>
      <c r="B5052" t="s">
        <v>4395</v>
      </c>
      <c r="C5052" t="s">
        <v>457</v>
      </c>
      <c r="D5052" t="s">
        <v>11047</v>
      </c>
      <c r="E5052" t="s">
        <v>75</v>
      </c>
    </row>
    <row r="5053" spans="1:5" x14ac:dyDescent="0.3">
      <c r="A5053" t="s">
        <v>131</v>
      </c>
      <c r="B5053" t="s">
        <v>5124</v>
      </c>
      <c r="C5053" t="s">
        <v>460</v>
      </c>
      <c r="D5053" t="s">
        <v>11047</v>
      </c>
      <c r="E5053" t="s">
        <v>75</v>
      </c>
    </row>
    <row r="5054" spans="1:5" x14ac:dyDescent="0.3">
      <c r="A5054" t="s">
        <v>5895</v>
      </c>
      <c r="B5054" t="s">
        <v>5897</v>
      </c>
      <c r="C5054" t="s">
        <v>461</v>
      </c>
      <c r="D5054" t="s">
        <v>11047</v>
      </c>
      <c r="E5054" t="s">
        <v>75</v>
      </c>
    </row>
    <row r="5055" spans="1:5" x14ac:dyDescent="0.3">
      <c r="A5055" t="s">
        <v>11050</v>
      </c>
      <c r="B5055" t="s">
        <v>11051</v>
      </c>
      <c r="C5055" t="s">
        <v>460</v>
      </c>
      <c r="D5055" t="s">
        <v>11049</v>
      </c>
      <c r="E5055" t="s">
        <v>75</v>
      </c>
    </row>
    <row r="5056" spans="1:5" x14ac:dyDescent="0.3">
      <c r="A5056" t="s">
        <v>1580</v>
      </c>
      <c r="B5056" t="s">
        <v>11053</v>
      </c>
      <c r="C5056" t="s">
        <v>11052</v>
      </c>
      <c r="D5056" t="s">
        <v>11049</v>
      </c>
      <c r="E5056" t="s">
        <v>75</v>
      </c>
    </row>
    <row r="5057" spans="1:5" x14ac:dyDescent="0.3">
      <c r="A5057" t="s">
        <v>150</v>
      </c>
      <c r="B5057" t="s">
        <v>10480</v>
      </c>
      <c r="C5057" t="s">
        <v>5168</v>
      </c>
      <c r="D5057" t="s">
        <v>11054</v>
      </c>
      <c r="E5057" t="s">
        <v>75</v>
      </c>
    </row>
    <row r="5058" spans="1:5" x14ac:dyDescent="0.3">
      <c r="A5058" t="s">
        <v>7354</v>
      </c>
      <c r="B5058" t="s">
        <v>11056</v>
      </c>
      <c r="C5058" t="s">
        <v>6361</v>
      </c>
      <c r="D5058" t="s">
        <v>11055</v>
      </c>
      <c r="E5058" t="s">
        <v>75</v>
      </c>
    </row>
    <row r="5059" spans="1:5" x14ac:dyDescent="0.3">
      <c r="A5059" t="s">
        <v>3567</v>
      </c>
      <c r="B5059" t="s">
        <v>3568</v>
      </c>
      <c r="C5059" t="s">
        <v>467</v>
      </c>
      <c r="D5059" t="s">
        <v>11055</v>
      </c>
      <c r="E5059" t="s">
        <v>75</v>
      </c>
    </row>
    <row r="5060" spans="1:5" x14ac:dyDescent="0.3">
      <c r="A5060" t="s">
        <v>3824</v>
      </c>
      <c r="B5060" t="s">
        <v>11058</v>
      </c>
      <c r="C5060" t="s">
        <v>460</v>
      </c>
      <c r="D5060" t="s">
        <v>11057</v>
      </c>
      <c r="E5060" t="s">
        <v>75</v>
      </c>
    </row>
    <row r="5061" spans="1:5" x14ac:dyDescent="0.3">
      <c r="A5061" t="s">
        <v>1793</v>
      </c>
      <c r="B5061" t="s">
        <v>4987</v>
      </c>
      <c r="C5061" t="s">
        <v>467</v>
      </c>
      <c r="D5061" t="s">
        <v>11059</v>
      </c>
      <c r="E5061" t="s">
        <v>75</v>
      </c>
    </row>
    <row r="5062" spans="1:5" x14ac:dyDescent="0.3">
      <c r="A5062" t="s">
        <v>11062</v>
      </c>
      <c r="B5062" t="s">
        <v>11063</v>
      </c>
      <c r="C5062" t="s">
        <v>460</v>
      </c>
      <c r="D5062" t="s">
        <v>11061</v>
      </c>
      <c r="E5062" t="s">
        <v>75</v>
      </c>
    </row>
    <row r="5063" spans="1:5" x14ac:dyDescent="0.3">
      <c r="A5063" t="s">
        <v>195</v>
      </c>
      <c r="B5063" t="s">
        <v>3318</v>
      </c>
      <c r="C5063" t="s">
        <v>7024</v>
      </c>
      <c r="D5063" t="s">
        <v>11064</v>
      </c>
      <c r="E5063" t="s">
        <v>75</v>
      </c>
    </row>
    <row r="5064" spans="1:5" x14ac:dyDescent="0.3">
      <c r="A5064" t="s">
        <v>2008</v>
      </c>
      <c r="B5064" t="s">
        <v>1142</v>
      </c>
      <c r="C5064" t="s">
        <v>467</v>
      </c>
      <c r="D5064" t="s">
        <v>11065</v>
      </c>
      <c r="E5064" t="s">
        <v>75</v>
      </c>
    </row>
    <row r="5065" spans="1:5" x14ac:dyDescent="0.3">
      <c r="A5065" t="s">
        <v>51</v>
      </c>
      <c r="B5065" t="s">
        <v>11067</v>
      </c>
      <c r="C5065" t="s">
        <v>467</v>
      </c>
      <c r="D5065" t="s">
        <v>11066</v>
      </c>
      <c r="E5065" t="s">
        <v>75</v>
      </c>
    </row>
    <row r="5066" spans="1:5" x14ac:dyDescent="0.3">
      <c r="A5066" t="s">
        <v>6034</v>
      </c>
      <c r="B5066" t="s">
        <v>11069</v>
      </c>
      <c r="C5066" t="s">
        <v>460</v>
      </c>
      <c r="D5066" t="s">
        <v>11068</v>
      </c>
      <c r="E5066" t="s">
        <v>75</v>
      </c>
    </row>
    <row r="5067" spans="1:5" x14ac:dyDescent="0.3">
      <c r="A5067" t="s">
        <v>3069</v>
      </c>
      <c r="B5067" t="s">
        <v>13075</v>
      </c>
      <c r="C5067" t="s">
        <v>461</v>
      </c>
      <c r="D5067" t="s">
        <v>11070</v>
      </c>
      <c r="E5067" t="s">
        <v>75</v>
      </c>
    </row>
    <row r="5068" spans="1:5" x14ac:dyDescent="0.3">
      <c r="A5068" t="s">
        <v>153</v>
      </c>
      <c r="B5068" t="s">
        <v>11072</v>
      </c>
      <c r="C5068" t="s">
        <v>459</v>
      </c>
      <c r="D5068" t="s">
        <v>11071</v>
      </c>
      <c r="E5068" t="s">
        <v>75</v>
      </c>
    </row>
    <row r="5069" spans="1:5" x14ac:dyDescent="0.3">
      <c r="A5069" t="s">
        <v>3398</v>
      </c>
      <c r="B5069" t="s">
        <v>11075</v>
      </c>
      <c r="C5069" t="s">
        <v>11074</v>
      </c>
      <c r="D5069" t="s">
        <v>11073</v>
      </c>
      <c r="E5069" t="s">
        <v>75</v>
      </c>
    </row>
    <row r="5070" spans="1:5" x14ac:dyDescent="0.3">
      <c r="A5070" t="s">
        <v>1171</v>
      </c>
      <c r="B5070" t="s">
        <v>1968</v>
      </c>
      <c r="C5070" t="s">
        <v>467</v>
      </c>
      <c r="D5070" t="s">
        <v>11076</v>
      </c>
      <c r="E5070" t="s">
        <v>75</v>
      </c>
    </row>
    <row r="5071" spans="1:5" x14ac:dyDescent="0.3">
      <c r="A5071" t="s">
        <v>199</v>
      </c>
      <c r="B5071" t="s">
        <v>3999</v>
      </c>
      <c r="C5071" t="s">
        <v>467</v>
      </c>
      <c r="D5071" t="s">
        <v>11077</v>
      </c>
      <c r="E5071" t="s">
        <v>75</v>
      </c>
    </row>
    <row r="5072" spans="1:5" x14ac:dyDescent="0.3">
      <c r="A5072" t="s">
        <v>224</v>
      </c>
      <c r="B5072" t="s">
        <v>11078</v>
      </c>
      <c r="C5072" t="s">
        <v>460</v>
      </c>
      <c r="D5072" t="s">
        <v>6117</v>
      </c>
      <c r="E5072" t="s">
        <v>75</v>
      </c>
    </row>
    <row r="5073" spans="1:5" x14ac:dyDescent="0.3">
      <c r="A5073" t="s">
        <v>1278</v>
      </c>
      <c r="B5073" t="s">
        <v>11080</v>
      </c>
      <c r="C5073" t="s">
        <v>11079</v>
      </c>
      <c r="D5073" t="s">
        <v>1080</v>
      </c>
      <c r="E5073" t="s">
        <v>1</v>
      </c>
    </row>
    <row r="5074" spans="1:5" x14ac:dyDescent="0.3">
      <c r="A5074" t="s">
        <v>8328</v>
      </c>
      <c r="B5074" t="s">
        <v>4405</v>
      </c>
      <c r="C5074" t="s">
        <v>456</v>
      </c>
      <c r="D5074" t="s">
        <v>11082</v>
      </c>
      <c r="E5074" t="s">
        <v>758</v>
      </c>
    </row>
    <row r="5075" spans="1:5" x14ac:dyDescent="0.3">
      <c r="A5075" t="s">
        <v>10942</v>
      </c>
      <c r="B5075" t="s">
        <v>1572</v>
      </c>
      <c r="C5075" t="s">
        <v>11084</v>
      </c>
      <c r="D5075" t="s">
        <v>3013</v>
      </c>
      <c r="E5075" t="s">
        <v>758</v>
      </c>
    </row>
    <row r="5076" spans="1:5" x14ac:dyDescent="0.3">
      <c r="A5076" t="s">
        <v>2939</v>
      </c>
      <c r="B5076" t="s">
        <v>3642</v>
      </c>
      <c r="C5076" t="s">
        <v>456</v>
      </c>
      <c r="D5076" t="s">
        <v>3013</v>
      </c>
      <c r="E5076" t="s">
        <v>758</v>
      </c>
    </row>
    <row r="5077" spans="1:5" x14ac:dyDescent="0.3">
      <c r="A5077" t="s">
        <v>3786</v>
      </c>
      <c r="B5077" t="s">
        <v>11086</v>
      </c>
      <c r="C5077" t="s">
        <v>5291</v>
      </c>
      <c r="D5077" t="s">
        <v>11085</v>
      </c>
      <c r="E5077" t="s">
        <v>761</v>
      </c>
    </row>
    <row r="5078" spans="1:5" x14ac:dyDescent="0.3">
      <c r="A5078" t="s">
        <v>1433</v>
      </c>
      <c r="B5078" t="s">
        <v>755</v>
      </c>
      <c r="C5078" t="s">
        <v>11087</v>
      </c>
      <c r="D5078" t="s">
        <v>3016</v>
      </c>
      <c r="E5078" t="s">
        <v>897</v>
      </c>
    </row>
    <row r="5079" spans="1:5" x14ac:dyDescent="0.3">
      <c r="A5079" t="s">
        <v>160</v>
      </c>
      <c r="B5079" t="s">
        <v>3022</v>
      </c>
      <c r="C5079" t="s">
        <v>518</v>
      </c>
      <c r="D5079" t="s">
        <v>3016</v>
      </c>
      <c r="E5079" t="s">
        <v>897</v>
      </c>
    </row>
    <row r="5080" spans="1:5" x14ac:dyDescent="0.3">
      <c r="A5080" t="s">
        <v>224</v>
      </c>
      <c r="B5080" t="s">
        <v>4354</v>
      </c>
      <c r="C5080" t="s">
        <v>862</v>
      </c>
      <c r="D5080" t="s">
        <v>6167</v>
      </c>
      <c r="E5080" t="s">
        <v>75</v>
      </c>
    </row>
    <row r="5081" spans="1:5" x14ac:dyDescent="0.3">
      <c r="A5081" t="s">
        <v>190</v>
      </c>
      <c r="B5081" t="s">
        <v>4986</v>
      </c>
      <c r="C5081" t="s">
        <v>455</v>
      </c>
      <c r="D5081" t="s">
        <v>11088</v>
      </c>
      <c r="E5081" t="s">
        <v>741</v>
      </c>
    </row>
    <row r="5082" spans="1:5" x14ac:dyDescent="0.3">
      <c r="A5082" t="s">
        <v>1523</v>
      </c>
      <c r="B5082" t="s">
        <v>11090</v>
      </c>
      <c r="C5082" t="s">
        <v>11089</v>
      </c>
      <c r="D5082" t="s">
        <v>833</v>
      </c>
      <c r="E5082" t="s">
        <v>741</v>
      </c>
    </row>
    <row r="5083" spans="1:5" x14ac:dyDescent="0.3">
      <c r="A5083" t="s">
        <v>2943</v>
      </c>
      <c r="B5083" t="s">
        <v>11092</v>
      </c>
      <c r="C5083" t="s">
        <v>11091</v>
      </c>
      <c r="D5083" t="s">
        <v>3061</v>
      </c>
      <c r="E5083" t="s">
        <v>741</v>
      </c>
    </row>
    <row r="5084" spans="1:5" x14ac:dyDescent="0.3">
      <c r="A5084" t="s">
        <v>10929</v>
      </c>
      <c r="B5084" t="s">
        <v>11094</v>
      </c>
      <c r="C5084" t="s">
        <v>720</v>
      </c>
      <c r="D5084" t="s">
        <v>11093</v>
      </c>
      <c r="E5084" t="s">
        <v>781</v>
      </c>
    </row>
    <row r="5085" spans="1:5" x14ac:dyDescent="0.3">
      <c r="A5085" t="s">
        <v>298</v>
      </c>
      <c r="B5085" t="s">
        <v>11096</v>
      </c>
      <c r="C5085" t="s">
        <v>461</v>
      </c>
      <c r="D5085" t="s">
        <v>11095</v>
      </c>
      <c r="E5085" t="s">
        <v>75</v>
      </c>
    </row>
    <row r="5086" spans="1:5" x14ac:dyDescent="0.3">
      <c r="A5086" t="s">
        <v>38</v>
      </c>
      <c r="B5086" t="s">
        <v>11098</v>
      </c>
      <c r="C5086" t="s">
        <v>467</v>
      </c>
      <c r="D5086" t="s">
        <v>11097</v>
      </c>
      <c r="E5086" t="s">
        <v>75</v>
      </c>
    </row>
    <row r="5087" spans="1:5" x14ac:dyDescent="0.3">
      <c r="A5087" t="s">
        <v>50</v>
      </c>
      <c r="B5087" t="s">
        <v>2201</v>
      </c>
      <c r="C5087" t="s">
        <v>467</v>
      </c>
      <c r="D5087" t="s">
        <v>6186</v>
      </c>
      <c r="E5087" t="s">
        <v>75</v>
      </c>
    </row>
    <row r="5088" spans="1:5" x14ac:dyDescent="0.3">
      <c r="A5088" t="s">
        <v>44</v>
      </c>
      <c r="B5088" t="s">
        <v>776</v>
      </c>
      <c r="C5088" t="s">
        <v>461</v>
      </c>
      <c r="D5088" t="s">
        <v>6187</v>
      </c>
      <c r="E5088" t="s">
        <v>75</v>
      </c>
    </row>
    <row r="5089" spans="1:5" x14ac:dyDescent="0.3">
      <c r="A5089" t="s">
        <v>41</v>
      </c>
      <c r="B5089" t="s">
        <v>6197</v>
      </c>
      <c r="C5089" t="s">
        <v>459</v>
      </c>
      <c r="D5089" t="s">
        <v>6197</v>
      </c>
      <c r="E5089" t="s">
        <v>75</v>
      </c>
    </row>
    <row r="5090" spans="1:5" x14ac:dyDescent="0.3">
      <c r="A5090" t="s">
        <v>3276</v>
      </c>
      <c r="B5090" t="s">
        <v>11101</v>
      </c>
      <c r="C5090" t="s">
        <v>518</v>
      </c>
      <c r="D5090" t="s">
        <v>11100</v>
      </c>
      <c r="E5090" t="s">
        <v>781</v>
      </c>
    </row>
    <row r="5091" spans="1:5" x14ac:dyDescent="0.3">
      <c r="A5091" t="s">
        <v>14</v>
      </c>
      <c r="B5091" t="s">
        <v>8223</v>
      </c>
      <c r="C5091" t="s">
        <v>11102</v>
      </c>
      <c r="D5091" t="s">
        <v>6200</v>
      </c>
      <c r="E5091" t="s">
        <v>75</v>
      </c>
    </row>
    <row r="5092" spans="1:5" x14ac:dyDescent="0.3">
      <c r="A5092" t="s">
        <v>2428</v>
      </c>
      <c r="B5092" t="s">
        <v>2685</v>
      </c>
      <c r="C5092" t="s">
        <v>11103</v>
      </c>
    </row>
    <row r="5093" spans="1:5" x14ac:dyDescent="0.3">
      <c r="A5093" t="s">
        <v>130</v>
      </c>
      <c r="B5093" t="s">
        <v>5005</v>
      </c>
      <c r="C5093" t="s">
        <v>11104</v>
      </c>
    </row>
    <row r="5094" spans="1:5" x14ac:dyDescent="0.3">
      <c r="A5094" t="s">
        <v>195</v>
      </c>
      <c r="B5094" t="s">
        <v>11105</v>
      </c>
      <c r="C5094" t="s">
        <v>460</v>
      </c>
      <c r="D5094" t="s">
        <v>6201</v>
      </c>
      <c r="E5094" t="s">
        <v>75</v>
      </c>
    </row>
    <row r="5095" spans="1:5" x14ac:dyDescent="0.3">
      <c r="A5095" t="s">
        <v>1920</v>
      </c>
      <c r="B5095" t="s">
        <v>11107</v>
      </c>
      <c r="C5095" t="s">
        <v>11106</v>
      </c>
      <c r="D5095" t="s">
        <v>3192</v>
      </c>
      <c r="E5095" t="s">
        <v>743</v>
      </c>
    </row>
    <row r="5096" spans="1:5" x14ac:dyDescent="0.3">
      <c r="A5096" t="s">
        <v>11108</v>
      </c>
      <c r="B5096" t="s">
        <v>11109</v>
      </c>
      <c r="C5096" t="s">
        <v>862</v>
      </c>
      <c r="D5096" t="s">
        <v>769</v>
      </c>
      <c r="E5096" t="s">
        <v>1</v>
      </c>
    </row>
    <row r="5097" spans="1:5" x14ac:dyDescent="0.3">
      <c r="A5097" t="s">
        <v>11110</v>
      </c>
      <c r="B5097" t="s">
        <v>11111</v>
      </c>
      <c r="C5097" t="s">
        <v>467</v>
      </c>
      <c r="D5097" t="s">
        <v>6207</v>
      </c>
      <c r="E5097" t="s">
        <v>75</v>
      </c>
    </row>
    <row r="5098" spans="1:5" x14ac:dyDescent="0.3">
      <c r="A5098" t="s">
        <v>44</v>
      </c>
      <c r="B5098" t="s">
        <v>179</v>
      </c>
      <c r="C5098" t="s">
        <v>862</v>
      </c>
      <c r="D5098" t="s">
        <v>769</v>
      </c>
      <c r="E5098" t="s">
        <v>1</v>
      </c>
    </row>
    <row r="5099" spans="1:5" x14ac:dyDescent="0.3">
      <c r="A5099" t="s">
        <v>132</v>
      </c>
      <c r="B5099" t="s">
        <v>991</v>
      </c>
      <c r="C5099" t="s">
        <v>11113</v>
      </c>
      <c r="D5099" t="s">
        <v>769</v>
      </c>
      <c r="E5099" t="s">
        <v>1</v>
      </c>
    </row>
    <row r="5100" spans="1:5" x14ac:dyDescent="0.3">
      <c r="A5100" t="s">
        <v>224</v>
      </c>
      <c r="B5100" t="s">
        <v>1170</v>
      </c>
      <c r="C5100" t="s">
        <v>467</v>
      </c>
      <c r="D5100" t="s">
        <v>11114</v>
      </c>
      <c r="E5100" t="s">
        <v>75</v>
      </c>
    </row>
    <row r="5101" spans="1:5" x14ac:dyDescent="0.3">
      <c r="A5101" t="s">
        <v>39</v>
      </c>
      <c r="B5101" t="s">
        <v>6000</v>
      </c>
      <c r="C5101" t="s">
        <v>862</v>
      </c>
      <c r="D5101" t="s">
        <v>769</v>
      </c>
      <c r="E5101" t="s">
        <v>1</v>
      </c>
    </row>
    <row r="5102" spans="1:5" x14ac:dyDescent="0.3">
      <c r="A5102" t="s">
        <v>4567</v>
      </c>
      <c r="B5102" t="s">
        <v>10870</v>
      </c>
      <c r="C5102" t="s">
        <v>460</v>
      </c>
      <c r="D5102" t="s">
        <v>9174</v>
      </c>
      <c r="E5102" t="s">
        <v>75</v>
      </c>
    </row>
    <row r="5103" spans="1:5" x14ac:dyDescent="0.3">
      <c r="A5103" t="s">
        <v>5347</v>
      </c>
      <c r="B5103" t="s">
        <v>269</v>
      </c>
      <c r="C5103" t="s">
        <v>11115</v>
      </c>
      <c r="D5103" t="s">
        <v>768</v>
      </c>
      <c r="E5103" t="s">
        <v>1</v>
      </c>
    </row>
    <row r="5104" spans="1:5" x14ac:dyDescent="0.3">
      <c r="A5104" t="s">
        <v>3929</v>
      </c>
      <c r="B5104" t="s">
        <v>11117</v>
      </c>
      <c r="C5104" t="s">
        <v>4247</v>
      </c>
      <c r="D5104" t="s">
        <v>11116</v>
      </c>
      <c r="E5104" t="s">
        <v>75</v>
      </c>
    </row>
    <row r="5105" spans="1:5" x14ac:dyDescent="0.3">
      <c r="A5105" t="s">
        <v>1317</v>
      </c>
      <c r="B5105" t="s">
        <v>11119</v>
      </c>
      <c r="C5105" t="s">
        <v>11118</v>
      </c>
      <c r="D5105" t="s">
        <v>7881</v>
      </c>
      <c r="E5105" t="s">
        <v>75</v>
      </c>
    </row>
    <row r="5106" spans="1:5" x14ac:dyDescent="0.3">
      <c r="A5106" t="s">
        <v>1813</v>
      </c>
      <c r="B5106" t="s">
        <v>1281</v>
      </c>
      <c r="C5106" t="s">
        <v>467</v>
      </c>
      <c r="D5106" t="s">
        <v>11120</v>
      </c>
      <c r="E5106" t="s">
        <v>75</v>
      </c>
    </row>
    <row r="5107" spans="1:5" x14ac:dyDescent="0.3">
      <c r="A5107" t="s">
        <v>1433</v>
      </c>
      <c r="B5107" t="s">
        <v>4321</v>
      </c>
      <c r="C5107" t="s">
        <v>461</v>
      </c>
      <c r="D5107" t="s">
        <v>11122</v>
      </c>
      <c r="E5107" t="s">
        <v>75</v>
      </c>
    </row>
    <row r="5108" spans="1:5" x14ac:dyDescent="0.3">
      <c r="A5108" t="s">
        <v>132</v>
      </c>
      <c r="B5108" t="s">
        <v>9843</v>
      </c>
      <c r="C5108" t="s">
        <v>11123</v>
      </c>
      <c r="D5108" t="s">
        <v>1246</v>
      </c>
      <c r="E5108" t="s">
        <v>1</v>
      </c>
    </row>
    <row r="5109" spans="1:5" x14ac:dyDescent="0.3">
      <c r="A5109" t="s">
        <v>1933</v>
      </c>
      <c r="B5109" t="s">
        <v>4605</v>
      </c>
      <c r="C5109" t="s">
        <v>459</v>
      </c>
      <c r="D5109" t="s">
        <v>11124</v>
      </c>
      <c r="E5109" t="s">
        <v>75</v>
      </c>
    </row>
    <row r="5110" spans="1:5" x14ac:dyDescent="0.3">
      <c r="A5110" t="s">
        <v>1576</v>
      </c>
      <c r="B5110" t="s">
        <v>11127</v>
      </c>
      <c r="C5110" t="s">
        <v>11126</v>
      </c>
      <c r="D5110" t="s">
        <v>895</v>
      </c>
      <c r="E5110" t="s">
        <v>897</v>
      </c>
    </row>
    <row r="5111" spans="1:5" x14ac:dyDescent="0.3">
      <c r="A5111" t="s">
        <v>224</v>
      </c>
      <c r="B5111" t="s">
        <v>384</v>
      </c>
      <c r="C5111" t="s">
        <v>862</v>
      </c>
      <c r="D5111" t="s">
        <v>895</v>
      </c>
      <c r="E5111" t="s">
        <v>897</v>
      </c>
    </row>
    <row r="5112" spans="1:5" x14ac:dyDescent="0.3">
      <c r="A5112" t="s">
        <v>1662</v>
      </c>
      <c r="B5112" t="s">
        <v>1759</v>
      </c>
      <c r="C5112" t="s">
        <v>698</v>
      </c>
      <c r="D5112" t="s">
        <v>7592</v>
      </c>
      <c r="E5112" t="s">
        <v>781</v>
      </c>
    </row>
    <row r="5113" spans="1:5" x14ac:dyDescent="0.3">
      <c r="A5113" t="s">
        <v>47</v>
      </c>
      <c r="B5113" t="s">
        <v>3740</v>
      </c>
      <c r="C5113" t="s">
        <v>461</v>
      </c>
    </row>
    <row r="5114" spans="1:5" x14ac:dyDescent="0.3">
      <c r="A5114" t="s">
        <v>1406</v>
      </c>
      <c r="B5114" t="s">
        <v>6356</v>
      </c>
      <c r="C5114" t="s">
        <v>628</v>
      </c>
      <c r="D5114" t="s">
        <v>11128</v>
      </c>
      <c r="E5114" t="s">
        <v>781</v>
      </c>
    </row>
    <row r="5115" spans="1:5" x14ac:dyDescent="0.3">
      <c r="A5115" t="s">
        <v>116</v>
      </c>
      <c r="B5115" t="s">
        <v>11129</v>
      </c>
      <c r="C5115" t="s">
        <v>461</v>
      </c>
    </row>
    <row r="5116" spans="1:5" x14ac:dyDescent="0.3">
      <c r="A5116" t="s">
        <v>411</v>
      </c>
      <c r="B5116" t="s">
        <v>10398</v>
      </c>
      <c r="C5116" t="s">
        <v>518</v>
      </c>
      <c r="D5116" t="s">
        <v>11130</v>
      </c>
      <c r="E5116" t="s">
        <v>741</v>
      </c>
    </row>
    <row r="5117" spans="1:5" x14ac:dyDescent="0.3">
      <c r="A5117" t="s">
        <v>56</v>
      </c>
      <c r="B5117" t="s">
        <v>4347</v>
      </c>
      <c r="C5117" t="s">
        <v>11131</v>
      </c>
      <c r="D5117" t="s">
        <v>5624</v>
      </c>
      <c r="E5117" t="s">
        <v>774</v>
      </c>
    </row>
    <row r="5118" spans="1:5" x14ac:dyDescent="0.3">
      <c r="A5118" t="s">
        <v>411</v>
      </c>
      <c r="B5118" t="s">
        <v>11132</v>
      </c>
      <c r="C5118" t="s">
        <v>6475</v>
      </c>
      <c r="D5118" t="s">
        <v>2880</v>
      </c>
      <c r="E5118" t="s">
        <v>758</v>
      </c>
    </row>
    <row r="5119" spans="1:5" x14ac:dyDescent="0.3">
      <c r="A5119" t="s">
        <v>315</v>
      </c>
      <c r="B5119" t="s">
        <v>11134</v>
      </c>
      <c r="C5119" t="s">
        <v>11133</v>
      </c>
      <c r="D5119" t="s">
        <v>2880</v>
      </c>
      <c r="E5119" t="s">
        <v>758</v>
      </c>
    </row>
    <row r="5120" spans="1:5" x14ac:dyDescent="0.3">
      <c r="A5120" t="s">
        <v>180</v>
      </c>
      <c r="B5120" t="s">
        <v>11136</v>
      </c>
      <c r="C5120" t="s">
        <v>467</v>
      </c>
      <c r="D5120" t="s">
        <v>11135</v>
      </c>
      <c r="E5120" t="s">
        <v>75</v>
      </c>
    </row>
    <row r="5121" spans="1:5" x14ac:dyDescent="0.3">
      <c r="A5121" t="s">
        <v>411</v>
      </c>
      <c r="B5121" t="s">
        <v>231</v>
      </c>
      <c r="C5121" t="s">
        <v>11137</v>
      </c>
      <c r="D5121" t="s">
        <v>11135</v>
      </c>
      <c r="E5121" t="s">
        <v>75</v>
      </c>
    </row>
    <row r="5122" spans="1:5" x14ac:dyDescent="0.3">
      <c r="A5122" t="s">
        <v>190</v>
      </c>
      <c r="B5122" t="s">
        <v>11139</v>
      </c>
      <c r="C5122" t="s">
        <v>460</v>
      </c>
      <c r="D5122" t="s">
        <v>11138</v>
      </c>
      <c r="E5122" t="s">
        <v>75</v>
      </c>
    </row>
    <row r="5123" spans="1:5" x14ac:dyDescent="0.3">
      <c r="A5123" t="s">
        <v>116</v>
      </c>
      <c r="B5123" t="s">
        <v>1204</v>
      </c>
      <c r="C5123" t="s">
        <v>467</v>
      </c>
      <c r="D5123" t="s">
        <v>6439</v>
      </c>
      <c r="E5123" t="s">
        <v>75</v>
      </c>
    </row>
    <row r="5124" spans="1:5" x14ac:dyDescent="0.3">
      <c r="A5124" t="s">
        <v>3451</v>
      </c>
      <c r="B5124" t="s">
        <v>11140</v>
      </c>
      <c r="C5124" t="s">
        <v>698</v>
      </c>
      <c r="D5124" t="s">
        <v>6176</v>
      </c>
      <c r="E5124" t="s">
        <v>774</v>
      </c>
    </row>
    <row r="5125" spans="1:5" x14ac:dyDescent="0.3">
      <c r="A5125" t="s">
        <v>11142</v>
      </c>
      <c r="B5125" t="s">
        <v>1179</v>
      </c>
      <c r="C5125" t="s">
        <v>467</v>
      </c>
      <c r="D5125" t="s">
        <v>11141</v>
      </c>
      <c r="E5125" t="s">
        <v>75</v>
      </c>
    </row>
    <row r="5126" spans="1:5" x14ac:dyDescent="0.3">
      <c r="A5126" t="s">
        <v>1895</v>
      </c>
      <c r="B5126" t="s">
        <v>6127</v>
      </c>
      <c r="C5126" t="s">
        <v>852</v>
      </c>
      <c r="D5126" t="s">
        <v>6461</v>
      </c>
      <c r="E5126" t="s">
        <v>75</v>
      </c>
    </row>
    <row r="5127" spans="1:5" x14ac:dyDescent="0.3">
      <c r="A5127" t="s">
        <v>2143</v>
      </c>
      <c r="B5127" t="s">
        <v>5825</v>
      </c>
      <c r="C5127" t="s">
        <v>461</v>
      </c>
      <c r="D5127" t="s">
        <v>6439</v>
      </c>
      <c r="E5127" t="s">
        <v>75</v>
      </c>
    </row>
    <row r="5128" spans="1:5" x14ac:dyDescent="0.3">
      <c r="A5128" t="s">
        <v>230</v>
      </c>
      <c r="B5128" t="s">
        <v>11144</v>
      </c>
      <c r="C5128" t="s">
        <v>11143</v>
      </c>
      <c r="D5128" t="s">
        <v>2624</v>
      </c>
      <c r="E5128" t="s">
        <v>781</v>
      </c>
    </row>
    <row r="5129" spans="1:5" x14ac:dyDescent="0.3">
      <c r="A5129" t="s">
        <v>2179</v>
      </c>
      <c r="B5129" t="s">
        <v>8486</v>
      </c>
      <c r="C5129" t="s">
        <v>467</v>
      </c>
      <c r="D5129" t="s">
        <v>11145</v>
      </c>
      <c r="E5129" t="s">
        <v>75</v>
      </c>
    </row>
    <row r="5130" spans="1:5" x14ac:dyDescent="0.3">
      <c r="A5130" t="s">
        <v>1342</v>
      </c>
      <c r="B5130" t="s">
        <v>1861</v>
      </c>
      <c r="C5130" t="s">
        <v>11146</v>
      </c>
      <c r="D5130" t="s">
        <v>1730</v>
      </c>
      <c r="E5130" t="s">
        <v>741</v>
      </c>
    </row>
    <row r="5131" spans="1:5" x14ac:dyDescent="0.3">
      <c r="A5131" t="s">
        <v>342</v>
      </c>
      <c r="B5131" t="s">
        <v>343</v>
      </c>
      <c r="C5131" t="s">
        <v>344</v>
      </c>
      <c r="D5131" t="s">
        <v>763</v>
      </c>
      <c r="E5131" t="s">
        <v>1</v>
      </c>
    </row>
    <row r="5132" spans="1:5" x14ac:dyDescent="0.3">
      <c r="A5132" t="s">
        <v>172</v>
      </c>
      <c r="B5132" t="s">
        <v>5219</v>
      </c>
      <c r="C5132" t="s">
        <v>3109</v>
      </c>
      <c r="D5132" t="s">
        <v>6477</v>
      </c>
      <c r="E5132" t="s">
        <v>75</v>
      </c>
    </row>
    <row r="5133" spans="1:5" x14ac:dyDescent="0.3">
      <c r="A5133" t="s">
        <v>11147</v>
      </c>
      <c r="B5133" t="s">
        <v>11148</v>
      </c>
      <c r="C5133" t="s">
        <v>862</v>
      </c>
      <c r="D5133" t="s">
        <v>763</v>
      </c>
      <c r="E5133" t="s">
        <v>1</v>
      </c>
    </row>
    <row r="5134" spans="1:5" x14ac:dyDescent="0.3">
      <c r="A5134" t="s">
        <v>82</v>
      </c>
      <c r="B5134" t="s">
        <v>2457</v>
      </c>
      <c r="C5134" t="s">
        <v>11149</v>
      </c>
      <c r="D5134" t="s">
        <v>6480</v>
      </c>
      <c r="E5134" t="s">
        <v>18</v>
      </c>
    </row>
    <row r="5135" spans="1:5" x14ac:dyDescent="0.3">
      <c r="A5135" t="s">
        <v>39</v>
      </c>
      <c r="B5135" t="s">
        <v>11151</v>
      </c>
      <c r="C5135" t="s">
        <v>11150</v>
      </c>
      <c r="D5135" t="s">
        <v>763</v>
      </c>
      <c r="E5135" t="s">
        <v>1</v>
      </c>
    </row>
    <row r="5136" spans="1:5" x14ac:dyDescent="0.3">
      <c r="A5136" t="s">
        <v>907</v>
      </c>
      <c r="B5136" t="s">
        <v>11154</v>
      </c>
      <c r="C5136" t="s">
        <v>11153</v>
      </c>
      <c r="D5136" t="s">
        <v>11152</v>
      </c>
      <c r="E5136" t="s">
        <v>741</v>
      </c>
    </row>
    <row r="5137" spans="1:5" x14ac:dyDescent="0.3">
      <c r="A5137" t="s">
        <v>4964</v>
      </c>
      <c r="B5137" t="s">
        <v>11156</v>
      </c>
      <c r="C5137" t="s">
        <v>457</v>
      </c>
      <c r="D5137" t="s">
        <v>11155</v>
      </c>
      <c r="E5137" t="s">
        <v>75</v>
      </c>
    </row>
    <row r="5138" spans="1:5" x14ac:dyDescent="0.3">
      <c r="A5138" t="s">
        <v>1515</v>
      </c>
      <c r="B5138" t="s">
        <v>6326</v>
      </c>
      <c r="C5138" t="s">
        <v>11158</v>
      </c>
      <c r="D5138" t="s">
        <v>11157</v>
      </c>
      <c r="E5138" t="s">
        <v>841</v>
      </c>
    </row>
    <row r="5139" spans="1:5" x14ac:dyDescent="0.3">
      <c r="A5139" t="s">
        <v>2113</v>
      </c>
      <c r="B5139" t="s">
        <v>11160</v>
      </c>
      <c r="C5139" t="s">
        <v>454</v>
      </c>
      <c r="D5139" t="s">
        <v>11159</v>
      </c>
      <c r="E5139" t="s">
        <v>781</v>
      </c>
    </row>
    <row r="5140" spans="1:5" x14ac:dyDescent="0.3">
      <c r="A5140" t="s">
        <v>4261</v>
      </c>
      <c r="B5140" t="s">
        <v>4725</v>
      </c>
      <c r="C5140" t="s">
        <v>698</v>
      </c>
      <c r="D5140" t="s">
        <v>11161</v>
      </c>
      <c r="E5140" t="s">
        <v>761</v>
      </c>
    </row>
    <row r="5141" spans="1:5" x14ac:dyDescent="0.3">
      <c r="A5141" t="s">
        <v>11162</v>
      </c>
      <c r="B5141" t="s">
        <v>11164</v>
      </c>
      <c r="C5141" t="s">
        <v>11163</v>
      </c>
      <c r="D5141" t="s">
        <v>6502</v>
      </c>
      <c r="E5141" t="s">
        <v>75</v>
      </c>
    </row>
    <row r="5142" spans="1:5" x14ac:dyDescent="0.3">
      <c r="A5142" t="s">
        <v>11165</v>
      </c>
      <c r="B5142" t="s">
        <v>4730</v>
      </c>
      <c r="C5142" t="s">
        <v>862</v>
      </c>
      <c r="D5142" t="s">
        <v>6501</v>
      </c>
      <c r="E5142" t="s">
        <v>75</v>
      </c>
    </row>
    <row r="5143" spans="1:5" x14ac:dyDescent="0.3">
      <c r="A5143" t="s">
        <v>224</v>
      </c>
      <c r="B5143" t="s">
        <v>11167</v>
      </c>
      <c r="C5143" t="s">
        <v>11166</v>
      </c>
      <c r="D5143" t="s">
        <v>906</v>
      </c>
      <c r="E5143" t="s">
        <v>1</v>
      </c>
    </row>
    <row r="5144" spans="1:5" x14ac:dyDescent="0.3">
      <c r="A5144" t="s">
        <v>1429</v>
      </c>
      <c r="B5144" t="s">
        <v>11168</v>
      </c>
      <c r="C5144" t="s">
        <v>628</v>
      </c>
      <c r="D5144" t="s">
        <v>954</v>
      </c>
      <c r="E5144" t="s">
        <v>1</v>
      </c>
    </row>
    <row r="5145" spans="1:5" x14ac:dyDescent="0.3">
      <c r="A5145" t="s">
        <v>50</v>
      </c>
      <c r="B5145" t="s">
        <v>11170</v>
      </c>
      <c r="C5145" t="s">
        <v>455</v>
      </c>
      <c r="D5145" t="s">
        <v>11169</v>
      </c>
      <c r="E5145" t="s">
        <v>741</v>
      </c>
    </row>
    <row r="5146" spans="1:5" x14ac:dyDescent="0.3">
      <c r="A5146" t="s">
        <v>199</v>
      </c>
      <c r="B5146" t="s">
        <v>11172</v>
      </c>
      <c r="C5146" t="s">
        <v>460</v>
      </c>
      <c r="D5146" t="s">
        <v>11171</v>
      </c>
      <c r="E5146" t="s">
        <v>75</v>
      </c>
    </row>
    <row r="5147" spans="1:5" x14ac:dyDescent="0.3">
      <c r="A5147" t="s">
        <v>298</v>
      </c>
      <c r="B5147" t="s">
        <v>6655</v>
      </c>
      <c r="C5147" t="s">
        <v>862</v>
      </c>
      <c r="D5147" t="s">
        <v>6507</v>
      </c>
      <c r="E5147" t="s">
        <v>75</v>
      </c>
    </row>
    <row r="5148" spans="1:5" x14ac:dyDescent="0.3">
      <c r="A5148" t="s">
        <v>56</v>
      </c>
      <c r="B5148" t="s">
        <v>11173</v>
      </c>
      <c r="C5148" t="s">
        <v>10557</v>
      </c>
      <c r="D5148" t="s">
        <v>6507</v>
      </c>
      <c r="E5148" t="s">
        <v>75</v>
      </c>
    </row>
    <row r="5149" spans="1:5" x14ac:dyDescent="0.3">
      <c r="A5149" t="s">
        <v>2373</v>
      </c>
      <c r="B5149" t="s">
        <v>1053</v>
      </c>
      <c r="C5149" t="s">
        <v>11174</v>
      </c>
      <c r="D5149" t="s">
        <v>2001</v>
      </c>
      <c r="E5149" t="s">
        <v>761</v>
      </c>
    </row>
    <row r="5150" spans="1:5" x14ac:dyDescent="0.3">
      <c r="A5150" t="s">
        <v>5542</v>
      </c>
      <c r="B5150" t="s">
        <v>11175</v>
      </c>
      <c r="C5150" t="s">
        <v>2571</v>
      </c>
      <c r="D5150" t="s">
        <v>747</v>
      </c>
      <c r="E5150" t="s">
        <v>1</v>
      </c>
    </row>
    <row r="5151" spans="1:5" x14ac:dyDescent="0.3">
      <c r="A5151" t="s">
        <v>826</v>
      </c>
      <c r="B5151" t="s">
        <v>11177</v>
      </c>
      <c r="C5151" t="s">
        <v>11176</v>
      </c>
      <c r="D5151" t="s">
        <v>747</v>
      </c>
      <c r="E5151" t="s">
        <v>1</v>
      </c>
    </row>
    <row r="5152" spans="1:5" x14ac:dyDescent="0.3">
      <c r="A5152" t="s">
        <v>11179</v>
      </c>
      <c r="B5152" t="s">
        <v>11180</v>
      </c>
      <c r="C5152" t="s">
        <v>6069</v>
      </c>
      <c r="D5152" t="s">
        <v>11178</v>
      </c>
      <c r="E5152" t="s">
        <v>75</v>
      </c>
    </row>
    <row r="5153" spans="1:5" x14ac:dyDescent="0.3">
      <c r="A5153" t="s">
        <v>250</v>
      </c>
      <c r="B5153" t="s">
        <v>1630</v>
      </c>
      <c r="C5153" t="s">
        <v>11181</v>
      </c>
    </row>
    <row r="5154" spans="1:5" x14ac:dyDescent="0.3">
      <c r="A5154" t="s">
        <v>11182</v>
      </c>
      <c r="B5154" t="s">
        <v>2803</v>
      </c>
      <c r="C5154" t="s">
        <v>11183</v>
      </c>
    </row>
    <row r="5155" spans="1:5" x14ac:dyDescent="0.3">
      <c r="A5155" t="s">
        <v>778</v>
      </c>
      <c r="B5155" t="s">
        <v>11185</v>
      </c>
      <c r="C5155" t="s">
        <v>11184</v>
      </c>
      <c r="D5155" t="s">
        <v>4313</v>
      </c>
      <c r="E5155" t="s">
        <v>774</v>
      </c>
    </row>
    <row r="5156" spans="1:5" x14ac:dyDescent="0.3">
      <c r="A5156" t="s">
        <v>5731</v>
      </c>
      <c r="B5156" t="s">
        <v>11186</v>
      </c>
      <c r="C5156" t="s">
        <v>7961</v>
      </c>
      <c r="D5156" t="s">
        <v>4313</v>
      </c>
      <c r="E5156" t="s">
        <v>774</v>
      </c>
    </row>
    <row r="5157" spans="1:5" x14ac:dyDescent="0.3">
      <c r="A5157" t="s">
        <v>386</v>
      </c>
      <c r="B5157" t="s">
        <v>11188</v>
      </c>
      <c r="C5157" t="s">
        <v>11187</v>
      </c>
      <c r="D5157" t="s">
        <v>4346</v>
      </c>
      <c r="E5157" t="s">
        <v>743</v>
      </c>
    </row>
    <row r="5158" spans="1:5" x14ac:dyDescent="0.3">
      <c r="A5158" t="s">
        <v>967</v>
      </c>
      <c r="B5158" t="s">
        <v>11190</v>
      </c>
      <c r="C5158" t="s">
        <v>11189</v>
      </c>
      <c r="D5158" t="s">
        <v>4346</v>
      </c>
      <c r="E5158" t="s">
        <v>743</v>
      </c>
    </row>
    <row r="5159" spans="1:5" x14ac:dyDescent="0.3">
      <c r="A5159" t="s">
        <v>4028</v>
      </c>
      <c r="B5159" t="s">
        <v>5184</v>
      </c>
      <c r="C5159" t="s">
        <v>455</v>
      </c>
      <c r="D5159" t="s">
        <v>6554</v>
      </c>
      <c r="E5159" t="s">
        <v>743</v>
      </c>
    </row>
    <row r="5160" spans="1:5" x14ac:dyDescent="0.3">
      <c r="A5160" t="s">
        <v>2279</v>
      </c>
      <c r="B5160" t="s">
        <v>4046</v>
      </c>
      <c r="C5160" t="s">
        <v>461</v>
      </c>
      <c r="D5160" t="s">
        <v>6555</v>
      </c>
      <c r="E5160" t="s">
        <v>761</v>
      </c>
    </row>
    <row r="5161" spans="1:5" x14ac:dyDescent="0.3">
      <c r="A5161" t="s">
        <v>363</v>
      </c>
      <c r="B5161" t="s">
        <v>148</v>
      </c>
      <c r="C5161" t="s">
        <v>467</v>
      </c>
      <c r="D5161" t="s">
        <v>4514</v>
      </c>
      <c r="E5161" t="s">
        <v>75</v>
      </c>
    </row>
    <row r="5162" spans="1:5" x14ac:dyDescent="0.3">
      <c r="A5162" t="s">
        <v>804</v>
      </c>
      <c r="B5162" t="s">
        <v>11192</v>
      </c>
      <c r="C5162" t="s">
        <v>467</v>
      </c>
      <c r="D5162" t="s">
        <v>11191</v>
      </c>
      <c r="E5162" t="s">
        <v>75</v>
      </c>
    </row>
    <row r="5163" spans="1:5" x14ac:dyDescent="0.3">
      <c r="A5163" t="s">
        <v>1024</v>
      </c>
      <c r="B5163" t="s">
        <v>11194</v>
      </c>
      <c r="C5163" t="s">
        <v>459</v>
      </c>
      <c r="D5163" t="s">
        <v>6562</v>
      </c>
      <c r="E5163" t="s">
        <v>75</v>
      </c>
    </row>
    <row r="5164" spans="1:5" x14ac:dyDescent="0.3">
      <c r="A5164" t="s">
        <v>116</v>
      </c>
      <c r="B5164" t="s">
        <v>1065</v>
      </c>
      <c r="C5164" t="s">
        <v>461</v>
      </c>
      <c r="D5164" t="s">
        <v>11195</v>
      </c>
      <c r="E5164" t="s">
        <v>75</v>
      </c>
    </row>
    <row r="5165" spans="1:5" x14ac:dyDescent="0.3">
      <c r="A5165" t="s">
        <v>131</v>
      </c>
      <c r="B5165" t="s">
        <v>9152</v>
      </c>
      <c r="C5165" t="s">
        <v>467</v>
      </c>
      <c r="D5165" t="s">
        <v>11196</v>
      </c>
      <c r="E5165" t="s">
        <v>75</v>
      </c>
    </row>
    <row r="5166" spans="1:5" x14ac:dyDescent="0.3">
      <c r="A5166" t="s">
        <v>4107</v>
      </c>
      <c r="B5166" t="s">
        <v>6331</v>
      </c>
      <c r="C5166" t="s">
        <v>6330</v>
      </c>
      <c r="D5166" t="s">
        <v>1940</v>
      </c>
      <c r="E5166" t="s">
        <v>743</v>
      </c>
    </row>
    <row r="5167" spans="1:5" x14ac:dyDescent="0.3">
      <c r="A5167" t="s">
        <v>1182</v>
      </c>
      <c r="B5167" t="s">
        <v>11199</v>
      </c>
      <c r="C5167" t="s">
        <v>11198</v>
      </c>
      <c r="D5167" t="s">
        <v>1408</v>
      </c>
      <c r="E5167" t="s">
        <v>1</v>
      </c>
    </row>
    <row r="5168" spans="1:5" x14ac:dyDescent="0.3">
      <c r="A5168" t="s">
        <v>224</v>
      </c>
      <c r="B5168" t="s">
        <v>3849</v>
      </c>
      <c r="C5168" t="s">
        <v>460</v>
      </c>
      <c r="D5168" t="s">
        <v>11200</v>
      </c>
      <c r="E5168" t="s">
        <v>75</v>
      </c>
    </row>
    <row r="5169" spans="1:5" x14ac:dyDescent="0.3">
      <c r="A5169" t="s">
        <v>66</v>
      </c>
      <c r="B5169" t="s">
        <v>11202</v>
      </c>
      <c r="C5169" t="s">
        <v>467</v>
      </c>
      <c r="D5169" t="s">
        <v>11201</v>
      </c>
      <c r="E5169" t="s">
        <v>75</v>
      </c>
    </row>
    <row r="5170" spans="1:5" x14ac:dyDescent="0.3">
      <c r="A5170" t="s">
        <v>826</v>
      </c>
      <c r="B5170" t="s">
        <v>3064</v>
      </c>
      <c r="C5170" t="s">
        <v>460</v>
      </c>
      <c r="D5170" t="s">
        <v>11203</v>
      </c>
      <c r="E5170" t="s">
        <v>75</v>
      </c>
    </row>
    <row r="5171" spans="1:5" x14ac:dyDescent="0.3">
      <c r="A5171" t="s">
        <v>2651</v>
      </c>
      <c r="B5171" t="s">
        <v>11205</v>
      </c>
      <c r="C5171" t="s">
        <v>467</v>
      </c>
      <c r="D5171" t="s">
        <v>11204</v>
      </c>
      <c r="E5171" t="s">
        <v>75</v>
      </c>
    </row>
    <row r="5172" spans="1:5" x14ac:dyDescent="0.3">
      <c r="A5172" t="s">
        <v>14</v>
      </c>
      <c r="B5172" t="s">
        <v>11207</v>
      </c>
      <c r="C5172" t="s">
        <v>460</v>
      </c>
      <c r="D5172" t="s">
        <v>11206</v>
      </c>
      <c r="E5172" t="s">
        <v>75</v>
      </c>
    </row>
    <row r="5173" spans="1:5" x14ac:dyDescent="0.3">
      <c r="A5173" t="s">
        <v>113</v>
      </c>
      <c r="B5173" t="s">
        <v>2744</v>
      </c>
      <c r="C5173" t="s">
        <v>11208</v>
      </c>
      <c r="D5173" t="s">
        <v>11206</v>
      </c>
      <c r="E5173" t="s">
        <v>75</v>
      </c>
    </row>
    <row r="5174" spans="1:5" x14ac:dyDescent="0.3">
      <c r="A5174" t="s">
        <v>111</v>
      </c>
      <c r="B5174" t="s">
        <v>1628</v>
      </c>
      <c r="C5174" t="s">
        <v>467</v>
      </c>
      <c r="D5174" t="s">
        <v>10901</v>
      </c>
      <c r="E5174" t="s">
        <v>781</v>
      </c>
    </row>
    <row r="5175" spans="1:5" x14ac:dyDescent="0.3">
      <c r="A5175" t="s">
        <v>339</v>
      </c>
      <c r="B5175" t="s">
        <v>3738</v>
      </c>
      <c r="C5175" t="s">
        <v>467</v>
      </c>
      <c r="D5175" t="s">
        <v>11209</v>
      </c>
      <c r="E5175" t="s">
        <v>75</v>
      </c>
    </row>
    <row r="5176" spans="1:5" x14ac:dyDescent="0.3">
      <c r="A5176" t="s">
        <v>100</v>
      </c>
      <c r="B5176" t="s">
        <v>1262</v>
      </c>
      <c r="C5176" t="s">
        <v>467</v>
      </c>
      <c r="D5176" t="s">
        <v>6164</v>
      </c>
      <c r="E5176" t="s">
        <v>75</v>
      </c>
    </row>
    <row r="5177" spans="1:5" x14ac:dyDescent="0.3">
      <c r="A5177" t="s">
        <v>11211</v>
      </c>
      <c r="B5177" t="s">
        <v>3455</v>
      </c>
      <c r="C5177" t="s">
        <v>467</v>
      </c>
      <c r="D5177" t="s">
        <v>11210</v>
      </c>
      <c r="E5177" t="s">
        <v>75</v>
      </c>
    </row>
    <row r="5178" spans="1:5" x14ac:dyDescent="0.3">
      <c r="A5178" t="s">
        <v>251</v>
      </c>
      <c r="B5178" t="s">
        <v>11213</v>
      </c>
      <c r="C5178" t="s">
        <v>467</v>
      </c>
      <c r="D5178" t="s">
        <v>11212</v>
      </c>
      <c r="E5178" t="s">
        <v>75</v>
      </c>
    </row>
    <row r="5179" spans="1:5" x14ac:dyDescent="0.3">
      <c r="A5179" t="s">
        <v>4580</v>
      </c>
      <c r="B5179" t="s">
        <v>5475</v>
      </c>
      <c r="C5179" t="s">
        <v>4555</v>
      </c>
      <c r="D5179" t="s">
        <v>11212</v>
      </c>
      <c r="E5179" t="s">
        <v>75</v>
      </c>
    </row>
    <row r="5180" spans="1:5" x14ac:dyDescent="0.3">
      <c r="A5180" t="s">
        <v>9989</v>
      </c>
      <c r="B5180" t="s">
        <v>1617</v>
      </c>
      <c r="C5180" t="s">
        <v>461</v>
      </c>
      <c r="D5180" t="s">
        <v>11214</v>
      </c>
      <c r="E5180" t="s">
        <v>75</v>
      </c>
    </row>
    <row r="5181" spans="1:5" x14ac:dyDescent="0.3">
      <c r="A5181" t="s">
        <v>224</v>
      </c>
      <c r="B5181" t="s">
        <v>11216</v>
      </c>
      <c r="C5181" t="s">
        <v>457</v>
      </c>
      <c r="D5181" t="s">
        <v>11215</v>
      </c>
      <c r="E5181" t="s">
        <v>75</v>
      </c>
    </row>
    <row r="5182" spans="1:5" x14ac:dyDescent="0.3">
      <c r="A5182" t="s">
        <v>3120</v>
      </c>
      <c r="B5182" t="s">
        <v>9467</v>
      </c>
      <c r="C5182" t="s">
        <v>461</v>
      </c>
      <c r="D5182" t="s">
        <v>11217</v>
      </c>
      <c r="E5182" t="s">
        <v>75</v>
      </c>
    </row>
    <row r="5183" spans="1:5" x14ac:dyDescent="0.3">
      <c r="A5183" t="s">
        <v>11219</v>
      </c>
      <c r="B5183" t="s">
        <v>3522</v>
      </c>
      <c r="C5183" t="s">
        <v>467</v>
      </c>
      <c r="D5183" t="s">
        <v>11218</v>
      </c>
      <c r="E5183" t="s">
        <v>75</v>
      </c>
    </row>
    <row r="5184" spans="1:5" x14ac:dyDescent="0.3">
      <c r="A5184" t="s">
        <v>3409</v>
      </c>
      <c r="B5184" t="s">
        <v>1503</v>
      </c>
      <c r="C5184" t="s">
        <v>467</v>
      </c>
      <c r="D5184" t="s">
        <v>11220</v>
      </c>
      <c r="E5184" t="s">
        <v>75</v>
      </c>
    </row>
    <row r="5185" spans="1:5" x14ac:dyDescent="0.3">
      <c r="A5185" t="s">
        <v>1393</v>
      </c>
      <c r="B5185" t="s">
        <v>1464</v>
      </c>
      <c r="C5185" t="s">
        <v>5942</v>
      </c>
      <c r="D5185" t="s">
        <v>11221</v>
      </c>
      <c r="E5185" t="s">
        <v>75</v>
      </c>
    </row>
    <row r="5186" spans="1:5" x14ac:dyDescent="0.3">
      <c r="A5186" t="s">
        <v>2639</v>
      </c>
      <c r="B5186" t="s">
        <v>11223</v>
      </c>
      <c r="C5186" t="s">
        <v>11222</v>
      </c>
      <c r="D5186" t="s">
        <v>11221</v>
      </c>
      <c r="E5186" t="s">
        <v>75</v>
      </c>
    </row>
    <row r="5187" spans="1:5" x14ac:dyDescent="0.3">
      <c r="A5187" t="s">
        <v>132</v>
      </c>
      <c r="B5187" t="s">
        <v>5429</v>
      </c>
      <c r="C5187" t="s">
        <v>11224</v>
      </c>
      <c r="D5187" t="s">
        <v>11221</v>
      </c>
      <c r="E5187" t="s">
        <v>75</v>
      </c>
    </row>
    <row r="5188" spans="1:5" x14ac:dyDescent="0.3">
      <c r="A5188" t="s">
        <v>160</v>
      </c>
      <c r="B5188" t="s">
        <v>11226</v>
      </c>
      <c r="C5188" t="s">
        <v>11225</v>
      </c>
      <c r="D5188" t="s">
        <v>11121</v>
      </c>
      <c r="E5188" t="s">
        <v>758</v>
      </c>
    </row>
    <row r="5189" spans="1:5" x14ac:dyDescent="0.3">
      <c r="A5189" t="s">
        <v>41</v>
      </c>
      <c r="B5189" t="s">
        <v>11228</v>
      </c>
      <c r="C5189" t="s">
        <v>460</v>
      </c>
      <c r="D5189" t="s">
        <v>11227</v>
      </c>
      <c r="E5189" t="s">
        <v>75</v>
      </c>
    </row>
    <row r="5190" spans="1:5" x14ac:dyDescent="0.3">
      <c r="A5190" t="s">
        <v>11230</v>
      </c>
      <c r="B5190" t="s">
        <v>11231</v>
      </c>
      <c r="C5190" t="s">
        <v>720</v>
      </c>
      <c r="D5190" t="s">
        <v>11229</v>
      </c>
      <c r="E5190" t="s">
        <v>75</v>
      </c>
    </row>
    <row r="5191" spans="1:5" x14ac:dyDescent="0.3">
      <c r="A5191" t="s">
        <v>2363</v>
      </c>
      <c r="B5191" t="s">
        <v>11233</v>
      </c>
      <c r="C5191" t="s">
        <v>461</v>
      </c>
      <c r="D5191" t="s">
        <v>11232</v>
      </c>
      <c r="E5191" t="s">
        <v>75</v>
      </c>
    </row>
    <row r="5192" spans="1:5" x14ac:dyDescent="0.3">
      <c r="A5192" t="s">
        <v>79</v>
      </c>
      <c r="B5192" t="s">
        <v>8670</v>
      </c>
      <c r="C5192" t="s">
        <v>467</v>
      </c>
      <c r="D5192" t="s">
        <v>11234</v>
      </c>
      <c r="E5192" t="s">
        <v>75</v>
      </c>
    </row>
    <row r="5193" spans="1:5" x14ac:dyDescent="0.3">
      <c r="A5193" t="s">
        <v>3414</v>
      </c>
      <c r="B5193" t="s">
        <v>11235</v>
      </c>
      <c r="C5193" t="s">
        <v>6069</v>
      </c>
      <c r="D5193" t="s">
        <v>2375</v>
      </c>
      <c r="E5193" t="s">
        <v>774</v>
      </c>
    </row>
    <row r="5194" spans="1:5" x14ac:dyDescent="0.3">
      <c r="A5194" t="s">
        <v>1579</v>
      </c>
      <c r="B5194" t="s">
        <v>1293</v>
      </c>
      <c r="C5194" t="s">
        <v>461</v>
      </c>
      <c r="D5194" t="s">
        <v>6319</v>
      </c>
      <c r="E5194" t="s">
        <v>897</v>
      </c>
    </row>
    <row r="5195" spans="1:5" x14ac:dyDescent="0.3">
      <c r="A5195" t="s">
        <v>3112</v>
      </c>
      <c r="B5195" t="s">
        <v>11237</v>
      </c>
      <c r="C5195" t="s">
        <v>467</v>
      </c>
      <c r="D5195" t="s">
        <v>11236</v>
      </c>
      <c r="E5195" t="s">
        <v>75</v>
      </c>
    </row>
    <row r="5196" spans="1:5" x14ac:dyDescent="0.3">
      <c r="A5196" t="s">
        <v>851</v>
      </c>
      <c r="B5196" t="s">
        <v>2561</v>
      </c>
      <c r="C5196" t="s">
        <v>459</v>
      </c>
      <c r="D5196" t="s">
        <v>11238</v>
      </c>
      <c r="E5196" t="s">
        <v>75</v>
      </c>
    </row>
    <row r="5197" spans="1:5" x14ac:dyDescent="0.3">
      <c r="A5197" t="s">
        <v>82</v>
      </c>
      <c r="B5197" t="s">
        <v>7447</v>
      </c>
      <c r="C5197" t="s">
        <v>460</v>
      </c>
      <c r="D5197" t="s">
        <v>11240</v>
      </c>
      <c r="E5197" t="s">
        <v>75</v>
      </c>
    </row>
    <row r="5198" spans="1:5" x14ac:dyDescent="0.3">
      <c r="A5198" t="s">
        <v>3211</v>
      </c>
      <c r="B5198" t="s">
        <v>205</v>
      </c>
      <c r="C5198" t="s">
        <v>11242</v>
      </c>
      <c r="D5198" t="s">
        <v>11241</v>
      </c>
      <c r="E5198" t="s">
        <v>774</v>
      </c>
    </row>
    <row r="5199" spans="1:5" x14ac:dyDescent="0.3">
      <c r="A5199" t="s">
        <v>4007</v>
      </c>
      <c r="B5199" t="s">
        <v>362</v>
      </c>
      <c r="C5199" t="s">
        <v>862</v>
      </c>
      <c r="D5199" t="s">
        <v>763</v>
      </c>
      <c r="E5199" t="s">
        <v>1</v>
      </c>
    </row>
    <row r="5200" spans="1:5" x14ac:dyDescent="0.3">
      <c r="A5200" t="s">
        <v>860</v>
      </c>
      <c r="B5200" t="s">
        <v>11243</v>
      </c>
      <c r="C5200" t="s">
        <v>10669</v>
      </c>
      <c r="D5200" t="s">
        <v>8240</v>
      </c>
      <c r="E5200" t="s">
        <v>75</v>
      </c>
    </row>
    <row r="5201" spans="1:5" x14ac:dyDescent="0.3">
      <c r="A5201" t="s">
        <v>195</v>
      </c>
      <c r="B5201" t="s">
        <v>11244</v>
      </c>
      <c r="C5201" t="s">
        <v>862</v>
      </c>
      <c r="D5201" t="s">
        <v>4754</v>
      </c>
      <c r="E5201" t="s">
        <v>75</v>
      </c>
    </row>
    <row r="5202" spans="1:5" x14ac:dyDescent="0.3">
      <c r="A5202" t="s">
        <v>345</v>
      </c>
      <c r="B5202" t="s">
        <v>1718</v>
      </c>
      <c r="C5202" t="s">
        <v>11245</v>
      </c>
      <c r="D5202" t="s">
        <v>4754</v>
      </c>
      <c r="E5202" t="s">
        <v>75</v>
      </c>
    </row>
    <row r="5203" spans="1:5" x14ac:dyDescent="0.3">
      <c r="A5203" t="s">
        <v>342</v>
      </c>
      <c r="B5203" t="s">
        <v>11247</v>
      </c>
      <c r="C5203" t="s">
        <v>11246</v>
      </c>
      <c r="D5203" t="s">
        <v>3991</v>
      </c>
      <c r="E5203" t="s">
        <v>741</v>
      </c>
    </row>
    <row r="5204" spans="1:5" x14ac:dyDescent="0.3">
      <c r="A5204" t="s">
        <v>864</v>
      </c>
      <c r="B5204" t="s">
        <v>11249</v>
      </c>
      <c r="C5204" t="s">
        <v>461</v>
      </c>
      <c r="D5204" t="s">
        <v>11248</v>
      </c>
      <c r="E5204" t="s">
        <v>75</v>
      </c>
    </row>
    <row r="5205" spans="1:5" x14ac:dyDescent="0.3">
      <c r="A5205" t="s">
        <v>160</v>
      </c>
      <c r="B5205" t="s">
        <v>5067</v>
      </c>
      <c r="C5205" t="s">
        <v>456</v>
      </c>
      <c r="D5205" t="s">
        <v>9202</v>
      </c>
      <c r="E5205" t="s">
        <v>75</v>
      </c>
    </row>
    <row r="5206" spans="1:5" x14ac:dyDescent="0.3">
      <c r="A5206" t="s">
        <v>6249</v>
      </c>
      <c r="B5206" t="s">
        <v>8946</v>
      </c>
      <c r="C5206" t="s">
        <v>11250</v>
      </c>
      <c r="D5206" t="s">
        <v>9203</v>
      </c>
      <c r="E5206" t="s">
        <v>75</v>
      </c>
    </row>
    <row r="5207" spans="1:5" x14ac:dyDescent="0.3">
      <c r="A5207" t="s">
        <v>1253</v>
      </c>
      <c r="B5207" t="s">
        <v>11252</v>
      </c>
      <c r="C5207" t="s">
        <v>11251</v>
      </c>
    </row>
    <row r="5208" spans="1:5" x14ac:dyDescent="0.3">
      <c r="A5208" t="s">
        <v>4253</v>
      </c>
      <c r="B5208" t="s">
        <v>11254</v>
      </c>
      <c r="C5208" t="s">
        <v>862</v>
      </c>
      <c r="D5208" t="s">
        <v>11253</v>
      </c>
      <c r="E5208" t="s">
        <v>774</v>
      </c>
    </row>
    <row r="5209" spans="1:5" x14ac:dyDescent="0.3">
      <c r="A5209" t="s">
        <v>271</v>
      </c>
      <c r="B5209" t="s">
        <v>4431</v>
      </c>
      <c r="C5209" t="s">
        <v>467</v>
      </c>
      <c r="D5209" t="s">
        <v>11112</v>
      </c>
      <c r="E5209" t="s">
        <v>75</v>
      </c>
    </row>
    <row r="5210" spans="1:5" x14ac:dyDescent="0.3">
      <c r="A5210" t="s">
        <v>22</v>
      </c>
      <c r="B5210" t="s">
        <v>4400</v>
      </c>
      <c r="C5210" t="s">
        <v>460</v>
      </c>
    </row>
    <row r="5211" spans="1:5" x14ac:dyDescent="0.3">
      <c r="A5211" t="s">
        <v>3163</v>
      </c>
      <c r="B5211" t="s">
        <v>7707</v>
      </c>
      <c r="C5211" t="s">
        <v>11255</v>
      </c>
      <c r="D5211" t="s">
        <v>754</v>
      </c>
      <c r="E5211" t="s">
        <v>741</v>
      </c>
    </row>
    <row r="5212" spans="1:5" x14ac:dyDescent="0.3">
      <c r="A5212" t="s">
        <v>4398</v>
      </c>
      <c r="B5212" t="s">
        <v>11256</v>
      </c>
      <c r="C5212" t="s">
        <v>862</v>
      </c>
      <c r="D5212" t="s">
        <v>1573</v>
      </c>
      <c r="E5212" t="s">
        <v>75</v>
      </c>
    </row>
    <row r="5213" spans="1:5" x14ac:dyDescent="0.3">
      <c r="A5213" t="s">
        <v>3969</v>
      </c>
      <c r="B5213" t="s">
        <v>7309</v>
      </c>
      <c r="C5213" t="s">
        <v>11258</v>
      </c>
      <c r="D5213" t="s">
        <v>11257</v>
      </c>
      <c r="E5213" t="s">
        <v>774</v>
      </c>
    </row>
    <row r="5214" spans="1:5" x14ac:dyDescent="0.3">
      <c r="A5214" t="s">
        <v>755</v>
      </c>
      <c r="B5214" t="s">
        <v>6713</v>
      </c>
      <c r="C5214" t="s">
        <v>11259</v>
      </c>
      <c r="D5214" t="s">
        <v>4507</v>
      </c>
      <c r="E5214" t="s">
        <v>774</v>
      </c>
    </row>
    <row r="5215" spans="1:5" x14ac:dyDescent="0.3">
      <c r="A5215" t="s">
        <v>1212</v>
      </c>
      <c r="B5215" t="s">
        <v>2620</v>
      </c>
      <c r="C5215" t="s">
        <v>458</v>
      </c>
      <c r="D5215" t="s">
        <v>4472</v>
      </c>
      <c r="E5215" t="s">
        <v>774</v>
      </c>
    </row>
    <row r="5216" spans="1:5" x14ac:dyDescent="0.3">
      <c r="A5216" t="s">
        <v>4841</v>
      </c>
      <c r="B5216" t="s">
        <v>3182</v>
      </c>
      <c r="C5216" t="s">
        <v>11260</v>
      </c>
      <c r="D5216" t="s">
        <v>9222</v>
      </c>
      <c r="E5216" t="s">
        <v>75</v>
      </c>
    </row>
    <row r="5217" spans="1:5" x14ac:dyDescent="0.3">
      <c r="A5217" t="s">
        <v>11261</v>
      </c>
      <c r="B5217" t="s">
        <v>822</v>
      </c>
      <c r="C5217" t="s">
        <v>11262</v>
      </c>
      <c r="D5217" t="s">
        <v>751</v>
      </c>
      <c r="E5217" t="s">
        <v>1</v>
      </c>
    </row>
    <row r="5218" spans="1:5" x14ac:dyDescent="0.3">
      <c r="A5218" t="s">
        <v>11263</v>
      </c>
      <c r="B5218" t="s">
        <v>11265</v>
      </c>
      <c r="C5218" t="s">
        <v>11264</v>
      </c>
      <c r="D5218" t="s">
        <v>8924</v>
      </c>
      <c r="E5218" t="s">
        <v>75</v>
      </c>
    </row>
    <row r="5219" spans="1:5" x14ac:dyDescent="0.3">
      <c r="A5219" t="s">
        <v>11266</v>
      </c>
      <c r="B5219" t="s">
        <v>11267</v>
      </c>
      <c r="C5219" t="s">
        <v>10759</v>
      </c>
      <c r="D5219" t="s">
        <v>769</v>
      </c>
      <c r="E5219" t="s">
        <v>1</v>
      </c>
    </row>
    <row r="5220" spans="1:5" x14ac:dyDescent="0.3">
      <c r="A5220" t="s">
        <v>2187</v>
      </c>
      <c r="B5220" t="s">
        <v>3559</v>
      </c>
      <c r="C5220" t="s">
        <v>459</v>
      </c>
      <c r="D5220" t="s">
        <v>910</v>
      </c>
      <c r="E5220" t="s">
        <v>1</v>
      </c>
    </row>
    <row r="5221" spans="1:5" x14ac:dyDescent="0.3">
      <c r="A5221" t="s">
        <v>1414</v>
      </c>
      <c r="B5221" t="s">
        <v>2592</v>
      </c>
      <c r="C5221" t="s">
        <v>467</v>
      </c>
      <c r="D5221" t="s">
        <v>11268</v>
      </c>
      <c r="E5221" t="s">
        <v>75</v>
      </c>
    </row>
    <row r="5222" spans="1:5" x14ac:dyDescent="0.3">
      <c r="A5222" t="s">
        <v>2590</v>
      </c>
      <c r="B5222" t="s">
        <v>1460</v>
      </c>
      <c r="C5222" t="s">
        <v>862</v>
      </c>
      <c r="D5222" t="s">
        <v>4899</v>
      </c>
      <c r="E5222" t="s">
        <v>761</v>
      </c>
    </row>
    <row r="5223" spans="1:5" x14ac:dyDescent="0.3">
      <c r="A5223" t="s">
        <v>195</v>
      </c>
      <c r="B5223" t="s">
        <v>3594</v>
      </c>
      <c r="C5223" t="s">
        <v>9747</v>
      </c>
      <c r="D5223" t="s">
        <v>910</v>
      </c>
      <c r="E5223" t="s">
        <v>1</v>
      </c>
    </row>
    <row r="5224" spans="1:5" x14ac:dyDescent="0.3">
      <c r="A5224" t="s">
        <v>999</v>
      </c>
      <c r="B5224" t="s">
        <v>3295</v>
      </c>
      <c r="C5224" t="s">
        <v>11269</v>
      </c>
      <c r="D5224" t="s">
        <v>910</v>
      </c>
      <c r="E5224" t="s">
        <v>1</v>
      </c>
    </row>
    <row r="5225" spans="1:5" x14ac:dyDescent="0.3">
      <c r="A5225" t="s">
        <v>66</v>
      </c>
      <c r="B5225" t="s">
        <v>11271</v>
      </c>
      <c r="C5225" t="s">
        <v>457</v>
      </c>
      <c r="D5225" t="s">
        <v>11270</v>
      </c>
      <c r="E5225" t="s">
        <v>75</v>
      </c>
    </row>
    <row r="5226" spans="1:5" x14ac:dyDescent="0.3">
      <c r="A5226" t="s">
        <v>150</v>
      </c>
      <c r="B5226" t="s">
        <v>5585</v>
      </c>
      <c r="C5226" t="s">
        <v>11272</v>
      </c>
      <c r="D5226" t="s">
        <v>910</v>
      </c>
      <c r="E5226" t="s">
        <v>1</v>
      </c>
    </row>
    <row r="5227" spans="1:5" x14ac:dyDescent="0.3">
      <c r="A5227" t="s">
        <v>3070</v>
      </c>
      <c r="B5227" t="s">
        <v>10224</v>
      </c>
      <c r="C5227" t="s">
        <v>11273</v>
      </c>
      <c r="D5227" t="s">
        <v>1716</v>
      </c>
      <c r="E5227" t="s">
        <v>741</v>
      </c>
    </row>
    <row r="5228" spans="1:5" x14ac:dyDescent="0.3">
      <c r="A5228" t="s">
        <v>116</v>
      </c>
      <c r="B5228" t="s">
        <v>6101</v>
      </c>
      <c r="C5228" t="s">
        <v>461</v>
      </c>
      <c r="D5228" t="s">
        <v>11274</v>
      </c>
      <c r="E5228" t="s">
        <v>18</v>
      </c>
    </row>
    <row r="5229" spans="1:5" x14ac:dyDescent="0.3">
      <c r="A5229" t="s">
        <v>224</v>
      </c>
      <c r="B5229" t="s">
        <v>11275</v>
      </c>
      <c r="C5229" t="s">
        <v>5610</v>
      </c>
      <c r="D5229" t="s">
        <v>910</v>
      </c>
      <c r="E5229" t="s">
        <v>1</v>
      </c>
    </row>
    <row r="5230" spans="1:5" x14ac:dyDescent="0.3">
      <c r="A5230" t="s">
        <v>11276</v>
      </c>
      <c r="B5230" t="s">
        <v>11277</v>
      </c>
      <c r="C5230" t="s">
        <v>5328</v>
      </c>
      <c r="D5230" t="s">
        <v>4868</v>
      </c>
      <c r="E5230" t="s">
        <v>1</v>
      </c>
    </row>
    <row r="5231" spans="1:5" x14ac:dyDescent="0.3">
      <c r="A5231" t="s">
        <v>100</v>
      </c>
      <c r="B5231" t="s">
        <v>3805</v>
      </c>
      <c r="C5231" t="s">
        <v>11278</v>
      </c>
      <c r="D5231" t="s">
        <v>815</v>
      </c>
      <c r="E5231" t="s">
        <v>741</v>
      </c>
    </row>
    <row r="5232" spans="1:5" x14ac:dyDescent="0.3">
      <c r="A5232" t="s">
        <v>1171</v>
      </c>
      <c r="B5232" t="s">
        <v>11279</v>
      </c>
      <c r="C5232" t="s">
        <v>5858</v>
      </c>
      <c r="D5232" t="s">
        <v>2488</v>
      </c>
      <c r="E5232" t="s">
        <v>75</v>
      </c>
    </row>
    <row r="5233" spans="1:5" x14ac:dyDescent="0.3">
      <c r="A5233" t="s">
        <v>89</v>
      </c>
      <c r="B5233" t="s">
        <v>11099</v>
      </c>
      <c r="C5233" t="s">
        <v>461</v>
      </c>
      <c r="D5233" t="s">
        <v>11280</v>
      </c>
      <c r="E5233" t="s">
        <v>75</v>
      </c>
    </row>
    <row r="5234" spans="1:5" x14ac:dyDescent="0.3">
      <c r="A5234" t="s">
        <v>298</v>
      </c>
      <c r="B5234" t="s">
        <v>2824</v>
      </c>
      <c r="C5234" t="s">
        <v>460</v>
      </c>
      <c r="D5234" t="s">
        <v>11281</v>
      </c>
      <c r="E5234" t="s">
        <v>75</v>
      </c>
    </row>
    <row r="5235" spans="1:5" x14ac:dyDescent="0.3">
      <c r="A5235" t="s">
        <v>11282</v>
      </c>
      <c r="B5235" t="s">
        <v>2546</v>
      </c>
      <c r="C5235" t="s">
        <v>628</v>
      </c>
      <c r="D5235" t="s">
        <v>769</v>
      </c>
      <c r="E5235" t="s">
        <v>1</v>
      </c>
    </row>
    <row r="5236" spans="1:5" x14ac:dyDescent="0.3">
      <c r="A5236" t="s">
        <v>300</v>
      </c>
      <c r="B5236" t="s">
        <v>1027</v>
      </c>
      <c r="C5236" t="s">
        <v>461</v>
      </c>
      <c r="D5236" t="s">
        <v>11283</v>
      </c>
      <c r="E5236" t="s">
        <v>75</v>
      </c>
    </row>
    <row r="5237" spans="1:5" x14ac:dyDescent="0.3">
      <c r="A5237" t="s">
        <v>3236</v>
      </c>
      <c r="B5237" t="s">
        <v>11285</v>
      </c>
      <c r="C5237" t="s">
        <v>11284</v>
      </c>
      <c r="D5237" t="s">
        <v>13076</v>
      </c>
      <c r="E5237" t="s">
        <v>75</v>
      </c>
    </row>
    <row r="5238" spans="1:5" x14ac:dyDescent="0.3">
      <c r="A5238" t="s">
        <v>298</v>
      </c>
      <c r="B5238" t="s">
        <v>8502</v>
      </c>
      <c r="C5238" t="s">
        <v>11286</v>
      </c>
      <c r="D5238" t="s">
        <v>5192</v>
      </c>
      <c r="E5238" t="s">
        <v>741</v>
      </c>
    </row>
    <row r="5239" spans="1:5" x14ac:dyDescent="0.3">
      <c r="A5239" t="s">
        <v>50</v>
      </c>
      <c r="B5239" t="s">
        <v>1110</v>
      </c>
      <c r="C5239" t="s">
        <v>7253</v>
      </c>
      <c r="D5239" t="s">
        <v>5464</v>
      </c>
      <c r="E5239" t="s">
        <v>75</v>
      </c>
    </row>
    <row r="5240" spans="1:5" x14ac:dyDescent="0.3">
      <c r="A5240" t="s">
        <v>3074</v>
      </c>
      <c r="B5240" t="s">
        <v>1761</v>
      </c>
      <c r="C5240" t="s">
        <v>467</v>
      </c>
      <c r="D5240" t="s">
        <v>11122</v>
      </c>
      <c r="E5240" t="s">
        <v>75</v>
      </c>
    </row>
    <row r="5241" spans="1:5" x14ac:dyDescent="0.3">
      <c r="A5241" t="s">
        <v>160</v>
      </c>
      <c r="B5241" t="s">
        <v>7380</v>
      </c>
      <c r="C5241" t="s">
        <v>460</v>
      </c>
      <c r="D5241" t="s">
        <v>8346</v>
      </c>
      <c r="E5241" t="s">
        <v>75</v>
      </c>
    </row>
    <row r="5242" spans="1:5" x14ac:dyDescent="0.3">
      <c r="A5242" t="s">
        <v>50</v>
      </c>
      <c r="B5242" t="s">
        <v>1010</v>
      </c>
      <c r="C5242" t="s">
        <v>461</v>
      </c>
      <c r="D5242" t="s">
        <v>6288</v>
      </c>
      <c r="E5242" t="s">
        <v>75</v>
      </c>
    </row>
    <row r="5243" spans="1:5" x14ac:dyDescent="0.3">
      <c r="A5243" t="s">
        <v>331</v>
      </c>
      <c r="B5243" t="s">
        <v>11290</v>
      </c>
      <c r="C5243" t="s">
        <v>461</v>
      </c>
      <c r="D5243" t="s">
        <v>11289</v>
      </c>
      <c r="E5243" t="s">
        <v>75</v>
      </c>
    </row>
    <row r="5244" spans="1:5" x14ac:dyDescent="0.3">
      <c r="A5244" t="s">
        <v>2279</v>
      </c>
      <c r="B5244" t="s">
        <v>4767</v>
      </c>
      <c r="C5244" t="s">
        <v>458</v>
      </c>
      <c r="D5244" t="s">
        <v>11291</v>
      </c>
      <c r="E5244" t="s">
        <v>75</v>
      </c>
    </row>
    <row r="5245" spans="1:5" x14ac:dyDescent="0.3">
      <c r="A5245" t="s">
        <v>195</v>
      </c>
      <c r="B5245" t="s">
        <v>11292</v>
      </c>
      <c r="C5245" t="s">
        <v>467</v>
      </c>
      <c r="D5245" t="s">
        <v>3009</v>
      </c>
      <c r="E5245" t="s">
        <v>741</v>
      </c>
    </row>
    <row r="5246" spans="1:5" x14ac:dyDescent="0.3">
      <c r="A5246" t="s">
        <v>864</v>
      </c>
      <c r="B5246" t="s">
        <v>11293</v>
      </c>
      <c r="C5246" t="s">
        <v>460</v>
      </c>
      <c r="D5246" t="s">
        <v>6166</v>
      </c>
      <c r="E5246" t="s">
        <v>75</v>
      </c>
    </row>
    <row r="5247" spans="1:5" x14ac:dyDescent="0.3">
      <c r="A5247" t="s">
        <v>5496</v>
      </c>
      <c r="B5247" t="s">
        <v>11294</v>
      </c>
      <c r="C5247" t="s">
        <v>455</v>
      </c>
      <c r="D5247" t="s">
        <v>7107</v>
      </c>
      <c r="E5247" t="s">
        <v>75</v>
      </c>
    </row>
    <row r="5248" spans="1:5" x14ac:dyDescent="0.3">
      <c r="A5248" t="s">
        <v>35</v>
      </c>
      <c r="B5248" t="s">
        <v>11295</v>
      </c>
      <c r="C5248" t="s">
        <v>10755</v>
      </c>
      <c r="D5248" t="s">
        <v>1716</v>
      </c>
      <c r="E5248" t="s">
        <v>741</v>
      </c>
    </row>
    <row r="5249" spans="1:5" x14ac:dyDescent="0.3">
      <c r="A5249" t="s">
        <v>1405</v>
      </c>
      <c r="B5249" t="s">
        <v>11297</v>
      </c>
      <c r="C5249" t="s">
        <v>11296</v>
      </c>
      <c r="D5249" t="s">
        <v>1408</v>
      </c>
      <c r="E5249" t="s">
        <v>1</v>
      </c>
    </row>
    <row r="5250" spans="1:5" x14ac:dyDescent="0.3">
      <c r="A5250" t="s">
        <v>851</v>
      </c>
      <c r="B5250" t="s">
        <v>11299</v>
      </c>
      <c r="C5250" t="s">
        <v>11298</v>
      </c>
      <c r="D5250" t="s">
        <v>951</v>
      </c>
      <c r="E5250" t="s">
        <v>1</v>
      </c>
    </row>
    <row r="5251" spans="1:5" x14ac:dyDescent="0.3">
      <c r="A5251" t="s">
        <v>186</v>
      </c>
      <c r="B5251" t="s">
        <v>187</v>
      </c>
      <c r="C5251" t="s">
        <v>188</v>
      </c>
      <c r="D5251" t="s">
        <v>833</v>
      </c>
      <c r="E5251" t="s">
        <v>741</v>
      </c>
    </row>
    <row r="5252" spans="1:5" x14ac:dyDescent="0.3">
      <c r="A5252" t="s">
        <v>143</v>
      </c>
      <c r="B5252" t="s">
        <v>144</v>
      </c>
      <c r="C5252" t="s">
        <v>145</v>
      </c>
      <c r="D5252" t="s">
        <v>11300</v>
      </c>
      <c r="E5252" t="s">
        <v>75</v>
      </c>
    </row>
    <row r="5253" spans="1:5" x14ac:dyDescent="0.3">
      <c r="A5253" t="s">
        <v>100</v>
      </c>
      <c r="B5253" t="s">
        <v>203</v>
      </c>
      <c r="C5253" t="s">
        <v>204</v>
      </c>
      <c r="D5253" t="s">
        <v>1000</v>
      </c>
      <c r="E5253" t="s">
        <v>741</v>
      </c>
    </row>
    <row r="5254" spans="1:5" x14ac:dyDescent="0.3">
      <c r="A5254" t="s">
        <v>206</v>
      </c>
      <c r="B5254" t="s">
        <v>207</v>
      </c>
      <c r="C5254" t="s">
        <v>208</v>
      </c>
      <c r="D5254" t="s">
        <v>10868</v>
      </c>
      <c r="E5254" t="s">
        <v>741</v>
      </c>
    </row>
    <row r="5255" spans="1:5" x14ac:dyDescent="0.3">
      <c r="A5255" t="s">
        <v>211</v>
      </c>
      <c r="B5255" t="s">
        <v>212</v>
      </c>
      <c r="C5255" t="s">
        <v>213</v>
      </c>
      <c r="D5255" t="s">
        <v>951</v>
      </c>
      <c r="E5255" t="s">
        <v>1</v>
      </c>
    </row>
    <row r="5256" spans="1:5" x14ac:dyDescent="0.3">
      <c r="A5256" t="s">
        <v>50</v>
      </c>
      <c r="B5256" t="s">
        <v>214</v>
      </c>
      <c r="C5256" t="s">
        <v>215</v>
      </c>
      <c r="D5256" t="s">
        <v>5075</v>
      </c>
      <c r="E5256" t="s">
        <v>781</v>
      </c>
    </row>
    <row r="5257" spans="1:5" x14ac:dyDescent="0.3">
      <c r="A5257" t="s">
        <v>3625</v>
      </c>
      <c r="B5257" t="s">
        <v>5630</v>
      </c>
      <c r="C5257" t="s">
        <v>461</v>
      </c>
      <c r="D5257" t="s">
        <v>9286</v>
      </c>
      <c r="E5257" t="s">
        <v>75</v>
      </c>
    </row>
    <row r="5258" spans="1:5" x14ac:dyDescent="0.3">
      <c r="A5258" t="s">
        <v>195</v>
      </c>
      <c r="B5258" t="s">
        <v>9229</v>
      </c>
      <c r="C5258" t="s">
        <v>11301</v>
      </c>
      <c r="D5258" t="s">
        <v>769</v>
      </c>
      <c r="E5258" t="s">
        <v>1</v>
      </c>
    </row>
    <row r="5259" spans="1:5" x14ac:dyDescent="0.3">
      <c r="A5259" t="s">
        <v>157</v>
      </c>
      <c r="B5259" t="s">
        <v>5697</v>
      </c>
      <c r="C5259" t="s">
        <v>5610</v>
      </c>
      <c r="D5259" t="s">
        <v>2541</v>
      </c>
      <c r="E5259" t="s">
        <v>781</v>
      </c>
    </row>
    <row r="5260" spans="1:5" x14ac:dyDescent="0.3">
      <c r="A5260" t="s">
        <v>10304</v>
      </c>
      <c r="B5260" t="s">
        <v>2502</v>
      </c>
      <c r="C5260" t="s">
        <v>2571</v>
      </c>
      <c r="D5260" t="s">
        <v>768</v>
      </c>
      <c r="E5260" t="s">
        <v>1</v>
      </c>
    </row>
    <row r="5261" spans="1:5" x14ac:dyDescent="0.3">
      <c r="A5261" t="s">
        <v>3153</v>
      </c>
      <c r="B5261" t="s">
        <v>11303</v>
      </c>
      <c r="C5261" t="s">
        <v>467</v>
      </c>
      <c r="D5261" t="s">
        <v>4351</v>
      </c>
      <c r="E5261" t="s">
        <v>841</v>
      </c>
    </row>
    <row r="5262" spans="1:5" x14ac:dyDescent="0.3">
      <c r="A5262" t="s">
        <v>11304</v>
      </c>
      <c r="B5262" t="s">
        <v>5882</v>
      </c>
      <c r="C5262" t="s">
        <v>467</v>
      </c>
      <c r="D5262" t="s">
        <v>11125</v>
      </c>
      <c r="E5262" t="s">
        <v>75</v>
      </c>
    </row>
    <row r="5263" spans="1:5" x14ac:dyDescent="0.3">
      <c r="A5263" t="s">
        <v>11305</v>
      </c>
      <c r="B5263" t="s">
        <v>2319</v>
      </c>
      <c r="C5263" t="s">
        <v>459</v>
      </c>
      <c r="D5263" t="s">
        <v>3998</v>
      </c>
      <c r="E5263" t="s">
        <v>841</v>
      </c>
    </row>
    <row r="5264" spans="1:5" x14ac:dyDescent="0.3">
      <c r="A5264" t="s">
        <v>2631</v>
      </c>
      <c r="B5264" t="s">
        <v>8010</v>
      </c>
      <c r="C5264" t="s">
        <v>8039</v>
      </c>
      <c r="D5264" t="s">
        <v>11306</v>
      </c>
      <c r="E5264" t="s">
        <v>774</v>
      </c>
    </row>
    <row r="5265" spans="1:5" x14ac:dyDescent="0.3">
      <c r="A5265" t="s">
        <v>250</v>
      </c>
      <c r="B5265" t="s">
        <v>11308</v>
      </c>
      <c r="C5265" t="s">
        <v>11307</v>
      </c>
    </row>
    <row r="5266" spans="1:5" x14ac:dyDescent="0.3">
      <c r="A5266" t="s">
        <v>3404</v>
      </c>
      <c r="B5266" t="s">
        <v>11309</v>
      </c>
      <c r="C5266" t="s">
        <v>461</v>
      </c>
      <c r="D5266" t="s">
        <v>8681</v>
      </c>
      <c r="E5266" t="s">
        <v>75</v>
      </c>
    </row>
    <row r="5267" spans="1:5" x14ac:dyDescent="0.3">
      <c r="A5267" t="s">
        <v>68</v>
      </c>
      <c r="B5267" t="s">
        <v>1737</v>
      </c>
      <c r="C5267" t="s">
        <v>467</v>
      </c>
      <c r="D5267" t="s">
        <v>6357</v>
      </c>
      <c r="E5267" t="s">
        <v>18</v>
      </c>
    </row>
    <row r="5268" spans="1:5" x14ac:dyDescent="0.3">
      <c r="A5268" t="s">
        <v>50</v>
      </c>
      <c r="B5268" t="s">
        <v>11310</v>
      </c>
      <c r="C5268" t="s">
        <v>459</v>
      </c>
      <c r="D5268" t="s">
        <v>3996</v>
      </c>
      <c r="E5268" t="s">
        <v>75</v>
      </c>
    </row>
    <row r="5269" spans="1:5" x14ac:dyDescent="0.3">
      <c r="A5269" t="s">
        <v>3654</v>
      </c>
      <c r="B5269" t="s">
        <v>3411</v>
      </c>
      <c r="C5269" t="s">
        <v>461</v>
      </c>
      <c r="D5269" t="s">
        <v>11311</v>
      </c>
      <c r="E5269" t="s">
        <v>741</v>
      </c>
    </row>
    <row r="5270" spans="1:5" x14ac:dyDescent="0.3">
      <c r="A5270" t="s">
        <v>220</v>
      </c>
      <c r="B5270" t="s">
        <v>2870</v>
      </c>
      <c r="C5270" t="s">
        <v>11313</v>
      </c>
      <c r="D5270" t="s">
        <v>11312</v>
      </c>
      <c r="E5270" t="s">
        <v>75</v>
      </c>
    </row>
    <row r="5271" spans="1:5" x14ac:dyDescent="0.3">
      <c r="A5271" t="s">
        <v>34</v>
      </c>
      <c r="B5271" t="s">
        <v>4254</v>
      </c>
      <c r="C5271" t="s">
        <v>457</v>
      </c>
    </row>
    <row r="5272" spans="1:5" x14ac:dyDescent="0.3">
      <c r="A5272" t="s">
        <v>3152</v>
      </c>
      <c r="B5272" t="s">
        <v>2632</v>
      </c>
      <c r="C5272" t="s">
        <v>11314</v>
      </c>
    </row>
    <row r="5273" spans="1:5" x14ac:dyDescent="0.3">
      <c r="A5273" t="s">
        <v>860</v>
      </c>
      <c r="B5273" t="s">
        <v>11316</v>
      </c>
      <c r="C5273" t="s">
        <v>720</v>
      </c>
      <c r="D5273" t="s">
        <v>11315</v>
      </c>
      <c r="E5273" t="s">
        <v>741</v>
      </c>
    </row>
    <row r="5274" spans="1:5" x14ac:dyDescent="0.3">
      <c r="A5274" t="s">
        <v>9303</v>
      </c>
      <c r="B5274" t="s">
        <v>8711</v>
      </c>
      <c r="C5274" t="s">
        <v>11317</v>
      </c>
      <c r="D5274" t="s">
        <v>768</v>
      </c>
      <c r="E5274" t="s">
        <v>1</v>
      </c>
    </row>
    <row r="5275" spans="1:5" x14ac:dyDescent="0.3">
      <c r="A5275" t="s">
        <v>398</v>
      </c>
      <c r="B5275" t="s">
        <v>11318</v>
      </c>
      <c r="C5275" t="s">
        <v>461</v>
      </c>
      <c r="D5275" t="s">
        <v>8952</v>
      </c>
      <c r="E5275" t="s">
        <v>743</v>
      </c>
    </row>
    <row r="5276" spans="1:5" x14ac:dyDescent="0.3">
      <c r="A5276" t="s">
        <v>2974</v>
      </c>
      <c r="B5276" t="s">
        <v>11321</v>
      </c>
      <c r="C5276" t="s">
        <v>11320</v>
      </c>
      <c r="D5276" t="s">
        <v>11319</v>
      </c>
      <c r="E5276" t="s">
        <v>774</v>
      </c>
    </row>
    <row r="5277" spans="1:5" x14ac:dyDescent="0.3">
      <c r="A5277" t="s">
        <v>11322</v>
      </c>
      <c r="B5277" t="s">
        <v>11324</v>
      </c>
      <c r="C5277" t="s">
        <v>11323</v>
      </c>
      <c r="D5277" t="s">
        <v>771</v>
      </c>
      <c r="E5277" t="s">
        <v>743</v>
      </c>
    </row>
    <row r="5278" spans="1:5" x14ac:dyDescent="0.3">
      <c r="A5278" t="s">
        <v>7269</v>
      </c>
      <c r="B5278" t="s">
        <v>11326</v>
      </c>
      <c r="C5278" t="s">
        <v>460</v>
      </c>
      <c r="D5278" t="s">
        <v>11325</v>
      </c>
      <c r="E5278" t="s">
        <v>75</v>
      </c>
    </row>
    <row r="5279" spans="1:5" x14ac:dyDescent="0.3">
      <c r="A5279" t="s">
        <v>11328</v>
      </c>
      <c r="B5279" t="s">
        <v>11330</v>
      </c>
      <c r="C5279" t="s">
        <v>11329</v>
      </c>
      <c r="D5279" t="s">
        <v>11327</v>
      </c>
      <c r="E5279" t="s">
        <v>2175</v>
      </c>
    </row>
    <row r="5280" spans="1:5" x14ac:dyDescent="0.3">
      <c r="A5280" t="s">
        <v>1376</v>
      </c>
      <c r="B5280" t="s">
        <v>979</v>
      </c>
      <c r="C5280" t="s">
        <v>698</v>
      </c>
      <c r="D5280" t="s">
        <v>11331</v>
      </c>
      <c r="E5280" t="s">
        <v>774</v>
      </c>
    </row>
    <row r="5281" spans="1:5" x14ac:dyDescent="0.3">
      <c r="A5281" t="s">
        <v>65</v>
      </c>
      <c r="B5281" t="s">
        <v>11332</v>
      </c>
      <c r="C5281" t="s">
        <v>459</v>
      </c>
      <c r="D5281" t="s">
        <v>7621</v>
      </c>
      <c r="E5281" t="s">
        <v>75</v>
      </c>
    </row>
    <row r="5282" spans="1:5" x14ac:dyDescent="0.3">
      <c r="A5282" t="s">
        <v>2276</v>
      </c>
      <c r="B5282" t="s">
        <v>11333</v>
      </c>
      <c r="C5282" t="s">
        <v>862</v>
      </c>
      <c r="D5282" t="s">
        <v>769</v>
      </c>
      <c r="E5282" t="s">
        <v>1</v>
      </c>
    </row>
    <row r="5283" spans="1:5" x14ac:dyDescent="0.3">
      <c r="A5283" t="s">
        <v>131</v>
      </c>
      <c r="B5283" t="s">
        <v>1310</v>
      </c>
      <c r="C5283" t="s">
        <v>461</v>
      </c>
      <c r="D5283" t="s">
        <v>9307</v>
      </c>
      <c r="E5283" t="s">
        <v>75</v>
      </c>
    </row>
    <row r="5284" spans="1:5" x14ac:dyDescent="0.3">
      <c r="A5284" t="s">
        <v>3358</v>
      </c>
      <c r="B5284" t="s">
        <v>11334</v>
      </c>
      <c r="C5284" t="s">
        <v>455</v>
      </c>
      <c r="D5284" t="s">
        <v>8749</v>
      </c>
      <c r="E5284" t="s">
        <v>75</v>
      </c>
    </row>
    <row r="5285" spans="1:5" x14ac:dyDescent="0.3">
      <c r="A5285" t="s">
        <v>438</v>
      </c>
      <c r="B5285" t="s">
        <v>1091</v>
      </c>
      <c r="C5285" t="s">
        <v>460</v>
      </c>
      <c r="D5285" t="s">
        <v>8257</v>
      </c>
      <c r="E5285" t="s">
        <v>75</v>
      </c>
    </row>
    <row r="5286" spans="1:5" x14ac:dyDescent="0.3">
      <c r="A5286" t="s">
        <v>1424</v>
      </c>
      <c r="B5286" t="s">
        <v>1213</v>
      </c>
      <c r="C5286" t="s">
        <v>862</v>
      </c>
      <c r="D5286" t="s">
        <v>10115</v>
      </c>
      <c r="E5286" t="s">
        <v>774</v>
      </c>
    </row>
    <row r="5287" spans="1:5" x14ac:dyDescent="0.3">
      <c r="A5287" t="s">
        <v>157</v>
      </c>
      <c r="B5287" t="s">
        <v>11336</v>
      </c>
      <c r="C5287" t="s">
        <v>745</v>
      </c>
      <c r="D5287" t="s">
        <v>11335</v>
      </c>
      <c r="E5287" t="s">
        <v>774</v>
      </c>
    </row>
    <row r="5288" spans="1:5" x14ac:dyDescent="0.3">
      <c r="A5288" t="s">
        <v>3789</v>
      </c>
      <c r="B5288" t="s">
        <v>5713</v>
      </c>
      <c r="C5288" t="s">
        <v>461</v>
      </c>
      <c r="D5288" t="s">
        <v>933</v>
      </c>
      <c r="E5288" t="s">
        <v>758</v>
      </c>
    </row>
    <row r="5289" spans="1:5" x14ac:dyDescent="0.3">
      <c r="A5289" t="s">
        <v>4253</v>
      </c>
      <c r="B5289" t="s">
        <v>5953</v>
      </c>
      <c r="C5289" t="s">
        <v>467</v>
      </c>
      <c r="D5289" t="s">
        <v>5936</v>
      </c>
      <c r="E5289" t="s">
        <v>758</v>
      </c>
    </row>
    <row r="5290" spans="1:5" x14ac:dyDescent="0.3">
      <c r="A5290" t="s">
        <v>3070</v>
      </c>
      <c r="B5290" t="s">
        <v>11081</v>
      </c>
      <c r="C5290" t="s">
        <v>11337</v>
      </c>
      <c r="D5290" t="s">
        <v>8260</v>
      </c>
      <c r="E5290" t="s">
        <v>75</v>
      </c>
    </row>
    <row r="5291" spans="1:5" x14ac:dyDescent="0.3">
      <c r="A5291" t="s">
        <v>435</v>
      </c>
      <c r="B5291" t="s">
        <v>2665</v>
      </c>
      <c r="C5291" t="s">
        <v>11338</v>
      </c>
      <c r="D5291" t="s">
        <v>5608</v>
      </c>
      <c r="E5291" t="s">
        <v>781</v>
      </c>
    </row>
    <row r="5292" spans="1:5" x14ac:dyDescent="0.3">
      <c r="A5292" t="s">
        <v>100</v>
      </c>
      <c r="B5292" t="s">
        <v>199</v>
      </c>
      <c r="C5292" t="s">
        <v>11340</v>
      </c>
      <c r="D5292" t="s">
        <v>766</v>
      </c>
      <c r="E5292" t="s">
        <v>741</v>
      </c>
    </row>
    <row r="5293" spans="1:5" x14ac:dyDescent="0.3">
      <c r="A5293" t="s">
        <v>1834</v>
      </c>
      <c r="B5293" t="s">
        <v>3197</v>
      </c>
      <c r="C5293" t="s">
        <v>698</v>
      </c>
      <c r="D5293" t="s">
        <v>7574</v>
      </c>
      <c r="E5293" t="s">
        <v>75</v>
      </c>
    </row>
    <row r="5294" spans="1:5" x14ac:dyDescent="0.3">
      <c r="A5294" t="s">
        <v>29</v>
      </c>
      <c r="B5294" t="s">
        <v>11342</v>
      </c>
      <c r="C5294" t="s">
        <v>461</v>
      </c>
      <c r="D5294" t="s">
        <v>11341</v>
      </c>
      <c r="E5294" t="s">
        <v>897</v>
      </c>
    </row>
    <row r="5295" spans="1:5" x14ac:dyDescent="0.3">
      <c r="A5295" t="s">
        <v>11343</v>
      </c>
      <c r="B5295" t="s">
        <v>11345</v>
      </c>
      <c r="C5295" t="s">
        <v>11344</v>
      </c>
      <c r="D5295" t="s">
        <v>9194</v>
      </c>
      <c r="E5295" t="s">
        <v>743</v>
      </c>
    </row>
    <row r="5296" spans="1:5" x14ac:dyDescent="0.3">
      <c r="A5296" t="s">
        <v>194</v>
      </c>
      <c r="B5296" t="s">
        <v>11347</v>
      </c>
      <c r="C5296" t="s">
        <v>11346</v>
      </c>
      <c r="D5296" t="s">
        <v>8260</v>
      </c>
      <c r="E5296" t="s">
        <v>75</v>
      </c>
    </row>
    <row r="5297" spans="1:5" x14ac:dyDescent="0.3">
      <c r="A5297" t="s">
        <v>11348</v>
      </c>
      <c r="B5297" t="s">
        <v>11350</v>
      </c>
      <c r="C5297" t="s">
        <v>11349</v>
      </c>
      <c r="D5297" t="s">
        <v>751</v>
      </c>
      <c r="E5297" t="s">
        <v>1</v>
      </c>
    </row>
    <row r="5298" spans="1:5" x14ac:dyDescent="0.3">
      <c r="A5298" t="s">
        <v>4861</v>
      </c>
      <c r="B5298" t="s">
        <v>3702</v>
      </c>
      <c r="C5298" t="s">
        <v>467</v>
      </c>
      <c r="D5298" t="s">
        <v>9342</v>
      </c>
      <c r="E5298" t="s">
        <v>75</v>
      </c>
    </row>
    <row r="5299" spans="1:5" x14ac:dyDescent="0.3">
      <c r="A5299" t="s">
        <v>1495</v>
      </c>
      <c r="B5299" t="s">
        <v>4390</v>
      </c>
      <c r="C5299" t="s">
        <v>467</v>
      </c>
      <c r="D5299" t="s">
        <v>11339</v>
      </c>
      <c r="E5299" t="s">
        <v>75</v>
      </c>
    </row>
    <row r="5300" spans="1:5" x14ac:dyDescent="0.3">
      <c r="A5300" t="s">
        <v>3089</v>
      </c>
      <c r="B5300" t="s">
        <v>4100</v>
      </c>
      <c r="C5300" t="s">
        <v>454</v>
      </c>
      <c r="D5300" t="s">
        <v>11351</v>
      </c>
      <c r="E5300" t="s">
        <v>774</v>
      </c>
    </row>
    <row r="5301" spans="1:5" x14ac:dyDescent="0.3">
      <c r="A5301" t="s">
        <v>11352</v>
      </c>
      <c r="B5301" t="s">
        <v>11353</v>
      </c>
      <c r="C5301" t="s">
        <v>456</v>
      </c>
      <c r="D5301" t="s">
        <v>5578</v>
      </c>
      <c r="E5301" t="s">
        <v>2175</v>
      </c>
    </row>
    <row r="5302" spans="1:5" x14ac:dyDescent="0.3">
      <c r="A5302" t="s">
        <v>5819</v>
      </c>
      <c r="B5302" t="s">
        <v>3721</v>
      </c>
      <c r="C5302" t="s">
        <v>11354</v>
      </c>
      <c r="D5302" t="s">
        <v>763</v>
      </c>
      <c r="E5302" t="s">
        <v>1</v>
      </c>
    </row>
    <row r="5303" spans="1:5" x14ac:dyDescent="0.3">
      <c r="A5303" t="s">
        <v>3182</v>
      </c>
      <c r="B5303" t="s">
        <v>11355</v>
      </c>
      <c r="C5303" t="s">
        <v>461</v>
      </c>
      <c r="D5303" t="s">
        <v>13077</v>
      </c>
      <c r="E5303" t="s">
        <v>75</v>
      </c>
    </row>
    <row r="5304" spans="1:5" x14ac:dyDescent="0.3">
      <c r="A5304" t="s">
        <v>3806</v>
      </c>
      <c r="B5304" t="s">
        <v>2971</v>
      </c>
      <c r="C5304" t="s">
        <v>11356</v>
      </c>
      <c r="D5304" t="s">
        <v>2816</v>
      </c>
      <c r="E5304" t="s">
        <v>841</v>
      </c>
    </row>
    <row r="5305" spans="1:5" x14ac:dyDescent="0.3">
      <c r="A5305" t="s">
        <v>3062</v>
      </c>
      <c r="B5305" t="s">
        <v>11358</v>
      </c>
      <c r="C5305" t="s">
        <v>11357</v>
      </c>
      <c r="D5305" t="s">
        <v>8267</v>
      </c>
      <c r="E5305" t="s">
        <v>75</v>
      </c>
    </row>
    <row r="5306" spans="1:5" x14ac:dyDescent="0.3">
      <c r="A5306" t="s">
        <v>3115</v>
      </c>
      <c r="B5306" t="s">
        <v>11360</v>
      </c>
      <c r="C5306" t="s">
        <v>11359</v>
      </c>
      <c r="D5306" t="s">
        <v>8267</v>
      </c>
      <c r="E5306" t="s">
        <v>75</v>
      </c>
    </row>
    <row r="5307" spans="1:5" x14ac:dyDescent="0.3">
      <c r="A5307" t="s">
        <v>11361</v>
      </c>
      <c r="B5307" t="s">
        <v>11363</v>
      </c>
      <c r="C5307" t="s">
        <v>11362</v>
      </c>
      <c r="D5307" t="s">
        <v>986</v>
      </c>
      <c r="E5307" t="s">
        <v>18</v>
      </c>
    </row>
    <row r="5308" spans="1:5" x14ac:dyDescent="0.3">
      <c r="A5308" t="s">
        <v>50</v>
      </c>
      <c r="B5308" t="s">
        <v>5377</v>
      </c>
      <c r="C5308" t="s">
        <v>455</v>
      </c>
      <c r="D5308" t="s">
        <v>11364</v>
      </c>
      <c r="E5308" t="s">
        <v>774</v>
      </c>
    </row>
    <row r="5309" spans="1:5" x14ac:dyDescent="0.3">
      <c r="A5309" t="s">
        <v>1334</v>
      </c>
      <c r="B5309" t="s">
        <v>11366</v>
      </c>
      <c r="C5309" t="s">
        <v>461</v>
      </c>
      <c r="D5309" t="s">
        <v>11365</v>
      </c>
      <c r="E5309" t="s">
        <v>774</v>
      </c>
    </row>
    <row r="5310" spans="1:5" x14ac:dyDescent="0.3">
      <c r="A5310" t="s">
        <v>190</v>
      </c>
      <c r="B5310" t="s">
        <v>11368</v>
      </c>
      <c r="C5310" t="s">
        <v>11367</v>
      </c>
      <c r="D5310" t="s">
        <v>6468</v>
      </c>
      <c r="E5310" t="s">
        <v>841</v>
      </c>
    </row>
    <row r="5311" spans="1:5" x14ac:dyDescent="0.3">
      <c r="A5311" t="s">
        <v>11371</v>
      </c>
      <c r="B5311" t="s">
        <v>2827</v>
      </c>
      <c r="C5311" t="s">
        <v>456</v>
      </c>
      <c r="D5311" t="s">
        <v>11370</v>
      </c>
      <c r="E5311" t="s">
        <v>774</v>
      </c>
    </row>
    <row r="5312" spans="1:5" x14ac:dyDescent="0.3">
      <c r="A5312" t="s">
        <v>66</v>
      </c>
      <c r="B5312" t="s">
        <v>4156</v>
      </c>
      <c r="C5312" t="s">
        <v>698</v>
      </c>
      <c r="D5312" t="s">
        <v>11372</v>
      </c>
      <c r="E5312" t="s">
        <v>897</v>
      </c>
    </row>
    <row r="5313" spans="1:5" x14ac:dyDescent="0.3">
      <c r="A5313" t="s">
        <v>2648</v>
      </c>
      <c r="B5313" t="s">
        <v>11373</v>
      </c>
      <c r="C5313" t="s">
        <v>4382</v>
      </c>
    </row>
    <row r="5314" spans="1:5" x14ac:dyDescent="0.3">
      <c r="A5314" t="s">
        <v>5130</v>
      </c>
      <c r="B5314" t="s">
        <v>401</v>
      </c>
      <c r="C5314" t="s">
        <v>11375</v>
      </c>
      <c r="D5314" t="s">
        <v>11374</v>
      </c>
      <c r="E5314" t="s">
        <v>774</v>
      </c>
    </row>
    <row r="5315" spans="1:5" x14ac:dyDescent="0.3">
      <c r="A5315" t="s">
        <v>3115</v>
      </c>
      <c r="B5315" t="s">
        <v>11376</v>
      </c>
      <c r="C5315" t="s">
        <v>456</v>
      </c>
      <c r="D5315" t="s">
        <v>809</v>
      </c>
      <c r="E5315" t="s">
        <v>781</v>
      </c>
    </row>
    <row r="5316" spans="1:5" x14ac:dyDescent="0.3">
      <c r="A5316" t="s">
        <v>20</v>
      </c>
      <c r="B5316" t="s">
        <v>4809</v>
      </c>
      <c r="C5316" t="s">
        <v>698</v>
      </c>
      <c r="D5316" t="s">
        <v>11377</v>
      </c>
      <c r="E5316" t="s">
        <v>774</v>
      </c>
    </row>
    <row r="5317" spans="1:5" x14ac:dyDescent="0.3">
      <c r="A5317" t="s">
        <v>326</v>
      </c>
      <c r="B5317" t="s">
        <v>11379</v>
      </c>
      <c r="C5317" t="s">
        <v>9218</v>
      </c>
      <c r="D5317" t="s">
        <v>11378</v>
      </c>
      <c r="E5317" t="s">
        <v>774</v>
      </c>
    </row>
    <row r="5318" spans="1:5" x14ac:dyDescent="0.3">
      <c r="A5318" t="s">
        <v>11381</v>
      </c>
      <c r="B5318" t="s">
        <v>11382</v>
      </c>
      <c r="C5318" t="s">
        <v>7731</v>
      </c>
      <c r="D5318" t="s">
        <v>11380</v>
      </c>
      <c r="E5318" t="s">
        <v>774</v>
      </c>
    </row>
    <row r="5319" spans="1:5" x14ac:dyDescent="0.3">
      <c r="A5319" t="s">
        <v>11060</v>
      </c>
      <c r="B5319" t="s">
        <v>11385</v>
      </c>
      <c r="C5319" t="s">
        <v>11384</v>
      </c>
      <c r="D5319" t="s">
        <v>11383</v>
      </c>
      <c r="E5319" t="s">
        <v>774</v>
      </c>
    </row>
    <row r="5320" spans="1:5" x14ac:dyDescent="0.3">
      <c r="A5320" t="s">
        <v>1433</v>
      </c>
      <c r="B5320" t="s">
        <v>11387</v>
      </c>
      <c r="C5320" t="s">
        <v>698</v>
      </c>
      <c r="D5320" t="s">
        <v>11386</v>
      </c>
      <c r="E5320" t="s">
        <v>774</v>
      </c>
    </row>
    <row r="5321" spans="1:5" x14ac:dyDescent="0.3">
      <c r="A5321" t="s">
        <v>2790</v>
      </c>
      <c r="B5321" t="s">
        <v>11389</v>
      </c>
      <c r="C5321" t="s">
        <v>720</v>
      </c>
      <c r="D5321" t="s">
        <v>11388</v>
      </c>
      <c r="E5321" t="s">
        <v>774</v>
      </c>
    </row>
    <row r="5322" spans="1:5" x14ac:dyDescent="0.3">
      <c r="A5322" t="s">
        <v>391</v>
      </c>
      <c r="B5322" t="s">
        <v>1118</v>
      </c>
      <c r="C5322" t="s">
        <v>457</v>
      </c>
      <c r="D5322" t="s">
        <v>11390</v>
      </c>
      <c r="E5322" t="s">
        <v>774</v>
      </c>
    </row>
    <row r="5323" spans="1:5" x14ac:dyDescent="0.3">
      <c r="A5323" t="s">
        <v>4610</v>
      </c>
      <c r="B5323" t="s">
        <v>444</v>
      </c>
      <c r="C5323" t="s">
        <v>457</v>
      </c>
      <c r="D5323" t="s">
        <v>11392</v>
      </c>
      <c r="E5323" t="s">
        <v>774</v>
      </c>
    </row>
    <row r="5324" spans="1:5" x14ac:dyDescent="0.3">
      <c r="A5324" t="s">
        <v>11394</v>
      </c>
      <c r="B5324" t="s">
        <v>11395</v>
      </c>
      <c r="C5324" t="s">
        <v>4645</v>
      </c>
      <c r="D5324" t="s">
        <v>11393</v>
      </c>
      <c r="E5324" t="s">
        <v>774</v>
      </c>
    </row>
    <row r="5325" spans="1:5" x14ac:dyDescent="0.3">
      <c r="A5325" t="s">
        <v>3449</v>
      </c>
      <c r="B5325" t="s">
        <v>2045</v>
      </c>
      <c r="C5325" t="s">
        <v>6466</v>
      </c>
      <c r="D5325" t="s">
        <v>11396</v>
      </c>
      <c r="E5325" t="s">
        <v>774</v>
      </c>
    </row>
    <row r="5326" spans="1:5" x14ac:dyDescent="0.3">
      <c r="A5326" t="s">
        <v>224</v>
      </c>
      <c r="B5326" t="s">
        <v>11398</v>
      </c>
      <c r="C5326" t="s">
        <v>461</v>
      </c>
      <c r="D5326" t="s">
        <v>11397</v>
      </c>
      <c r="E5326" t="s">
        <v>774</v>
      </c>
    </row>
    <row r="5327" spans="1:5" x14ac:dyDescent="0.3">
      <c r="A5327" t="s">
        <v>6926</v>
      </c>
      <c r="B5327" t="s">
        <v>1723</v>
      </c>
      <c r="C5327" t="s">
        <v>11399</v>
      </c>
      <c r="D5327" t="s">
        <v>968</v>
      </c>
      <c r="E5327" t="s">
        <v>781</v>
      </c>
    </row>
    <row r="5328" spans="1:5" x14ac:dyDescent="0.3">
      <c r="A5328" t="s">
        <v>1633</v>
      </c>
      <c r="B5328" t="s">
        <v>1883</v>
      </c>
      <c r="C5328" t="s">
        <v>921</v>
      </c>
      <c r="D5328" t="s">
        <v>968</v>
      </c>
      <c r="E5328" t="s">
        <v>781</v>
      </c>
    </row>
    <row r="5329" spans="1:5" x14ac:dyDescent="0.3">
      <c r="A5329" t="s">
        <v>266</v>
      </c>
      <c r="B5329" t="s">
        <v>11401</v>
      </c>
      <c r="C5329" t="s">
        <v>11400</v>
      </c>
      <c r="D5329" t="s">
        <v>1919</v>
      </c>
      <c r="E5329" t="s">
        <v>781</v>
      </c>
    </row>
    <row r="5330" spans="1:5" x14ac:dyDescent="0.3">
      <c r="A5330" t="s">
        <v>4291</v>
      </c>
      <c r="B5330" t="s">
        <v>99</v>
      </c>
      <c r="C5330" t="s">
        <v>720</v>
      </c>
      <c r="D5330" t="s">
        <v>11402</v>
      </c>
      <c r="E5330" t="s">
        <v>774</v>
      </c>
    </row>
    <row r="5331" spans="1:5" x14ac:dyDescent="0.3">
      <c r="A5331" t="s">
        <v>11404</v>
      </c>
      <c r="B5331" t="s">
        <v>11406</v>
      </c>
      <c r="C5331" t="s">
        <v>11405</v>
      </c>
      <c r="D5331" t="s">
        <v>11403</v>
      </c>
      <c r="E5331" t="s">
        <v>774</v>
      </c>
    </row>
    <row r="5332" spans="1:5" x14ac:dyDescent="0.3">
      <c r="A5332" t="s">
        <v>11408</v>
      </c>
      <c r="B5332" t="s">
        <v>11410</v>
      </c>
      <c r="C5332" t="s">
        <v>11409</v>
      </c>
      <c r="D5332" t="s">
        <v>11407</v>
      </c>
      <c r="E5332" t="s">
        <v>774</v>
      </c>
    </row>
    <row r="5333" spans="1:5" x14ac:dyDescent="0.3">
      <c r="A5333" t="s">
        <v>11411</v>
      </c>
      <c r="B5333" t="s">
        <v>11413</v>
      </c>
      <c r="C5333" t="s">
        <v>11412</v>
      </c>
      <c r="D5333" t="s">
        <v>2616</v>
      </c>
      <c r="E5333" t="s">
        <v>75</v>
      </c>
    </row>
    <row r="5334" spans="1:5" x14ac:dyDescent="0.3">
      <c r="A5334" t="s">
        <v>133</v>
      </c>
      <c r="B5334" t="s">
        <v>2976</v>
      </c>
      <c r="C5334" t="s">
        <v>9218</v>
      </c>
      <c r="D5334" t="s">
        <v>11414</v>
      </c>
      <c r="E5334" t="s">
        <v>774</v>
      </c>
    </row>
    <row r="5335" spans="1:5" x14ac:dyDescent="0.3">
      <c r="A5335" t="s">
        <v>3415</v>
      </c>
      <c r="B5335" t="s">
        <v>11416</v>
      </c>
      <c r="C5335" t="s">
        <v>862</v>
      </c>
      <c r="D5335" t="s">
        <v>11415</v>
      </c>
      <c r="E5335" t="s">
        <v>774</v>
      </c>
    </row>
    <row r="5336" spans="1:5" x14ac:dyDescent="0.3">
      <c r="A5336" t="s">
        <v>50</v>
      </c>
      <c r="B5336" t="s">
        <v>11418</v>
      </c>
      <c r="C5336" t="s">
        <v>461</v>
      </c>
      <c r="D5336" t="s">
        <v>11417</v>
      </c>
      <c r="E5336" t="s">
        <v>774</v>
      </c>
    </row>
    <row r="5337" spans="1:5" x14ac:dyDescent="0.3">
      <c r="A5337" t="s">
        <v>1380</v>
      </c>
      <c r="B5337" t="s">
        <v>11420</v>
      </c>
      <c r="C5337" t="s">
        <v>467</v>
      </c>
      <c r="D5337" t="s">
        <v>11419</v>
      </c>
      <c r="E5337" t="s">
        <v>774</v>
      </c>
    </row>
    <row r="5338" spans="1:5" x14ac:dyDescent="0.3">
      <c r="A5338" t="s">
        <v>1612</v>
      </c>
      <c r="B5338" t="s">
        <v>3011</v>
      </c>
      <c r="C5338" t="s">
        <v>698</v>
      </c>
      <c r="D5338" t="s">
        <v>11421</v>
      </c>
      <c r="E5338" t="s">
        <v>774</v>
      </c>
    </row>
    <row r="5339" spans="1:5" x14ac:dyDescent="0.3">
      <c r="A5339" t="s">
        <v>4822</v>
      </c>
      <c r="B5339" t="s">
        <v>11423</v>
      </c>
      <c r="C5339" t="s">
        <v>6743</v>
      </c>
      <c r="D5339" t="s">
        <v>11422</v>
      </c>
      <c r="E5339" t="s">
        <v>774</v>
      </c>
    </row>
    <row r="5340" spans="1:5" x14ac:dyDescent="0.3">
      <c r="A5340" t="s">
        <v>2388</v>
      </c>
      <c r="B5340" t="s">
        <v>189</v>
      </c>
      <c r="C5340" t="s">
        <v>8148</v>
      </c>
      <c r="D5340" t="s">
        <v>11424</v>
      </c>
      <c r="E5340" t="s">
        <v>774</v>
      </c>
    </row>
    <row r="5341" spans="1:5" x14ac:dyDescent="0.3">
      <c r="A5341" t="s">
        <v>119</v>
      </c>
      <c r="B5341" t="s">
        <v>4905</v>
      </c>
      <c r="C5341" t="s">
        <v>11425</v>
      </c>
      <c r="D5341" t="s">
        <v>5331</v>
      </c>
      <c r="E5341" t="s">
        <v>774</v>
      </c>
    </row>
    <row r="5342" spans="1:5" x14ac:dyDescent="0.3">
      <c r="A5342" t="s">
        <v>185</v>
      </c>
      <c r="B5342" t="s">
        <v>1861</v>
      </c>
      <c r="C5342" t="s">
        <v>720</v>
      </c>
      <c r="D5342" t="s">
        <v>11426</v>
      </c>
      <c r="E5342" t="s">
        <v>774</v>
      </c>
    </row>
    <row r="5343" spans="1:5" x14ac:dyDescent="0.3">
      <c r="A5343" t="s">
        <v>11428</v>
      </c>
      <c r="B5343" t="s">
        <v>10200</v>
      </c>
      <c r="C5343" t="s">
        <v>461</v>
      </c>
      <c r="D5343" t="s">
        <v>11427</v>
      </c>
      <c r="E5343" t="s">
        <v>774</v>
      </c>
    </row>
    <row r="5344" spans="1:5" x14ac:dyDescent="0.3">
      <c r="A5344" t="s">
        <v>53</v>
      </c>
      <c r="B5344" t="s">
        <v>4239</v>
      </c>
      <c r="C5344" t="s">
        <v>9090</v>
      </c>
      <c r="D5344" t="s">
        <v>11429</v>
      </c>
      <c r="E5344" t="s">
        <v>774</v>
      </c>
    </row>
    <row r="5345" spans="1:5" x14ac:dyDescent="0.3">
      <c r="A5345" t="s">
        <v>5682</v>
      </c>
      <c r="B5345" t="s">
        <v>7799</v>
      </c>
      <c r="C5345" t="s">
        <v>718</v>
      </c>
      <c r="D5345" t="s">
        <v>11430</v>
      </c>
      <c r="E5345" t="s">
        <v>774</v>
      </c>
    </row>
    <row r="5346" spans="1:5" x14ac:dyDescent="0.3">
      <c r="A5346" t="s">
        <v>82</v>
      </c>
      <c r="B5346" t="s">
        <v>11434</v>
      </c>
      <c r="C5346" t="s">
        <v>11433</v>
      </c>
      <c r="D5346" t="s">
        <v>11432</v>
      </c>
      <c r="E5346" t="s">
        <v>774</v>
      </c>
    </row>
    <row r="5347" spans="1:5" x14ac:dyDescent="0.3">
      <c r="A5347" t="s">
        <v>3928</v>
      </c>
      <c r="B5347" t="s">
        <v>11435</v>
      </c>
      <c r="C5347" t="s">
        <v>456</v>
      </c>
      <c r="D5347" t="s">
        <v>11432</v>
      </c>
      <c r="E5347" t="s">
        <v>774</v>
      </c>
    </row>
    <row r="5348" spans="1:5" x14ac:dyDescent="0.3">
      <c r="A5348" t="s">
        <v>224</v>
      </c>
      <c r="B5348" t="s">
        <v>9748</v>
      </c>
      <c r="C5348" t="s">
        <v>451</v>
      </c>
      <c r="D5348" t="s">
        <v>11436</v>
      </c>
      <c r="E5348" t="s">
        <v>774</v>
      </c>
    </row>
    <row r="5349" spans="1:5" x14ac:dyDescent="0.3">
      <c r="A5349" t="s">
        <v>11369</v>
      </c>
      <c r="B5349" t="s">
        <v>11438</v>
      </c>
      <c r="C5349" t="s">
        <v>451</v>
      </c>
      <c r="D5349" t="s">
        <v>11437</v>
      </c>
      <c r="E5349" t="s">
        <v>774</v>
      </c>
    </row>
    <row r="5350" spans="1:5" x14ac:dyDescent="0.3">
      <c r="A5350" t="s">
        <v>1119</v>
      </c>
      <c r="B5350" t="s">
        <v>1315</v>
      </c>
      <c r="C5350" t="s">
        <v>862</v>
      </c>
      <c r="D5350" t="s">
        <v>11439</v>
      </c>
      <c r="E5350" t="s">
        <v>774</v>
      </c>
    </row>
    <row r="5351" spans="1:5" x14ac:dyDescent="0.3">
      <c r="A5351" t="s">
        <v>11441</v>
      </c>
      <c r="B5351" t="s">
        <v>11442</v>
      </c>
      <c r="C5351" t="s">
        <v>461</v>
      </c>
      <c r="D5351" t="s">
        <v>11440</v>
      </c>
      <c r="E5351" t="s">
        <v>774</v>
      </c>
    </row>
    <row r="5352" spans="1:5" x14ac:dyDescent="0.3">
      <c r="A5352" t="s">
        <v>4933</v>
      </c>
      <c r="B5352" t="s">
        <v>1098</v>
      </c>
      <c r="C5352" t="s">
        <v>11444</v>
      </c>
      <c r="D5352" t="s">
        <v>11443</v>
      </c>
      <c r="E5352" t="s">
        <v>774</v>
      </c>
    </row>
    <row r="5353" spans="1:5" x14ac:dyDescent="0.3">
      <c r="A5353" t="s">
        <v>3579</v>
      </c>
      <c r="B5353" t="s">
        <v>9930</v>
      </c>
      <c r="C5353" t="s">
        <v>461</v>
      </c>
      <c r="D5353" t="s">
        <v>9370</v>
      </c>
      <c r="E5353" t="s">
        <v>75</v>
      </c>
    </row>
    <row r="5354" spans="1:5" x14ac:dyDescent="0.3">
      <c r="A5354" t="s">
        <v>402</v>
      </c>
      <c r="B5354" t="s">
        <v>1217</v>
      </c>
      <c r="C5354" t="s">
        <v>11446</v>
      </c>
      <c r="D5354" t="s">
        <v>11445</v>
      </c>
      <c r="E5354" t="s">
        <v>774</v>
      </c>
    </row>
    <row r="5355" spans="1:5" x14ac:dyDescent="0.3">
      <c r="A5355" t="s">
        <v>1905</v>
      </c>
      <c r="B5355" t="s">
        <v>11449</v>
      </c>
      <c r="C5355" t="s">
        <v>11448</v>
      </c>
      <c r="D5355" t="s">
        <v>11447</v>
      </c>
      <c r="E5355" t="s">
        <v>774</v>
      </c>
    </row>
    <row r="5356" spans="1:5" x14ac:dyDescent="0.3">
      <c r="A5356" t="s">
        <v>1040</v>
      </c>
      <c r="B5356" t="s">
        <v>2654</v>
      </c>
      <c r="C5356" t="s">
        <v>3109</v>
      </c>
      <c r="D5356" t="s">
        <v>11450</v>
      </c>
      <c r="E5356" t="s">
        <v>774</v>
      </c>
    </row>
    <row r="5357" spans="1:5" x14ac:dyDescent="0.3">
      <c r="A5357" t="s">
        <v>60</v>
      </c>
      <c r="B5357" t="s">
        <v>11452</v>
      </c>
      <c r="C5357" t="s">
        <v>718</v>
      </c>
      <c r="D5357" t="s">
        <v>11451</v>
      </c>
      <c r="E5357" t="s">
        <v>841</v>
      </c>
    </row>
    <row r="5358" spans="1:5" x14ac:dyDescent="0.3">
      <c r="A5358" t="s">
        <v>11453</v>
      </c>
      <c r="B5358" t="s">
        <v>3457</v>
      </c>
      <c r="C5358" t="s">
        <v>11454</v>
      </c>
      <c r="D5358" t="s">
        <v>2478</v>
      </c>
      <c r="E5358" t="s">
        <v>841</v>
      </c>
    </row>
    <row r="5359" spans="1:5" x14ac:dyDescent="0.3">
      <c r="A5359" t="s">
        <v>14</v>
      </c>
      <c r="B5359" t="s">
        <v>11456</v>
      </c>
      <c r="C5359" t="s">
        <v>628</v>
      </c>
      <c r="D5359" t="s">
        <v>11455</v>
      </c>
      <c r="E5359" t="s">
        <v>774</v>
      </c>
    </row>
    <row r="5360" spans="1:5" x14ac:dyDescent="0.3">
      <c r="A5360" t="s">
        <v>259</v>
      </c>
      <c r="B5360" t="s">
        <v>2090</v>
      </c>
      <c r="C5360" t="s">
        <v>11457</v>
      </c>
      <c r="D5360" t="s">
        <v>951</v>
      </c>
      <c r="E5360" t="s">
        <v>1</v>
      </c>
    </row>
    <row r="5361" spans="1:5" x14ac:dyDescent="0.3">
      <c r="A5361" t="s">
        <v>50</v>
      </c>
      <c r="B5361" t="s">
        <v>11459</v>
      </c>
      <c r="C5361" t="s">
        <v>451</v>
      </c>
      <c r="D5361" t="s">
        <v>11458</v>
      </c>
      <c r="E5361" t="s">
        <v>774</v>
      </c>
    </row>
    <row r="5362" spans="1:5" x14ac:dyDescent="0.3">
      <c r="A5362" t="s">
        <v>209</v>
      </c>
      <c r="B5362" t="s">
        <v>4132</v>
      </c>
      <c r="C5362" t="s">
        <v>698</v>
      </c>
      <c r="D5362" t="s">
        <v>11460</v>
      </c>
      <c r="E5362" t="s">
        <v>774</v>
      </c>
    </row>
    <row r="5363" spans="1:5" x14ac:dyDescent="0.3">
      <c r="A5363" t="s">
        <v>11461</v>
      </c>
      <c r="B5363" t="s">
        <v>11462</v>
      </c>
      <c r="C5363" t="s">
        <v>698</v>
      </c>
      <c r="D5363" t="s">
        <v>1452</v>
      </c>
      <c r="E5363" t="s">
        <v>841</v>
      </c>
    </row>
    <row r="5364" spans="1:5" x14ac:dyDescent="0.3">
      <c r="A5364" t="s">
        <v>755</v>
      </c>
      <c r="B5364" t="s">
        <v>11464</v>
      </c>
      <c r="C5364" t="s">
        <v>3555</v>
      </c>
      <c r="D5364" t="s">
        <v>11463</v>
      </c>
      <c r="E5364" t="s">
        <v>774</v>
      </c>
    </row>
    <row r="5365" spans="1:5" x14ac:dyDescent="0.3">
      <c r="A5365" t="s">
        <v>146</v>
      </c>
      <c r="B5365" t="s">
        <v>11465</v>
      </c>
      <c r="C5365" t="s">
        <v>456</v>
      </c>
      <c r="D5365" t="s">
        <v>5995</v>
      </c>
      <c r="E5365" t="s">
        <v>2175</v>
      </c>
    </row>
    <row r="5366" spans="1:5" x14ac:dyDescent="0.3">
      <c r="A5366" t="s">
        <v>220</v>
      </c>
      <c r="B5366" t="s">
        <v>3429</v>
      </c>
      <c r="C5366" t="s">
        <v>11467</v>
      </c>
      <c r="D5366" t="s">
        <v>11466</v>
      </c>
      <c r="E5366" t="s">
        <v>758</v>
      </c>
    </row>
    <row r="5367" spans="1:5" x14ac:dyDescent="0.3">
      <c r="A5367" t="s">
        <v>1696</v>
      </c>
      <c r="B5367" t="s">
        <v>9579</v>
      </c>
      <c r="C5367" t="s">
        <v>698</v>
      </c>
      <c r="D5367" t="s">
        <v>11468</v>
      </c>
      <c r="E5367" t="s">
        <v>774</v>
      </c>
    </row>
    <row r="5368" spans="1:5" x14ac:dyDescent="0.3">
      <c r="A5368" t="s">
        <v>11469</v>
      </c>
      <c r="B5368" t="s">
        <v>11470</v>
      </c>
      <c r="C5368" t="s">
        <v>6432</v>
      </c>
    </row>
    <row r="5369" spans="1:5" x14ac:dyDescent="0.3">
      <c r="A5369" t="s">
        <v>195</v>
      </c>
      <c r="B5369" t="s">
        <v>11472</v>
      </c>
      <c r="C5369" t="s">
        <v>4611</v>
      </c>
      <c r="D5369" t="s">
        <v>11471</v>
      </c>
      <c r="E5369" t="s">
        <v>774</v>
      </c>
    </row>
    <row r="5370" spans="1:5" x14ac:dyDescent="0.3">
      <c r="A5370" t="s">
        <v>1690</v>
      </c>
      <c r="B5370" t="s">
        <v>11474</v>
      </c>
      <c r="C5370" t="s">
        <v>461</v>
      </c>
      <c r="D5370" t="s">
        <v>11473</v>
      </c>
      <c r="E5370" t="s">
        <v>774</v>
      </c>
    </row>
    <row r="5371" spans="1:5" x14ac:dyDescent="0.3">
      <c r="A5371" t="s">
        <v>195</v>
      </c>
      <c r="B5371" t="s">
        <v>2715</v>
      </c>
      <c r="C5371" t="s">
        <v>2931</v>
      </c>
      <c r="D5371" t="s">
        <v>11475</v>
      </c>
      <c r="E5371" t="s">
        <v>774</v>
      </c>
    </row>
    <row r="5372" spans="1:5" x14ac:dyDescent="0.3">
      <c r="A5372" t="s">
        <v>195</v>
      </c>
      <c r="B5372" t="s">
        <v>1472</v>
      </c>
      <c r="C5372" t="s">
        <v>11476</v>
      </c>
      <c r="D5372" t="s">
        <v>10871</v>
      </c>
      <c r="E5372" t="s">
        <v>75</v>
      </c>
    </row>
    <row r="5373" spans="1:5" x14ac:dyDescent="0.3">
      <c r="A5373" t="s">
        <v>74</v>
      </c>
      <c r="B5373" t="s">
        <v>11478</v>
      </c>
      <c r="C5373" t="s">
        <v>1926</v>
      </c>
      <c r="D5373" t="s">
        <v>11477</v>
      </c>
      <c r="E5373" t="s">
        <v>774</v>
      </c>
    </row>
    <row r="5374" spans="1:5" x14ac:dyDescent="0.3">
      <c r="A5374" t="s">
        <v>35</v>
      </c>
      <c r="B5374" t="s">
        <v>11480</v>
      </c>
      <c r="C5374" t="s">
        <v>6765</v>
      </c>
      <c r="D5374" t="s">
        <v>11479</v>
      </c>
      <c r="E5374" t="s">
        <v>774</v>
      </c>
    </row>
    <row r="5375" spans="1:5" x14ac:dyDescent="0.3">
      <c r="A5375" t="s">
        <v>22</v>
      </c>
      <c r="B5375" t="s">
        <v>23</v>
      </c>
      <c r="C5375" t="s">
        <v>24</v>
      </c>
      <c r="D5375" t="s">
        <v>919</v>
      </c>
      <c r="E5375" t="s">
        <v>1</v>
      </c>
    </row>
    <row r="5376" spans="1:5" x14ac:dyDescent="0.3">
      <c r="A5376" t="s">
        <v>894</v>
      </c>
      <c r="B5376" t="s">
        <v>202</v>
      </c>
      <c r="C5376" t="s">
        <v>745</v>
      </c>
      <c r="D5376" t="s">
        <v>11481</v>
      </c>
      <c r="E5376" t="s">
        <v>774</v>
      </c>
    </row>
    <row r="5377" spans="1:5" x14ac:dyDescent="0.3">
      <c r="A5377" t="s">
        <v>195</v>
      </c>
      <c r="B5377" t="s">
        <v>385</v>
      </c>
      <c r="C5377" t="s">
        <v>455</v>
      </c>
      <c r="D5377" t="s">
        <v>11482</v>
      </c>
      <c r="E5377" t="s">
        <v>741</v>
      </c>
    </row>
    <row r="5378" spans="1:5" x14ac:dyDescent="0.3">
      <c r="A5378" t="s">
        <v>245</v>
      </c>
      <c r="B5378" t="s">
        <v>11484</v>
      </c>
      <c r="C5378" t="s">
        <v>518</v>
      </c>
      <c r="D5378" t="s">
        <v>11483</v>
      </c>
      <c r="E5378" t="s">
        <v>841</v>
      </c>
    </row>
    <row r="5379" spans="1:5" x14ac:dyDescent="0.3">
      <c r="A5379" t="s">
        <v>123</v>
      </c>
      <c r="B5379" t="s">
        <v>11485</v>
      </c>
      <c r="C5379" t="s">
        <v>518</v>
      </c>
      <c r="D5379" t="s">
        <v>11483</v>
      </c>
      <c r="E5379" t="s">
        <v>841</v>
      </c>
    </row>
    <row r="5380" spans="1:5" x14ac:dyDescent="0.3">
      <c r="A5380" t="s">
        <v>41</v>
      </c>
      <c r="B5380" t="s">
        <v>11029</v>
      </c>
      <c r="C5380" t="s">
        <v>11487</v>
      </c>
      <c r="D5380" t="s">
        <v>11486</v>
      </c>
      <c r="E5380" t="s">
        <v>774</v>
      </c>
    </row>
    <row r="5381" spans="1:5" x14ac:dyDescent="0.3">
      <c r="A5381" t="s">
        <v>11489</v>
      </c>
      <c r="B5381" t="s">
        <v>6003</v>
      </c>
      <c r="C5381" t="s">
        <v>461</v>
      </c>
      <c r="D5381" t="s">
        <v>11488</v>
      </c>
      <c r="E5381" t="s">
        <v>774</v>
      </c>
    </row>
    <row r="5382" spans="1:5" x14ac:dyDescent="0.3">
      <c r="A5382" t="s">
        <v>11491</v>
      </c>
      <c r="B5382" t="s">
        <v>11492</v>
      </c>
      <c r="C5382" t="s">
        <v>457</v>
      </c>
      <c r="D5382" t="s">
        <v>11490</v>
      </c>
      <c r="E5382" t="s">
        <v>774</v>
      </c>
    </row>
    <row r="5383" spans="1:5" x14ac:dyDescent="0.3">
      <c r="A5383" t="s">
        <v>11494</v>
      </c>
      <c r="B5383" t="s">
        <v>171</v>
      </c>
      <c r="C5383" t="s">
        <v>698</v>
      </c>
      <c r="D5383" t="s">
        <v>11493</v>
      </c>
      <c r="E5383" t="s">
        <v>774</v>
      </c>
    </row>
    <row r="5384" spans="1:5" x14ac:dyDescent="0.3">
      <c r="A5384" t="s">
        <v>1285</v>
      </c>
      <c r="B5384" t="s">
        <v>2726</v>
      </c>
      <c r="C5384" t="s">
        <v>698</v>
      </c>
      <c r="D5384" t="s">
        <v>11495</v>
      </c>
      <c r="E5384" t="s">
        <v>774</v>
      </c>
    </row>
    <row r="5385" spans="1:5" x14ac:dyDescent="0.3">
      <c r="A5385" t="s">
        <v>11497</v>
      </c>
      <c r="B5385" t="s">
        <v>2534</v>
      </c>
      <c r="C5385" t="s">
        <v>456</v>
      </c>
      <c r="D5385" t="s">
        <v>11496</v>
      </c>
      <c r="E5385" t="s">
        <v>774</v>
      </c>
    </row>
    <row r="5386" spans="1:5" x14ac:dyDescent="0.3">
      <c r="A5386" t="s">
        <v>4470</v>
      </c>
      <c r="B5386" t="s">
        <v>1901</v>
      </c>
      <c r="C5386" t="s">
        <v>460</v>
      </c>
      <c r="D5386" t="s">
        <v>10680</v>
      </c>
      <c r="E5386" t="s">
        <v>75</v>
      </c>
    </row>
    <row r="5387" spans="1:5" x14ac:dyDescent="0.3">
      <c r="A5387" t="s">
        <v>224</v>
      </c>
      <c r="B5387" t="s">
        <v>1375</v>
      </c>
      <c r="C5387" t="s">
        <v>461</v>
      </c>
      <c r="D5387" t="s">
        <v>11498</v>
      </c>
      <c r="E5387" t="s">
        <v>774</v>
      </c>
    </row>
    <row r="5388" spans="1:5" x14ac:dyDescent="0.3">
      <c r="A5388" t="s">
        <v>1153</v>
      </c>
      <c r="B5388" t="s">
        <v>433</v>
      </c>
      <c r="C5388" t="s">
        <v>698</v>
      </c>
      <c r="D5388" t="s">
        <v>11499</v>
      </c>
      <c r="E5388" t="s">
        <v>774</v>
      </c>
    </row>
    <row r="5389" spans="1:5" x14ac:dyDescent="0.3">
      <c r="A5389" t="s">
        <v>2807</v>
      </c>
      <c r="B5389" t="s">
        <v>1158</v>
      </c>
      <c r="C5389" t="s">
        <v>11502</v>
      </c>
      <c r="D5389" t="s">
        <v>11501</v>
      </c>
      <c r="E5389" t="s">
        <v>774</v>
      </c>
    </row>
    <row r="5390" spans="1:5" x14ac:dyDescent="0.3">
      <c r="A5390" t="s">
        <v>1133</v>
      </c>
      <c r="B5390" t="s">
        <v>4608</v>
      </c>
      <c r="C5390" t="s">
        <v>11504</v>
      </c>
      <c r="D5390" t="s">
        <v>11503</v>
      </c>
      <c r="E5390" t="s">
        <v>774</v>
      </c>
    </row>
    <row r="5391" spans="1:5" x14ac:dyDescent="0.3">
      <c r="A5391" t="s">
        <v>2335</v>
      </c>
      <c r="B5391" t="s">
        <v>5668</v>
      </c>
      <c r="C5391" t="s">
        <v>11507</v>
      </c>
      <c r="D5391" t="s">
        <v>11506</v>
      </c>
      <c r="E5391" t="s">
        <v>774</v>
      </c>
    </row>
    <row r="5392" spans="1:5" x14ac:dyDescent="0.3">
      <c r="A5392" t="s">
        <v>1447</v>
      </c>
      <c r="B5392" t="s">
        <v>1256</v>
      </c>
      <c r="C5392" t="s">
        <v>455</v>
      </c>
      <c r="D5392" t="s">
        <v>11509</v>
      </c>
      <c r="E5392" t="s">
        <v>774</v>
      </c>
    </row>
    <row r="5393" spans="1:5" x14ac:dyDescent="0.3">
      <c r="A5393" t="s">
        <v>4753</v>
      </c>
      <c r="B5393" t="s">
        <v>11512</v>
      </c>
      <c r="C5393" t="s">
        <v>11511</v>
      </c>
      <c r="D5393" t="s">
        <v>11510</v>
      </c>
      <c r="E5393" t="s">
        <v>774</v>
      </c>
    </row>
    <row r="5394" spans="1:5" x14ac:dyDescent="0.3">
      <c r="A5394" t="s">
        <v>3355</v>
      </c>
      <c r="B5394" t="s">
        <v>11514</v>
      </c>
      <c r="C5394" t="s">
        <v>720</v>
      </c>
      <c r="D5394" t="s">
        <v>11513</v>
      </c>
      <c r="E5394" t="s">
        <v>774</v>
      </c>
    </row>
    <row r="5395" spans="1:5" x14ac:dyDescent="0.3">
      <c r="A5395" t="s">
        <v>3355</v>
      </c>
      <c r="B5395" t="s">
        <v>3558</v>
      </c>
      <c r="C5395" t="s">
        <v>11516</v>
      </c>
      <c r="D5395" t="s">
        <v>11515</v>
      </c>
      <c r="E5395" t="s">
        <v>774</v>
      </c>
    </row>
    <row r="5396" spans="1:5" x14ac:dyDescent="0.3">
      <c r="A5396" t="s">
        <v>195</v>
      </c>
      <c r="B5396" t="s">
        <v>2355</v>
      </c>
      <c r="C5396" t="s">
        <v>457</v>
      </c>
      <c r="D5396" t="s">
        <v>11517</v>
      </c>
      <c r="E5396" t="s">
        <v>774</v>
      </c>
    </row>
    <row r="5397" spans="1:5" x14ac:dyDescent="0.3">
      <c r="A5397" t="s">
        <v>38</v>
      </c>
      <c r="B5397" t="s">
        <v>11520</v>
      </c>
      <c r="C5397" t="s">
        <v>11519</v>
      </c>
      <c r="D5397" t="s">
        <v>11518</v>
      </c>
      <c r="E5397" t="s">
        <v>774</v>
      </c>
    </row>
    <row r="5398" spans="1:5" x14ac:dyDescent="0.3">
      <c r="A5398" t="s">
        <v>1558</v>
      </c>
      <c r="B5398" t="s">
        <v>3429</v>
      </c>
      <c r="C5398" t="s">
        <v>862</v>
      </c>
      <c r="D5398" t="s">
        <v>11521</v>
      </c>
      <c r="E5398" t="s">
        <v>774</v>
      </c>
    </row>
    <row r="5399" spans="1:5" x14ac:dyDescent="0.3">
      <c r="A5399" t="s">
        <v>11523</v>
      </c>
      <c r="B5399" t="s">
        <v>11524</v>
      </c>
      <c r="C5399" t="s">
        <v>456</v>
      </c>
      <c r="D5399" t="s">
        <v>11522</v>
      </c>
      <c r="E5399" t="s">
        <v>774</v>
      </c>
    </row>
    <row r="5400" spans="1:5" x14ac:dyDescent="0.3">
      <c r="A5400" t="s">
        <v>290</v>
      </c>
      <c r="B5400" t="s">
        <v>5928</v>
      </c>
      <c r="C5400" t="s">
        <v>720</v>
      </c>
      <c r="D5400" t="s">
        <v>11525</v>
      </c>
      <c r="E5400" t="s">
        <v>774</v>
      </c>
    </row>
    <row r="5401" spans="1:5" x14ac:dyDescent="0.3">
      <c r="A5401" t="s">
        <v>331</v>
      </c>
      <c r="B5401" t="s">
        <v>1709</v>
      </c>
      <c r="C5401" t="s">
        <v>698</v>
      </c>
    </row>
    <row r="5402" spans="1:5" x14ac:dyDescent="0.3">
      <c r="A5402" t="s">
        <v>764</v>
      </c>
      <c r="B5402" t="s">
        <v>1224</v>
      </c>
      <c r="C5402" t="s">
        <v>862</v>
      </c>
      <c r="D5402" t="s">
        <v>754</v>
      </c>
      <c r="E5402" t="s">
        <v>741</v>
      </c>
    </row>
    <row r="5403" spans="1:5" x14ac:dyDescent="0.3">
      <c r="A5403" t="s">
        <v>160</v>
      </c>
      <c r="B5403" t="s">
        <v>11526</v>
      </c>
      <c r="C5403" t="s">
        <v>862</v>
      </c>
      <c r="D5403" t="s">
        <v>754</v>
      </c>
      <c r="E5403" t="s">
        <v>741</v>
      </c>
    </row>
    <row r="5404" spans="1:5" x14ac:dyDescent="0.3">
      <c r="A5404" t="s">
        <v>4167</v>
      </c>
      <c r="B5404" t="s">
        <v>3474</v>
      </c>
      <c r="C5404" t="s">
        <v>518</v>
      </c>
      <c r="D5404" t="s">
        <v>754</v>
      </c>
      <c r="E5404" t="s">
        <v>741</v>
      </c>
    </row>
    <row r="5405" spans="1:5" x14ac:dyDescent="0.3">
      <c r="A5405" t="s">
        <v>3327</v>
      </c>
      <c r="B5405" t="s">
        <v>11528</v>
      </c>
      <c r="C5405" t="s">
        <v>4318</v>
      </c>
      <c r="D5405" t="s">
        <v>11527</v>
      </c>
      <c r="E5405" t="s">
        <v>774</v>
      </c>
    </row>
    <row r="5406" spans="1:5" x14ac:dyDescent="0.3">
      <c r="A5406" t="s">
        <v>1283</v>
      </c>
      <c r="B5406" t="s">
        <v>426</v>
      </c>
      <c r="C5406" t="s">
        <v>11529</v>
      </c>
      <c r="D5406" t="s">
        <v>5814</v>
      </c>
      <c r="E5406" t="s">
        <v>75</v>
      </c>
    </row>
    <row r="5407" spans="1:5" x14ac:dyDescent="0.3">
      <c r="A5407" t="s">
        <v>11530</v>
      </c>
      <c r="B5407" t="s">
        <v>11532</v>
      </c>
      <c r="C5407" t="s">
        <v>11531</v>
      </c>
      <c r="D5407" t="s">
        <v>2228</v>
      </c>
      <c r="E5407" t="s">
        <v>1</v>
      </c>
    </row>
    <row r="5408" spans="1:5" x14ac:dyDescent="0.3">
      <c r="A5408" t="s">
        <v>3928</v>
      </c>
      <c r="B5408" t="s">
        <v>1382</v>
      </c>
      <c r="C5408" t="s">
        <v>11533</v>
      </c>
      <c r="D5408" t="s">
        <v>2228</v>
      </c>
      <c r="E5408" t="s">
        <v>1</v>
      </c>
    </row>
    <row r="5409" spans="1:5" x14ac:dyDescent="0.3">
      <c r="A5409" t="s">
        <v>6193</v>
      </c>
      <c r="B5409" t="s">
        <v>11535</v>
      </c>
      <c r="C5409" t="s">
        <v>11534</v>
      </c>
      <c r="D5409" t="s">
        <v>2228</v>
      </c>
      <c r="E5409" t="s">
        <v>1</v>
      </c>
    </row>
    <row r="5410" spans="1:5" x14ac:dyDescent="0.3">
      <c r="A5410" t="s">
        <v>5261</v>
      </c>
      <c r="B5410" t="s">
        <v>11537</v>
      </c>
      <c r="C5410" t="s">
        <v>11536</v>
      </c>
      <c r="D5410" t="s">
        <v>5803</v>
      </c>
      <c r="E5410" t="s">
        <v>758</v>
      </c>
    </row>
    <row r="5411" spans="1:5" x14ac:dyDescent="0.3">
      <c r="A5411" t="s">
        <v>29</v>
      </c>
      <c r="B5411" t="s">
        <v>6156</v>
      </c>
      <c r="C5411" t="s">
        <v>457</v>
      </c>
      <c r="D5411" t="s">
        <v>6155</v>
      </c>
      <c r="E5411" t="s">
        <v>758</v>
      </c>
    </row>
    <row r="5412" spans="1:5" x14ac:dyDescent="0.3">
      <c r="A5412" t="s">
        <v>357</v>
      </c>
      <c r="B5412" t="s">
        <v>6895</v>
      </c>
      <c r="C5412" t="s">
        <v>720</v>
      </c>
      <c r="D5412" t="s">
        <v>11538</v>
      </c>
      <c r="E5412" t="s">
        <v>774</v>
      </c>
    </row>
    <row r="5413" spans="1:5" x14ac:dyDescent="0.3">
      <c r="A5413" t="s">
        <v>181</v>
      </c>
      <c r="B5413" t="s">
        <v>11540</v>
      </c>
      <c r="C5413" t="s">
        <v>451</v>
      </c>
      <c r="D5413" t="s">
        <v>11539</v>
      </c>
      <c r="E5413" t="s">
        <v>774</v>
      </c>
    </row>
    <row r="5414" spans="1:5" x14ac:dyDescent="0.3">
      <c r="A5414" t="s">
        <v>7682</v>
      </c>
      <c r="B5414" t="s">
        <v>2827</v>
      </c>
      <c r="C5414" t="s">
        <v>5906</v>
      </c>
      <c r="D5414" t="s">
        <v>11541</v>
      </c>
      <c r="E5414" t="s">
        <v>774</v>
      </c>
    </row>
    <row r="5415" spans="1:5" x14ac:dyDescent="0.3">
      <c r="A5415" t="s">
        <v>160</v>
      </c>
      <c r="B5415" t="s">
        <v>11544</v>
      </c>
      <c r="C5415" t="s">
        <v>11543</v>
      </c>
      <c r="D5415" t="s">
        <v>11542</v>
      </c>
      <c r="E5415" t="s">
        <v>774</v>
      </c>
    </row>
    <row r="5416" spans="1:5" x14ac:dyDescent="0.3">
      <c r="A5416" t="s">
        <v>35</v>
      </c>
      <c r="B5416" t="s">
        <v>5629</v>
      </c>
      <c r="C5416" t="s">
        <v>4645</v>
      </c>
      <c r="D5416" t="s">
        <v>11545</v>
      </c>
      <c r="E5416" t="s">
        <v>774</v>
      </c>
    </row>
    <row r="5417" spans="1:5" x14ac:dyDescent="0.3">
      <c r="A5417" t="s">
        <v>11546</v>
      </c>
      <c r="B5417" t="s">
        <v>3785</v>
      </c>
      <c r="C5417" t="s">
        <v>11547</v>
      </c>
      <c r="D5417" t="s">
        <v>1408</v>
      </c>
      <c r="E5417" t="s">
        <v>1</v>
      </c>
    </row>
    <row r="5418" spans="1:5" x14ac:dyDescent="0.3">
      <c r="A5418" t="s">
        <v>112</v>
      </c>
      <c r="B5418" t="s">
        <v>9617</v>
      </c>
      <c r="C5418" t="s">
        <v>4742</v>
      </c>
      <c r="D5418" t="s">
        <v>11548</v>
      </c>
      <c r="E5418" t="s">
        <v>774</v>
      </c>
    </row>
    <row r="5419" spans="1:5" x14ac:dyDescent="0.3">
      <c r="A5419" t="s">
        <v>1386</v>
      </c>
      <c r="B5419" t="s">
        <v>2838</v>
      </c>
      <c r="C5419" t="s">
        <v>7942</v>
      </c>
      <c r="D5419" t="s">
        <v>11549</v>
      </c>
      <c r="E5419" t="s">
        <v>774</v>
      </c>
    </row>
    <row r="5420" spans="1:5" x14ac:dyDescent="0.3">
      <c r="A5420" t="s">
        <v>1825</v>
      </c>
      <c r="B5420" t="s">
        <v>216</v>
      </c>
      <c r="C5420" t="s">
        <v>457</v>
      </c>
    </row>
    <row r="5421" spans="1:5" x14ac:dyDescent="0.3">
      <c r="A5421" t="s">
        <v>1548</v>
      </c>
      <c r="B5421" t="s">
        <v>2570</v>
      </c>
      <c r="C5421" t="s">
        <v>461</v>
      </c>
      <c r="D5421" t="s">
        <v>11551</v>
      </c>
      <c r="E5421" t="s">
        <v>774</v>
      </c>
    </row>
    <row r="5422" spans="1:5" x14ac:dyDescent="0.3">
      <c r="A5422" t="s">
        <v>2680</v>
      </c>
      <c r="B5422" t="s">
        <v>1837</v>
      </c>
      <c r="C5422" t="s">
        <v>458</v>
      </c>
      <c r="D5422" t="s">
        <v>11552</v>
      </c>
      <c r="E5422" t="s">
        <v>774</v>
      </c>
    </row>
    <row r="5423" spans="1:5" x14ac:dyDescent="0.3">
      <c r="A5423" t="s">
        <v>5346</v>
      </c>
      <c r="B5423" t="s">
        <v>2826</v>
      </c>
      <c r="C5423" t="s">
        <v>720</v>
      </c>
      <c r="D5423" t="s">
        <v>11553</v>
      </c>
      <c r="E5423" t="s">
        <v>774</v>
      </c>
    </row>
    <row r="5424" spans="1:5" x14ac:dyDescent="0.3">
      <c r="A5424" t="s">
        <v>331</v>
      </c>
      <c r="B5424" t="s">
        <v>1053</v>
      </c>
      <c r="C5424" t="s">
        <v>698</v>
      </c>
      <c r="D5424" t="s">
        <v>11554</v>
      </c>
      <c r="E5424" t="s">
        <v>774</v>
      </c>
    </row>
    <row r="5425" spans="1:5" x14ac:dyDescent="0.3">
      <c r="A5425" t="s">
        <v>82</v>
      </c>
      <c r="B5425" t="s">
        <v>3595</v>
      </c>
      <c r="C5425" t="s">
        <v>7942</v>
      </c>
      <c r="D5425" t="s">
        <v>11555</v>
      </c>
      <c r="E5425" t="s">
        <v>774</v>
      </c>
    </row>
    <row r="5426" spans="1:5" x14ac:dyDescent="0.3">
      <c r="A5426" t="s">
        <v>9951</v>
      </c>
      <c r="B5426" t="s">
        <v>11557</v>
      </c>
      <c r="C5426" t="s">
        <v>698</v>
      </c>
      <c r="D5426" t="s">
        <v>11556</v>
      </c>
      <c r="E5426" t="s">
        <v>774</v>
      </c>
    </row>
    <row r="5427" spans="1:5" x14ac:dyDescent="0.3">
      <c r="A5427" t="s">
        <v>3933</v>
      </c>
      <c r="B5427" t="s">
        <v>11558</v>
      </c>
      <c r="C5427" t="s">
        <v>698</v>
      </c>
    </row>
    <row r="5428" spans="1:5" x14ac:dyDescent="0.3">
      <c r="A5428" t="s">
        <v>767</v>
      </c>
      <c r="B5428" t="s">
        <v>1160</v>
      </c>
      <c r="C5428" t="s">
        <v>4247</v>
      </c>
      <c r="D5428" t="s">
        <v>11559</v>
      </c>
      <c r="E5428" t="s">
        <v>774</v>
      </c>
    </row>
    <row r="5429" spans="1:5" x14ac:dyDescent="0.3">
      <c r="A5429" t="s">
        <v>89</v>
      </c>
      <c r="B5429" t="s">
        <v>3364</v>
      </c>
      <c r="C5429" t="s">
        <v>467</v>
      </c>
      <c r="D5429" t="s">
        <v>5764</v>
      </c>
      <c r="E5429" t="s">
        <v>741</v>
      </c>
    </row>
    <row r="5430" spans="1:5" x14ac:dyDescent="0.3">
      <c r="A5430" t="s">
        <v>1475</v>
      </c>
      <c r="B5430" t="s">
        <v>11561</v>
      </c>
      <c r="C5430" t="s">
        <v>454</v>
      </c>
      <c r="D5430" t="s">
        <v>11560</v>
      </c>
      <c r="E5430" t="s">
        <v>774</v>
      </c>
    </row>
    <row r="5431" spans="1:5" x14ac:dyDescent="0.3">
      <c r="A5431" t="s">
        <v>7790</v>
      </c>
      <c r="B5431" t="s">
        <v>11564</v>
      </c>
      <c r="C5431" t="s">
        <v>11563</v>
      </c>
      <c r="D5431" t="s">
        <v>11562</v>
      </c>
      <c r="E5431" t="s">
        <v>774</v>
      </c>
    </row>
    <row r="5432" spans="1:5" x14ac:dyDescent="0.3">
      <c r="A5432" t="s">
        <v>4271</v>
      </c>
      <c r="B5432" t="s">
        <v>1008</v>
      </c>
      <c r="C5432" t="s">
        <v>11566</v>
      </c>
      <c r="D5432" t="s">
        <v>11565</v>
      </c>
      <c r="E5432" t="s">
        <v>75</v>
      </c>
    </row>
    <row r="5433" spans="1:5" x14ac:dyDescent="0.3">
      <c r="A5433" t="s">
        <v>2248</v>
      </c>
      <c r="B5433" t="s">
        <v>11568</v>
      </c>
      <c r="C5433" t="s">
        <v>457</v>
      </c>
      <c r="D5433" t="s">
        <v>11567</v>
      </c>
      <c r="E5433" t="s">
        <v>774</v>
      </c>
    </row>
    <row r="5434" spans="1:5" x14ac:dyDescent="0.3">
      <c r="A5434" t="s">
        <v>3927</v>
      </c>
      <c r="B5434" t="s">
        <v>11569</v>
      </c>
      <c r="C5434" t="s">
        <v>718</v>
      </c>
      <c r="D5434" t="s">
        <v>6389</v>
      </c>
      <c r="E5434" t="s">
        <v>774</v>
      </c>
    </row>
    <row r="5435" spans="1:5" x14ac:dyDescent="0.3">
      <c r="A5435" t="s">
        <v>205</v>
      </c>
      <c r="B5435" t="s">
        <v>11573</v>
      </c>
      <c r="C5435" t="s">
        <v>11572</v>
      </c>
      <c r="D5435" t="s">
        <v>11571</v>
      </c>
      <c r="E5435" t="s">
        <v>774</v>
      </c>
    </row>
    <row r="5436" spans="1:5" x14ac:dyDescent="0.3">
      <c r="A5436" t="s">
        <v>4854</v>
      </c>
      <c r="B5436" t="s">
        <v>11575</v>
      </c>
      <c r="C5436" t="s">
        <v>1755</v>
      </c>
      <c r="D5436" t="s">
        <v>11574</v>
      </c>
      <c r="E5436" t="s">
        <v>774</v>
      </c>
    </row>
    <row r="5437" spans="1:5" x14ac:dyDescent="0.3">
      <c r="A5437" t="s">
        <v>79</v>
      </c>
      <c r="B5437" t="s">
        <v>11577</v>
      </c>
      <c r="C5437" t="s">
        <v>5291</v>
      </c>
      <c r="D5437" t="s">
        <v>11576</v>
      </c>
      <c r="E5437" t="s">
        <v>774</v>
      </c>
    </row>
    <row r="5438" spans="1:5" x14ac:dyDescent="0.3">
      <c r="A5438" t="s">
        <v>77</v>
      </c>
      <c r="B5438" t="s">
        <v>2008</v>
      </c>
      <c r="C5438" t="s">
        <v>698</v>
      </c>
    </row>
    <row r="5439" spans="1:5" x14ac:dyDescent="0.3">
      <c r="A5439" t="s">
        <v>230</v>
      </c>
      <c r="B5439" t="s">
        <v>821</v>
      </c>
      <c r="C5439" t="s">
        <v>455</v>
      </c>
      <c r="D5439" t="s">
        <v>6755</v>
      </c>
      <c r="E5439" t="s">
        <v>761</v>
      </c>
    </row>
    <row r="5440" spans="1:5" x14ac:dyDescent="0.3">
      <c r="A5440" t="s">
        <v>1135</v>
      </c>
      <c r="B5440" t="s">
        <v>410</v>
      </c>
      <c r="C5440" t="s">
        <v>1136</v>
      </c>
      <c r="D5440" t="s">
        <v>910</v>
      </c>
      <c r="E5440" t="s">
        <v>1</v>
      </c>
    </row>
    <row r="5441" spans="1:5" x14ac:dyDescent="0.3">
      <c r="A5441" t="s">
        <v>63</v>
      </c>
      <c r="B5441" t="s">
        <v>11579</v>
      </c>
      <c r="C5441" t="s">
        <v>11578</v>
      </c>
      <c r="D5441" t="s">
        <v>910</v>
      </c>
      <c r="E5441" t="s">
        <v>1</v>
      </c>
    </row>
    <row r="5442" spans="1:5" x14ac:dyDescent="0.3">
      <c r="B5442" t="s">
        <v>11581</v>
      </c>
      <c r="C5442" t="s">
        <v>11580</v>
      </c>
      <c r="D5442" t="s">
        <v>910</v>
      </c>
      <c r="E5442" t="s">
        <v>1</v>
      </c>
    </row>
    <row r="5443" spans="1:5" x14ac:dyDescent="0.3">
      <c r="A5443" t="s">
        <v>820</v>
      </c>
      <c r="B5443" t="s">
        <v>3909</v>
      </c>
      <c r="C5443" t="s">
        <v>862</v>
      </c>
      <c r="D5443" t="s">
        <v>769</v>
      </c>
      <c r="E5443" t="s">
        <v>1</v>
      </c>
    </row>
    <row r="5444" spans="1:5" x14ac:dyDescent="0.3">
      <c r="A5444" t="s">
        <v>3406</v>
      </c>
      <c r="B5444" t="s">
        <v>2826</v>
      </c>
      <c r="C5444" t="s">
        <v>11582</v>
      </c>
      <c r="D5444" t="s">
        <v>1276</v>
      </c>
      <c r="E5444" t="s">
        <v>18</v>
      </c>
    </row>
    <row r="5445" spans="1:5" x14ac:dyDescent="0.3">
      <c r="A5445" t="s">
        <v>14</v>
      </c>
      <c r="B5445" t="s">
        <v>11584</v>
      </c>
      <c r="C5445" t="s">
        <v>11583</v>
      </c>
      <c r="D5445" t="s">
        <v>5722</v>
      </c>
      <c r="E5445" t="s">
        <v>1</v>
      </c>
    </row>
    <row r="5446" spans="1:5" x14ac:dyDescent="0.3">
      <c r="A5446" t="s">
        <v>184</v>
      </c>
      <c r="B5446" t="s">
        <v>11586</v>
      </c>
      <c r="C5446" t="s">
        <v>11476</v>
      </c>
      <c r="D5446" t="s">
        <v>11585</v>
      </c>
      <c r="E5446" t="s">
        <v>774</v>
      </c>
    </row>
    <row r="5447" spans="1:5" x14ac:dyDescent="0.3">
      <c r="A5447" t="s">
        <v>11588</v>
      </c>
      <c r="B5447" t="s">
        <v>11590</v>
      </c>
      <c r="C5447" t="s">
        <v>11589</v>
      </c>
      <c r="D5447" t="s">
        <v>11587</v>
      </c>
      <c r="E5447" t="s">
        <v>774</v>
      </c>
    </row>
    <row r="5448" spans="1:5" x14ac:dyDescent="0.3">
      <c r="A5448" t="s">
        <v>1882</v>
      </c>
      <c r="B5448" t="s">
        <v>11592</v>
      </c>
      <c r="C5448" t="s">
        <v>518</v>
      </c>
      <c r="D5448" t="s">
        <v>11591</v>
      </c>
      <c r="E5448" t="s">
        <v>774</v>
      </c>
    </row>
    <row r="5449" spans="1:5" x14ac:dyDescent="0.3">
      <c r="A5449" t="s">
        <v>1620</v>
      </c>
      <c r="B5449" t="s">
        <v>11594</v>
      </c>
      <c r="C5449" t="s">
        <v>455</v>
      </c>
      <c r="D5449" t="s">
        <v>11593</v>
      </c>
      <c r="E5449" t="s">
        <v>774</v>
      </c>
    </row>
    <row r="5450" spans="1:5" x14ac:dyDescent="0.3">
      <c r="A5450" t="s">
        <v>4615</v>
      </c>
      <c r="B5450" t="s">
        <v>11596</v>
      </c>
      <c r="C5450" t="s">
        <v>454</v>
      </c>
      <c r="D5450" t="s">
        <v>11595</v>
      </c>
      <c r="E5450" t="s">
        <v>774</v>
      </c>
    </row>
    <row r="5451" spans="1:5" x14ac:dyDescent="0.3">
      <c r="A5451" t="s">
        <v>131</v>
      </c>
      <c r="B5451" t="s">
        <v>6126</v>
      </c>
      <c r="C5451" t="s">
        <v>11597</v>
      </c>
      <c r="D5451" t="s">
        <v>5707</v>
      </c>
      <c r="E5451" t="s">
        <v>75</v>
      </c>
    </row>
    <row r="5452" spans="1:5" x14ac:dyDescent="0.3">
      <c r="A5452" t="s">
        <v>2961</v>
      </c>
      <c r="B5452" t="s">
        <v>11598</v>
      </c>
      <c r="C5452" t="s">
        <v>461</v>
      </c>
      <c r="D5452" t="s">
        <v>8268</v>
      </c>
      <c r="E5452" t="s">
        <v>75</v>
      </c>
    </row>
    <row r="5453" spans="1:5" x14ac:dyDescent="0.3">
      <c r="A5453" t="s">
        <v>131</v>
      </c>
      <c r="B5453" t="s">
        <v>11600</v>
      </c>
      <c r="C5453" t="s">
        <v>745</v>
      </c>
      <c r="D5453" t="s">
        <v>11599</v>
      </c>
      <c r="E5453" t="s">
        <v>774</v>
      </c>
    </row>
    <row r="5454" spans="1:5" x14ac:dyDescent="0.3">
      <c r="A5454" t="s">
        <v>190</v>
      </c>
      <c r="B5454" t="s">
        <v>384</v>
      </c>
      <c r="C5454" t="s">
        <v>11602</v>
      </c>
      <c r="D5454" t="s">
        <v>11601</v>
      </c>
      <c r="E5454" t="s">
        <v>774</v>
      </c>
    </row>
    <row r="5455" spans="1:5" x14ac:dyDescent="0.3">
      <c r="A5455" t="s">
        <v>177</v>
      </c>
      <c r="B5455" t="s">
        <v>11604</v>
      </c>
      <c r="C5455" t="s">
        <v>718</v>
      </c>
      <c r="D5455" t="s">
        <v>11603</v>
      </c>
      <c r="E5455" t="s">
        <v>774</v>
      </c>
    </row>
    <row r="5456" spans="1:5" x14ac:dyDescent="0.3">
      <c r="A5456" t="s">
        <v>11605</v>
      </c>
      <c r="B5456" t="s">
        <v>11606</v>
      </c>
      <c r="C5456" t="s">
        <v>457</v>
      </c>
      <c r="D5456" t="s">
        <v>10283</v>
      </c>
      <c r="E5456" t="s">
        <v>75</v>
      </c>
    </row>
    <row r="5457" spans="1:5" x14ac:dyDescent="0.3">
      <c r="A5457" t="s">
        <v>262</v>
      </c>
      <c r="B5457" t="s">
        <v>3986</v>
      </c>
      <c r="C5457" t="s">
        <v>698</v>
      </c>
      <c r="D5457" t="s">
        <v>7079</v>
      </c>
      <c r="E5457" t="s">
        <v>758</v>
      </c>
    </row>
    <row r="5458" spans="1:5" x14ac:dyDescent="0.3">
      <c r="A5458" t="s">
        <v>209</v>
      </c>
      <c r="B5458" t="s">
        <v>3107</v>
      </c>
      <c r="C5458" t="s">
        <v>6466</v>
      </c>
      <c r="D5458" t="s">
        <v>11607</v>
      </c>
      <c r="E5458" t="s">
        <v>774</v>
      </c>
    </row>
    <row r="5459" spans="1:5" x14ac:dyDescent="0.3">
      <c r="A5459" t="s">
        <v>298</v>
      </c>
      <c r="B5459" t="s">
        <v>4030</v>
      </c>
      <c r="C5459" t="s">
        <v>11609</v>
      </c>
      <c r="D5459" t="s">
        <v>11608</v>
      </c>
      <c r="E5459" t="s">
        <v>774</v>
      </c>
    </row>
    <row r="5460" spans="1:5" x14ac:dyDescent="0.3">
      <c r="A5460" t="s">
        <v>326</v>
      </c>
      <c r="B5460" t="s">
        <v>11611</v>
      </c>
      <c r="C5460" t="s">
        <v>461</v>
      </c>
      <c r="D5460" t="s">
        <v>11610</v>
      </c>
      <c r="E5460" t="s">
        <v>774</v>
      </c>
    </row>
    <row r="5461" spans="1:5" x14ac:dyDescent="0.3">
      <c r="A5461" t="s">
        <v>11612</v>
      </c>
      <c r="B5461" t="s">
        <v>3086</v>
      </c>
      <c r="C5461" t="s">
        <v>1038</v>
      </c>
      <c r="D5461" t="s">
        <v>960</v>
      </c>
      <c r="E5461" t="s">
        <v>774</v>
      </c>
    </row>
    <row r="5462" spans="1:5" x14ac:dyDescent="0.3">
      <c r="A5462" t="s">
        <v>1133</v>
      </c>
      <c r="B5462" t="s">
        <v>1541</v>
      </c>
      <c r="C5462" t="s">
        <v>461</v>
      </c>
      <c r="D5462" t="s">
        <v>11613</v>
      </c>
      <c r="E5462" t="s">
        <v>774</v>
      </c>
    </row>
    <row r="5463" spans="1:5" x14ac:dyDescent="0.3">
      <c r="A5463" t="s">
        <v>27</v>
      </c>
      <c r="B5463" t="s">
        <v>8475</v>
      </c>
      <c r="C5463" t="s">
        <v>11615</v>
      </c>
      <c r="D5463" t="s">
        <v>11614</v>
      </c>
      <c r="E5463" t="s">
        <v>774</v>
      </c>
    </row>
    <row r="5464" spans="1:5" x14ac:dyDescent="0.3">
      <c r="A5464" t="s">
        <v>230</v>
      </c>
      <c r="B5464" t="s">
        <v>1797</v>
      </c>
      <c r="C5464" t="s">
        <v>862</v>
      </c>
      <c r="D5464" t="s">
        <v>5075</v>
      </c>
      <c r="E5464" t="s">
        <v>781</v>
      </c>
    </row>
    <row r="5465" spans="1:5" x14ac:dyDescent="0.3">
      <c r="A5465" t="s">
        <v>44</v>
      </c>
      <c r="B5465" t="s">
        <v>5378</v>
      </c>
      <c r="C5465" t="s">
        <v>4385</v>
      </c>
      <c r="D5465" t="s">
        <v>11616</v>
      </c>
      <c r="E5465" t="s">
        <v>774</v>
      </c>
    </row>
    <row r="5466" spans="1:5" x14ac:dyDescent="0.3">
      <c r="A5466" t="s">
        <v>300</v>
      </c>
      <c r="B5466" t="s">
        <v>3909</v>
      </c>
      <c r="C5466" t="s">
        <v>11617</v>
      </c>
    </row>
    <row r="5467" spans="1:5" x14ac:dyDescent="0.3">
      <c r="A5467" t="s">
        <v>391</v>
      </c>
      <c r="B5467" t="s">
        <v>3763</v>
      </c>
      <c r="C5467" t="s">
        <v>11618</v>
      </c>
    </row>
    <row r="5468" spans="1:5" x14ac:dyDescent="0.3">
      <c r="A5468" t="s">
        <v>2632</v>
      </c>
      <c r="B5468" t="s">
        <v>5587</v>
      </c>
      <c r="C5468" t="s">
        <v>11619</v>
      </c>
    </row>
    <row r="5469" spans="1:5" x14ac:dyDescent="0.3">
      <c r="A5469" t="s">
        <v>153</v>
      </c>
      <c r="B5469" t="s">
        <v>3469</v>
      </c>
      <c r="C5469" t="s">
        <v>11620</v>
      </c>
    </row>
    <row r="5470" spans="1:5" x14ac:dyDescent="0.3">
      <c r="A5470" t="s">
        <v>4270</v>
      </c>
      <c r="B5470" t="s">
        <v>102</v>
      </c>
      <c r="C5470" t="s">
        <v>8066</v>
      </c>
      <c r="D5470" t="s">
        <v>11621</v>
      </c>
      <c r="E5470" t="s">
        <v>774</v>
      </c>
    </row>
    <row r="5471" spans="1:5" x14ac:dyDescent="0.3">
      <c r="A5471" t="s">
        <v>808</v>
      </c>
      <c r="B5471" t="s">
        <v>4378</v>
      </c>
      <c r="C5471" t="s">
        <v>11623</v>
      </c>
      <c r="D5471" t="s">
        <v>11622</v>
      </c>
      <c r="E5471" t="s">
        <v>774</v>
      </c>
    </row>
    <row r="5472" spans="1:5" x14ac:dyDescent="0.3">
      <c r="A5472" t="s">
        <v>4066</v>
      </c>
      <c r="B5472" t="s">
        <v>11626</v>
      </c>
      <c r="C5472" t="s">
        <v>11625</v>
      </c>
      <c r="D5472" t="s">
        <v>11624</v>
      </c>
      <c r="E5472" t="s">
        <v>774</v>
      </c>
    </row>
    <row r="5473" spans="1:5" x14ac:dyDescent="0.3">
      <c r="A5473" t="s">
        <v>860</v>
      </c>
      <c r="B5473" t="s">
        <v>3290</v>
      </c>
      <c r="C5473" t="s">
        <v>862</v>
      </c>
      <c r="D5473" t="s">
        <v>5572</v>
      </c>
      <c r="E5473" t="s">
        <v>75</v>
      </c>
    </row>
    <row r="5474" spans="1:5" x14ac:dyDescent="0.3">
      <c r="A5474" t="s">
        <v>5794</v>
      </c>
      <c r="B5474" t="s">
        <v>11629</v>
      </c>
      <c r="C5474" t="s">
        <v>11628</v>
      </c>
      <c r="D5474" t="s">
        <v>11627</v>
      </c>
      <c r="E5474" t="s">
        <v>75</v>
      </c>
    </row>
    <row r="5475" spans="1:5" x14ac:dyDescent="0.3">
      <c r="A5475" t="s">
        <v>4920</v>
      </c>
      <c r="B5475" t="s">
        <v>1461</v>
      </c>
      <c r="C5475" t="s">
        <v>456</v>
      </c>
      <c r="D5475" t="s">
        <v>11630</v>
      </c>
      <c r="E5475" t="s">
        <v>761</v>
      </c>
    </row>
    <row r="5476" spans="1:5" x14ac:dyDescent="0.3">
      <c r="A5476" t="s">
        <v>11632</v>
      </c>
      <c r="B5476" t="s">
        <v>11633</v>
      </c>
      <c r="C5476" t="s">
        <v>3555</v>
      </c>
      <c r="D5476" t="s">
        <v>11631</v>
      </c>
      <c r="E5476" t="s">
        <v>774</v>
      </c>
    </row>
    <row r="5477" spans="1:5" x14ac:dyDescent="0.3">
      <c r="A5477" t="s">
        <v>11635</v>
      </c>
      <c r="B5477" t="s">
        <v>1191</v>
      </c>
      <c r="C5477" t="s">
        <v>11636</v>
      </c>
      <c r="D5477" t="s">
        <v>11634</v>
      </c>
      <c r="E5477" t="s">
        <v>774</v>
      </c>
    </row>
    <row r="5478" spans="1:5" x14ac:dyDescent="0.3">
      <c r="A5478" t="s">
        <v>918</v>
      </c>
      <c r="B5478" t="s">
        <v>2771</v>
      </c>
      <c r="C5478" t="s">
        <v>456</v>
      </c>
      <c r="D5478" t="s">
        <v>11637</v>
      </c>
      <c r="E5478" t="s">
        <v>774</v>
      </c>
    </row>
    <row r="5479" spans="1:5" x14ac:dyDescent="0.3">
      <c r="A5479" t="s">
        <v>3899</v>
      </c>
      <c r="B5479" t="s">
        <v>11639</v>
      </c>
      <c r="C5479" t="s">
        <v>745</v>
      </c>
      <c r="D5479" t="s">
        <v>11638</v>
      </c>
      <c r="E5479" t="s">
        <v>774</v>
      </c>
    </row>
    <row r="5480" spans="1:5" x14ac:dyDescent="0.3">
      <c r="A5480" t="s">
        <v>3790</v>
      </c>
      <c r="B5480" t="s">
        <v>2691</v>
      </c>
      <c r="C5480" t="s">
        <v>461</v>
      </c>
      <c r="D5480" t="s">
        <v>11640</v>
      </c>
      <c r="E5480" t="s">
        <v>774</v>
      </c>
    </row>
    <row r="5481" spans="1:5" x14ac:dyDescent="0.3">
      <c r="A5481" t="s">
        <v>131</v>
      </c>
      <c r="B5481" t="s">
        <v>3790</v>
      </c>
      <c r="C5481" t="s">
        <v>4742</v>
      </c>
      <c r="D5481" t="s">
        <v>11641</v>
      </c>
      <c r="E5481" t="s">
        <v>774</v>
      </c>
    </row>
    <row r="5482" spans="1:5" x14ac:dyDescent="0.3">
      <c r="A5482" t="s">
        <v>11642</v>
      </c>
      <c r="B5482" t="s">
        <v>11644</v>
      </c>
      <c r="C5482" t="s">
        <v>11643</v>
      </c>
      <c r="D5482" t="s">
        <v>2171</v>
      </c>
      <c r="E5482" t="s">
        <v>741</v>
      </c>
    </row>
    <row r="5483" spans="1:5" x14ac:dyDescent="0.3">
      <c r="A5483" t="s">
        <v>11646</v>
      </c>
      <c r="B5483" t="s">
        <v>11648</v>
      </c>
      <c r="C5483" t="s">
        <v>11647</v>
      </c>
      <c r="D5483" t="s">
        <v>11645</v>
      </c>
      <c r="E5483" t="s">
        <v>75</v>
      </c>
    </row>
    <row r="5484" spans="1:5" x14ac:dyDescent="0.3">
      <c r="A5484" t="s">
        <v>41</v>
      </c>
      <c r="B5484" t="s">
        <v>11650</v>
      </c>
      <c r="C5484" t="s">
        <v>698</v>
      </c>
      <c r="D5484" t="s">
        <v>11649</v>
      </c>
      <c r="E5484" t="s">
        <v>774</v>
      </c>
    </row>
    <row r="5485" spans="1:5" x14ac:dyDescent="0.3">
      <c r="A5485" t="s">
        <v>352</v>
      </c>
      <c r="B5485" t="s">
        <v>4180</v>
      </c>
      <c r="C5485" t="s">
        <v>11651</v>
      </c>
      <c r="D5485" t="s">
        <v>895</v>
      </c>
      <c r="E5485" t="s">
        <v>897</v>
      </c>
    </row>
    <row r="5486" spans="1:5" x14ac:dyDescent="0.3">
      <c r="A5486" t="s">
        <v>767</v>
      </c>
      <c r="B5486" t="s">
        <v>11653</v>
      </c>
      <c r="C5486" t="s">
        <v>6466</v>
      </c>
      <c r="D5486" t="s">
        <v>11652</v>
      </c>
      <c r="E5486" t="s">
        <v>774</v>
      </c>
    </row>
    <row r="5487" spans="1:5" x14ac:dyDescent="0.3">
      <c r="A5487" t="s">
        <v>1239</v>
      </c>
      <c r="B5487" t="s">
        <v>6663</v>
      </c>
      <c r="C5487" t="s">
        <v>456</v>
      </c>
      <c r="D5487" t="s">
        <v>11654</v>
      </c>
      <c r="E5487" t="s">
        <v>774</v>
      </c>
    </row>
    <row r="5488" spans="1:5" x14ac:dyDescent="0.3">
      <c r="A5488" t="s">
        <v>2187</v>
      </c>
      <c r="B5488" t="s">
        <v>11656</v>
      </c>
      <c r="C5488" t="s">
        <v>11655</v>
      </c>
      <c r="D5488" t="s">
        <v>7123</v>
      </c>
      <c r="E5488" t="s">
        <v>774</v>
      </c>
    </row>
    <row r="5489" spans="1:5" x14ac:dyDescent="0.3">
      <c r="A5489" t="s">
        <v>11658</v>
      </c>
      <c r="B5489" t="s">
        <v>7122</v>
      </c>
      <c r="C5489" t="s">
        <v>461</v>
      </c>
      <c r="D5489" t="s">
        <v>11657</v>
      </c>
      <c r="E5489" t="s">
        <v>774</v>
      </c>
    </row>
    <row r="5490" spans="1:5" x14ac:dyDescent="0.3">
      <c r="A5490" t="s">
        <v>11660</v>
      </c>
      <c r="B5490" t="s">
        <v>1385</v>
      </c>
      <c r="C5490" t="s">
        <v>2622</v>
      </c>
      <c r="D5490" t="s">
        <v>11659</v>
      </c>
      <c r="E5490" t="s">
        <v>774</v>
      </c>
    </row>
    <row r="5491" spans="1:5" x14ac:dyDescent="0.3">
      <c r="A5491" t="s">
        <v>157</v>
      </c>
      <c r="B5491" t="s">
        <v>4294</v>
      </c>
      <c r="C5491" t="s">
        <v>457</v>
      </c>
      <c r="D5491" t="s">
        <v>11661</v>
      </c>
      <c r="E5491" t="s">
        <v>774</v>
      </c>
    </row>
    <row r="5492" spans="1:5" x14ac:dyDescent="0.3">
      <c r="A5492" t="s">
        <v>1077</v>
      </c>
      <c r="B5492" t="s">
        <v>11663</v>
      </c>
      <c r="C5492" t="s">
        <v>456</v>
      </c>
      <c r="D5492" t="s">
        <v>11662</v>
      </c>
      <c r="E5492" t="s">
        <v>774</v>
      </c>
    </row>
    <row r="5493" spans="1:5" x14ac:dyDescent="0.3">
      <c r="A5493" t="s">
        <v>11665</v>
      </c>
      <c r="B5493" t="s">
        <v>433</v>
      </c>
      <c r="C5493" t="s">
        <v>11666</v>
      </c>
      <c r="D5493" t="s">
        <v>5466</v>
      </c>
      <c r="E5493" t="s">
        <v>761</v>
      </c>
    </row>
    <row r="5494" spans="1:5" x14ac:dyDescent="0.3">
      <c r="A5494" t="s">
        <v>11668</v>
      </c>
      <c r="B5494" t="s">
        <v>1437</v>
      </c>
      <c r="C5494" t="s">
        <v>7893</v>
      </c>
      <c r="D5494" t="s">
        <v>11667</v>
      </c>
      <c r="E5494" t="s">
        <v>774</v>
      </c>
    </row>
    <row r="5495" spans="1:5" x14ac:dyDescent="0.3">
      <c r="A5495" t="s">
        <v>5895</v>
      </c>
      <c r="B5495" t="s">
        <v>5897</v>
      </c>
      <c r="C5495" t="s">
        <v>720</v>
      </c>
      <c r="D5495" t="s">
        <v>1942</v>
      </c>
      <c r="E5495" t="s">
        <v>774</v>
      </c>
    </row>
    <row r="5496" spans="1:5" x14ac:dyDescent="0.3">
      <c r="A5496" t="s">
        <v>153</v>
      </c>
      <c r="B5496" t="s">
        <v>11670</v>
      </c>
      <c r="C5496" t="s">
        <v>3109</v>
      </c>
      <c r="D5496" t="s">
        <v>11669</v>
      </c>
      <c r="E5496" t="s">
        <v>774</v>
      </c>
    </row>
    <row r="5497" spans="1:5" x14ac:dyDescent="0.3">
      <c r="A5497" t="s">
        <v>11672</v>
      </c>
      <c r="B5497" t="s">
        <v>9729</v>
      </c>
      <c r="C5497" t="s">
        <v>11673</v>
      </c>
      <c r="D5497" t="s">
        <v>11671</v>
      </c>
      <c r="E5497" t="s">
        <v>774</v>
      </c>
    </row>
    <row r="5498" spans="1:5" x14ac:dyDescent="0.3">
      <c r="A5498" t="s">
        <v>5411</v>
      </c>
      <c r="B5498" t="s">
        <v>7394</v>
      </c>
      <c r="C5498" t="s">
        <v>11675</v>
      </c>
      <c r="D5498" t="s">
        <v>11674</v>
      </c>
      <c r="E5498" t="s">
        <v>774</v>
      </c>
    </row>
    <row r="5499" spans="1:5" x14ac:dyDescent="0.3">
      <c r="A5499" t="s">
        <v>130</v>
      </c>
      <c r="B5499" t="s">
        <v>2603</v>
      </c>
      <c r="C5499" t="s">
        <v>457</v>
      </c>
      <c r="D5499" t="s">
        <v>9216</v>
      </c>
      <c r="E5499" t="s">
        <v>75</v>
      </c>
    </row>
    <row r="5500" spans="1:5" x14ac:dyDescent="0.3">
      <c r="A5500" t="s">
        <v>288</v>
      </c>
      <c r="B5500" t="s">
        <v>11678</v>
      </c>
      <c r="C5500" t="s">
        <v>11677</v>
      </c>
      <c r="D5500" t="s">
        <v>11676</v>
      </c>
      <c r="E5500" t="s">
        <v>75</v>
      </c>
    </row>
    <row r="5501" spans="1:5" x14ac:dyDescent="0.3">
      <c r="A5501" t="s">
        <v>331</v>
      </c>
      <c r="B5501" t="s">
        <v>11680</v>
      </c>
      <c r="C5501" t="s">
        <v>3109</v>
      </c>
      <c r="D5501" t="s">
        <v>11679</v>
      </c>
      <c r="E5501" t="s">
        <v>774</v>
      </c>
    </row>
    <row r="5502" spans="1:5" x14ac:dyDescent="0.3">
      <c r="A5502" t="s">
        <v>782</v>
      </c>
      <c r="B5502" t="s">
        <v>2332</v>
      </c>
      <c r="C5502" t="s">
        <v>11682</v>
      </c>
      <c r="D5502" t="s">
        <v>11681</v>
      </c>
      <c r="E5502" t="s">
        <v>774</v>
      </c>
    </row>
    <row r="5503" spans="1:5" x14ac:dyDescent="0.3">
      <c r="A5503" t="s">
        <v>163</v>
      </c>
      <c r="B5503" t="s">
        <v>6139</v>
      </c>
      <c r="C5503" t="s">
        <v>11683</v>
      </c>
      <c r="D5503" t="s">
        <v>2895</v>
      </c>
      <c r="E5503" t="s">
        <v>841</v>
      </c>
    </row>
    <row r="5504" spans="1:5" x14ac:dyDescent="0.3">
      <c r="A5504" t="s">
        <v>2343</v>
      </c>
      <c r="B5504" t="s">
        <v>6506</v>
      </c>
      <c r="C5504" t="s">
        <v>862</v>
      </c>
      <c r="D5504" t="s">
        <v>2577</v>
      </c>
      <c r="E5504" t="s">
        <v>741</v>
      </c>
    </row>
    <row r="5505" spans="1:5" x14ac:dyDescent="0.3">
      <c r="A5505" t="s">
        <v>3184</v>
      </c>
      <c r="B5505" t="s">
        <v>444</v>
      </c>
      <c r="C5505" t="s">
        <v>461</v>
      </c>
      <c r="D5505" t="s">
        <v>11684</v>
      </c>
      <c r="E5505" t="s">
        <v>774</v>
      </c>
    </row>
    <row r="5506" spans="1:5" x14ac:dyDescent="0.3">
      <c r="A5506" t="s">
        <v>11685</v>
      </c>
      <c r="B5506" t="s">
        <v>11686</v>
      </c>
      <c r="C5506" t="s">
        <v>1321</v>
      </c>
      <c r="D5506" t="s">
        <v>928</v>
      </c>
      <c r="E5506" t="s">
        <v>1</v>
      </c>
    </row>
    <row r="5507" spans="1:5" x14ac:dyDescent="0.3">
      <c r="A5507" t="s">
        <v>2113</v>
      </c>
      <c r="B5507" t="s">
        <v>11687</v>
      </c>
      <c r="C5507" t="s">
        <v>2356</v>
      </c>
      <c r="D5507" t="s">
        <v>1682</v>
      </c>
      <c r="E5507" t="s">
        <v>841</v>
      </c>
    </row>
    <row r="5508" spans="1:5" x14ac:dyDescent="0.3">
      <c r="A5508" t="s">
        <v>3380</v>
      </c>
      <c r="B5508" t="s">
        <v>1298</v>
      </c>
      <c r="C5508" t="s">
        <v>11688</v>
      </c>
      <c r="D5508" t="s">
        <v>1682</v>
      </c>
      <c r="E5508" t="s">
        <v>841</v>
      </c>
    </row>
    <row r="5509" spans="1:5" x14ac:dyDescent="0.3">
      <c r="A5509" t="s">
        <v>20</v>
      </c>
      <c r="B5509" t="s">
        <v>2510</v>
      </c>
      <c r="C5509" t="s">
        <v>720</v>
      </c>
      <c r="D5509" t="s">
        <v>11689</v>
      </c>
      <c r="E5509" t="s">
        <v>774</v>
      </c>
    </row>
    <row r="5510" spans="1:5" x14ac:dyDescent="0.3">
      <c r="A5510" t="s">
        <v>175</v>
      </c>
      <c r="B5510" t="s">
        <v>4420</v>
      </c>
      <c r="C5510" t="s">
        <v>456</v>
      </c>
      <c r="D5510" t="s">
        <v>11690</v>
      </c>
      <c r="E5510" t="s">
        <v>774</v>
      </c>
    </row>
    <row r="5511" spans="1:5" x14ac:dyDescent="0.3">
      <c r="A5511" t="s">
        <v>259</v>
      </c>
      <c r="B5511" t="s">
        <v>11692</v>
      </c>
      <c r="C5511" t="s">
        <v>720</v>
      </c>
      <c r="D5511" t="s">
        <v>11691</v>
      </c>
      <c r="E5511" t="s">
        <v>774</v>
      </c>
    </row>
    <row r="5512" spans="1:5" x14ac:dyDescent="0.3">
      <c r="A5512" t="s">
        <v>3254</v>
      </c>
      <c r="B5512" t="s">
        <v>11694</v>
      </c>
      <c r="C5512" t="s">
        <v>718</v>
      </c>
      <c r="D5512" t="s">
        <v>11693</v>
      </c>
      <c r="E5512" t="s">
        <v>774</v>
      </c>
    </row>
    <row r="5513" spans="1:5" x14ac:dyDescent="0.3">
      <c r="A5513" t="s">
        <v>11695</v>
      </c>
      <c r="B5513" t="s">
        <v>46</v>
      </c>
      <c r="C5513" t="s">
        <v>862</v>
      </c>
    </row>
    <row r="5514" spans="1:5" x14ac:dyDescent="0.3">
      <c r="A5514" t="s">
        <v>1921</v>
      </c>
      <c r="B5514" t="s">
        <v>2368</v>
      </c>
      <c r="C5514" t="s">
        <v>11697</v>
      </c>
      <c r="D5514" t="s">
        <v>1500</v>
      </c>
      <c r="E5514" t="s">
        <v>741</v>
      </c>
    </row>
    <row r="5515" spans="1:5" x14ac:dyDescent="0.3">
      <c r="A5515" t="s">
        <v>3809</v>
      </c>
      <c r="B5515" t="s">
        <v>1417</v>
      </c>
      <c r="C5515" t="s">
        <v>862</v>
      </c>
      <c r="D5515" t="s">
        <v>1500</v>
      </c>
      <c r="E5515" t="s">
        <v>741</v>
      </c>
    </row>
    <row r="5516" spans="1:5" x14ac:dyDescent="0.3">
      <c r="A5516" t="s">
        <v>11698</v>
      </c>
      <c r="B5516" t="s">
        <v>4044</v>
      </c>
      <c r="C5516" t="s">
        <v>11699</v>
      </c>
      <c r="D5516" t="s">
        <v>1500</v>
      </c>
      <c r="E5516" t="s">
        <v>741</v>
      </c>
    </row>
    <row r="5517" spans="1:5" x14ac:dyDescent="0.3">
      <c r="A5517" t="s">
        <v>65</v>
      </c>
      <c r="B5517" t="s">
        <v>3734</v>
      </c>
      <c r="C5517" t="s">
        <v>11701</v>
      </c>
      <c r="D5517" t="s">
        <v>11700</v>
      </c>
      <c r="E5517" t="s">
        <v>774</v>
      </c>
    </row>
    <row r="5518" spans="1:5" x14ac:dyDescent="0.3">
      <c r="A5518" t="s">
        <v>772</v>
      </c>
      <c r="B5518" t="s">
        <v>5446</v>
      </c>
      <c r="C5518" t="s">
        <v>457</v>
      </c>
      <c r="D5518" t="s">
        <v>11702</v>
      </c>
      <c r="E5518" t="s">
        <v>774</v>
      </c>
    </row>
    <row r="5519" spans="1:5" x14ac:dyDescent="0.3">
      <c r="A5519" t="s">
        <v>53</v>
      </c>
      <c r="B5519" t="s">
        <v>11705</v>
      </c>
      <c r="C5519" t="s">
        <v>11704</v>
      </c>
      <c r="D5519" t="s">
        <v>11703</v>
      </c>
      <c r="E5519" t="s">
        <v>774</v>
      </c>
    </row>
    <row r="5520" spans="1:5" x14ac:dyDescent="0.3">
      <c r="A5520" t="s">
        <v>184</v>
      </c>
      <c r="B5520" t="s">
        <v>11707</v>
      </c>
      <c r="C5520" t="s">
        <v>11706</v>
      </c>
      <c r="D5520" t="s">
        <v>1104</v>
      </c>
      <c r="E5520" t="s">
        <v>781</v>
      </c>
    </row>
    <row r="5521" spans="1:5" x14ac:dyDescent="0.3">
      <c r="A5521" t="s">
        <v>41</v>
      </c>
      <c r="B5521" t="s">
        <v>11708</v>
      </c>
      <c r="C5521" t="s">
        <v>459</v>
      </c>
      <c r="D5521" t="s">
        <v>3029</v>
      </c>
      <c r="E5521" t="s">
        <v>897</v>
      </c>
    </row>
    <row r="5522" spans="1:5" x14ac:dyDescent="0.3">
      <c r="A5522" t="s">
        <v>2374</v>
      </c>
      <c r="B5522" t="s">
        <v>3689</v>
      </c>
      <c r="C5522" t="s">
        <v>457</v>
      </c>
      <c r="D5522" t="s">
        <v>11709</v>
      </c>
      <c r="E5522" t="s">
        <v>774</v>
      </c>
    </row>
    <row r="5523" spans="1:5" x14ac:dyDescent="0.3">
      <c r="A5523" t="s">
        <v>41</v>
      </c>
      <c r="B5523" t="s">
        <v>11710</v>
      </c>
      <c r="C5523" t="s">
        <v>455</v>
      </c>
      <c r="D5523" t="s">
        <v>5300</v>
      </c>
      <c r="E5523" t="s">
        <v>774</v>
      </c>
    </row>
    <row r="5524" spans="1:5" x14ac:dyDescent="0.3">
      <c r="A5524" t="s">
        <v>3289</v>
      </c>
      <c r="B5524" t="s">
        <v>11713</v>
      </c>
      <c r="C5524" t="s">
        <v>11712</v>
      </c>
      <c r="D5524" t="s">
        <v>11711</v>
      </c>
      <c r="E5524" t="s">
        <v>774</v>
      </c>
    </row>
    <row r="5525" spans="1:5" x14ac:dyDescent="0.3">
      <c r="A5525" t="s">
        <v>11714</v>
      </c>
      <c r="B5525" t="s">
        <v>7037</v>
      </c>
      <c r="C5525" t="s">
        <v>11715</v>
      </c>
      <c r="D5525" t="s">
        <v>883</v>
      </c>
      <c r="E5525" t="s">
        <v>1</v>
      </c>
    </row>
    <row r="5526" spans="1:5" x14ac:dyDescent="0.3">
      <c r="A5526" t="s">
        <v>6820</v>
      </c>
      <c r="B5526" t="s">
        <v>11716</v>
      </c>
      <c r="C5526" t="s">
        <v>862</v>
      </c>
      <c r="D5526" t="s">
        <v>883</v>
      </c>
      <c r="E5526" t="s">
        <v>1</v>
      </c>
    </row>
    <row r="5527" spans="1:5" x14ac:dyDescent="0.3">
      <c r="A5527" t="s">
        <v>11717</v>
      </c>
      <c r="B5527" t="s">
        <v>11719</v>
      </c>
      <c r="C5527" t="s">
        <v>11718</v>
      </c>
      <c r="D5527" t="s">
        <v>883</v>
      </c>
      <c r="E5527" t="s">
        <v>1</v>
      </c>
    </row>
    <row r="5528" spans="1:5" x14ac:dyDescent="0.3">
      <c r="A5528" t="s">
        <v>153</v>
      </c>
      <c r="B5528" t="s">
        <v>221</v>
      </c>
      <c r="C5528" t="s">
        <v>11720</v>
      </c>
      <c r="D5528" t="s">
        <v>6629</v>
      </c>
      <c r="E5528" t="s">
        <v>774</v>
      </c>
    </row>
    <row r="5529" spans="1:5" x14ac:dyDescent="0.3">
      <c r="A5529" t="s">
        <v>224</v>
      </c>
      <c r="B5529" t="s">
        <v>11722</v>
      </c>
      <c r="C5529" t="s">
        <v>11721</v>
      </c>
      <c r="D5529" t="s">
        <v>6629</v>
      </c>
      <c r="E5529" t="s">
        <v>774</v>
      </c>
    </row>
    <row r="5530" spans="1:5" x14ac:dyDescent="0.3">
      <c r="A5530" t="s">
        <v>224</v>
      </c>
      <c r="B5530" t="s">
        <v>6311</v>
      </c>
      <c r="C5530" t="s">
        <v>698</v>
      </c>
      <c r="D5530" t="s">
        <v>6309</v>
      </c>
      <c r="E5530" t="s">
        <v>774</v>
      </c>
    </row>
    <row r="5531" spans="1:5" x14ac:dyDescent="0.3">
      <c r="A5531" t="s">
        <v>228</v>
      </c>
      <c r="B5531" t="s">
        <v>7693</v>
      </c>
      <c r="C5531" t="s">
        <v>698</v>
      </c>
      <c r="D5531" t="s">
        <v>11723</v>
      </c>
      <c r="E5531" t="s">
        <v>774</v>
      </c>
    </row>
    <row r="5532" spans="1:5" x14ac:dyDescent="0.3">
      <c r="A5532" t="s">
        <v>2686</v>
      </c>
      <c r="B5532" t="s">
        <v>11724</v>
      </c>
      <c r="C5532" t="s">
        <v>467</v>
      </c>
      <c r="D5532" t="s">
        <v>5198</v>
      </c>
      <c r="E5532" t="s">
        <v>2175</v>
      </c>
    </row>
    <row r="5533" spans="1:5" x14ac:dyDescent="0.3">
      <c r="A5533" t="s">
        <v>2016</v>
      </c>
      <c r="B5533" t="s">
        <v>11726</v>
      </c>
      <c r="C5533" t="s">
        <v>2571</v>
      </c>
      <c r="D5533" t="s">
        <v>11725</v>
      </c>
      <c r="E5533" t="s">
        <v>774</v>
      </c>
    </row>
    <row r="5534" spans="1:5" x14ac:dyDescent="0.3">
      <c r="A5534" t="s">
        <v>224</v>
      </c>
      <c r="B5534" t="s">
        <v>6693</v>
      </c>
      <c r="C5534" t="s">
        <v>455</v>
      </c>
      <c r="D5534" t="s">
        <v>8064</v>
      </c>
      <c r="E5534" t="s">
        <v>741</v>
      </c>
    </row>
    <row r="5535" spans="1:5" x14ac:dyDescent="0.3">
      <c r="A5535" t="s">
        <v>1579</v>
      </c>
      <c r="B5535" t="s">
        <v>11728</v>
      </c>
      <c r="C5535" t="s">
        <v>3483</v>
      </c>
      <c r="D5535" t="s">
        <v>11727</v>
      </c>
      <c r="E5535" t="s">
        <v>774</v>
      </c>
    </row>
    <row r="5536" spans="1:5" x14ac:dyDescent="0.3">
      <c r="A5536" t="s">
        <v>11730</v>
      </c>
      <c r="B5536" t="s">
        <v>11731</v>
      </c>
      <c r="C5536" t="s">
        <v>698</v>
      </c>
      <c r="D5536" t="s">
        <v>11729</v>
      </c>
      <c r="E5536" t="s">
        <v>774</v>
      </c>
    </row>
    <row r="5537" spans="1:5" x14ac:dyDescent="0.3">
      <c r="A5537" t="s">
        <v>3930</v>
      </c>
      <c r="B5537" t="s">
        <v>11733</v>
      </c>
      <c r="C5537" t="s">
        <v>11732</v>
      </c>
      <c r="D5537" t="s">
        <v>5173</v>
      </c>
      <c r="E5537" t="s">
        <v>774</v>
      </c>
    </row>
    <row r="5538" spans="1:5" x14ac:dyDescent="0.3">
      <c r="A5538" t="s">
        <v>1406</v>
      </c>
      <c r="B5538" t="s">
        <v>5128</v>
      </c>
      <c r="C5538" t="s">
        <v>11735</v>
      </c>
      <c r="D5538" t="s">
        <v>11734</v>
      </c>
      <c r="E5538" t="s">
        <v>774</v>
      </c>
    </row>
    <row r="5539" spans="1:5" x14ac:dyDescent="0.3">
      <c r="A5539" t="s">
        <v>752</v>
      </c>
      <c r="B5539" t="s">
        <v>2628</v>
      </c>
      <c r="C5539" t="s">
        <v>11736</v>
      </c>
      <c r="D5539" t="s">
        <v>1848</v>
      </c>
      <c r="E5539" t="s">
        <v>774</v>
      </c>
    </row>
    <row r="5540" spans="1:5" x14ac:dyDescent="0.3">
      <c r="A5540" t="s">
        <v>3208</v>
      </c>
      <c r="B5540" t="s">
        <v>11737</v>
      </c>
      <c r="C5540" t="s">
        <v>455</v>
      </c>
      <c r="D5540" t="s">
        <v>1848</v>
      </c>
      <c r="E5540" t="s">
        <v>774</v>
      </c>
    </row>
    <row r="5541" spans="1:5" x14ac:dyDescent="0.3">
      <c r="A5541" t="s">
        <v>131</v>
      </c>
      <c r="B5541" t="s">
        <v>3162</v>
      </c>
      <c r="C5541" t="s">
        <v>720</v>
      </c>
      <c r="D5541" t="s">
        <v>11738</v>
      </c>
      <c r="E5541" t="s">
        <v>774</v>
      </c>
    </row>
    <row r="5542" spans="1:5" x14ac:dyDescent="0.3">
      <c r="A5542" t="s">
        <v>8385</v>
      </c>
      <c r="B5542" t="s">
        <v>10419</v>
      </c>
      <c r="C5542" t="s">
        <v>11740</v>
      </c>
      <c r="D5542" t="s">
        <v>6292</v>
      </c>
      <c r="E5542" t="s">
        <v>75</v>
      </c>
    </row>
    <row r="5543" spans="1:5" x14ac:dyDescent="0.3">
      <c r="A5543" t="s">
        <v>11742</v>
      </c>
      <c r="B5543" t="s">
        <v>3984</v>
      </c>
      <c r="C5543" t="s">
        <v>461</v>
      </c>
      <c r="D5543" t="s">
        <v>11741</v>
      </c>
      <c r="E5543" t="s">
        <v>774</v>
      </c>
    </row>
    <row r="5544" spans="1:5" x14ac:dyDescent="0.3">
      <c r="A5544" t="s">
        <v>1905</v>
      </c>
      <c r="B5544" t="s">
        <v>11744</v>
      </c>
      <c r="C5544" t="s">
        <v>11743</v>
      </c>
      <c r="D5544" t="s">
        <v>902</v>
      </c>
      <c r="E5544" t="s">
        <v>1</v>
      </c>
    </row>
    <row r="5545" spans="1:5" x14ac:dyDescent="0.3">
      <c r="A5545" t="s">
        <v>11745</v>
      </c>
      <c r="B5545" t="s">
        <v>11746</v>
      </c>
      <c r="C5545" t="s">
        <v>862</v>
      </c>
      <c r="D5545" t="s">
        <v>902</v>
      </c>
      <c r="E5545" t="s">
        <v>1</v>
      </c>
    </row>
    <row r="5546" spans="1:5" x14ac:dyDescent="0.3">
      <c r="A5546" t="s">
        <v>1100</v>
      </c>
      <c r="B5546" t="s">
        <v>11747</v>
      </c>
      <c r="C5546" t="s">
        <v>862</v>
      </c>
      <c r="D5546" t="s">
        <v>902</v>
      </c>
      <c r="E5546" t="s">
        <v>1</v>
      </c>
    </row>
    <row r="5547" spans="1:5" x14ac:dyDescent="0.3">
      <c r="A5547" t="s">
        <v>190</v>
      </c>
      <c r="B5547" t="s">
        <v>1590</v>
      </c>
      <c r="C5547" t="s">
        <v>745</v>
      </c>
      <c r="D5547" t="s">
        <v>11748</v>
      </c>
      <c r="E5547" t="s">
        <v>774</v>
      </c>
    </row>
    <row r="5548" spans="1:5" x14ac:dyDescent="0.3">
      <c r="A5548" t="s">
        <v>934</v>
      </c>
      <c r="B5548" t="s">
        <v>11749</v>
      </c>
      <c r="C5548" t="s">
        <v>4382</v>
      </c>
      <c r="D5548" t="s">
        <v>845</v>
      </c>
      <c r="E5548" t="s">
        <v>841</v>
      </c>
    </row>
    <row r="5549" spans="1:5" x14ac:dyDescent="0.3">
      <c r="A5549" t="s">
        <v>79</v>
      </c>
      <c r="B5549" t="s">
        <v>1021</v>
      </c>
      <c r="C5549" t="s">
        <v>455</v>
      </c>
      <c r="D5549" t="s">
        <v>11750</v>
      </c>
      <c r="E5549" t="s">
        <v>774</v>
      </c>
    </row>
    <row r="5550" spans="1:5" x14ac:dyDescent="0.3">
      <c r="A5550" t="s">
        <v>132</v>
      </c>
      <c r="B5550" t="s">
        <v>11751</v>
      </c>
      <c r="C5550" t="s">
        <v>461</v>
      </c>
      <c r="D5550" t="s">
        <v>5115</v>
      </c>
      <c r="E5550" t="s">
        <v>774</v>
      </c>
    </row>
    <row r="5551" spans="1:5" x14ac:dyDescent="0.3">
      <c r="A5551" t="s">
        <v>10346</v>
      </c>
      <c r="B5551" t="s">
        <v>1407</v>
      </c>
      <c r="C5551" t="s">
        <v>11752</v>
      </c>
      <c r="D5551" t="s">
        <v>5114</v>
      </c>
      <c r="E5551" t="s">
        <v>18</v>
      </c>
    </row>
    <row r="5552" spans="1:5" x14ac:dyDescent="0.3">
      <c r="A5552" t="s">
        <v>50</v>
      </c>
      <c r="B5552" t="s">
        <v>11754</v>
      </c>
      <c r="C5552" t="s">
        <v>11753</v>
      </c>
      <c r="D5552" t="s">
        <v>1646</v>
      </c>
      <c r="E5552" t="s">
        <v>743</v>
      </c>
    </row>
    <row r="5553" spans="1:5" x14ac:dyDescent="0.3">
      <c r="A5553" t="s">
        <v>153</v>
      </c>
      <c r="B5553" t="s">
        <v>11756</v>
      </c>
      <c r="C5553" t="s">
        <v>456</v>
      </c>
      <c r="D5553" t="s">
        <v>11755</v>
      </c>
      <c r="E5553" t="s">
        <v>774</v>
      </c>
    </row>
    <row r="5554" spans="1:5" x14ac:dyDescent="0.3">
      <c r="A5554" t="s">
        <v>1661</v>
      </c>
      <c r="B5554" t="s">
        <v>1472</v>
      </c>
      <c r="C5554" t="s">
        <v>11758</v>
      </c>
      <c r="D5554" t="s">
        <v>11757</v>
      </c>
      <c r="E5554" t="s">
        <v>75</v>
      </c>
    </row>
    <row r="5555" spans="1:5" x14ac:dyDescent="0.3">
      <c r="A5555" t="s">
        <v>11760</v>
      </c>
      <c r="B5555" t="s">
        <v>11761</v>
      </c>
      <c r="C5555" t="s">
        <v>698</v>
      </c>
      <c r="D5555" t="s">
        <v>11759</v>
      </c>
      <c r="E5555" t="s">
        <v>774</v>
      </c>
    </row>
    <row r="5556" spans="1:5" x14ac:dyDescent="0.3">
      <c r="A5556" t="s">
        <v>4667</v>
      </c>
      <c r="B5556" t="s">
        <v>11763</v>
      </c>
      <c r="C5556" t="s">
        <v>11762</v>
      </c>
      <c r="D5556" t="s">
        <v>5084</v>
      </c>
      <c r="E5556" t="s">
        <v>758</v>
      </c>
    </row>
    <row r="5557" spans="1:5" x14ac:dyDescent="0.3">
      <c r="A5557" t="s">
        <v>133</v>
      </c>
      <c r="B5557" t="s">
        <v>4263</v>
      </c>
      <c r="C5557" t="s">
        <v>456</v>
      </c>
    </row>
    <row r="5558" spans="1:5" x14ac:dyDescent="0.3">
      <c r="A5558" t="s">
        <v>3537</v>
      </c>
      <c r="B5558" t="s">
        <v>11766</v>
      </c>
      <c r="C5558" t="s">
        <v>4318</v>
      </c>
      <c r="D5558" t="s">
        <v>11765</v>
      </c>
      <c r="E5558" t="s">
        <v>774</v>
      </c>
    </row>
    <row r="5559" spans="1:5" x14ac:dyDescent="0.3">
      <c r="A5559" t="s">
        <v>8314</v>
      </c>
      <c r="B5559" t="s">
        <v>979</v>
      </c>
      <c r="C5559" t="s">
        <v>720</v>
      </c>
      <c r="D5559" t="s">
        <v>7011</v>
      </c>
      <c r="E5559" t="s">
        <v>761</v>
      </c>
    </row>
    <row r="5560" spans="1:5" x14ac:dyDescent="0.3">
      <c r="A5560" t="s">
        <v>11768</v>
      </c>
      <c r="B5560" t="s">
        <v>1437</v>
      </c>
      <c r="C5560" t="s">
        <v>720</v>
      </c>
      <c r="D5560" t="s">
        <v>11767</v>
      </c>
      <c r="E5560" t="s">
        <v>774</v>
      </c>
    </row>
    <row r="5561" spans="1:5" x14ac:dyDescent="0.3">
      <c r="A5561" t="s">
        <v>77</v>
      </c>
      <c r="B5561" t="s">
        <v>6701</v>
      </c>
      <c r="C5561" t="s">
        <v>11770</v>
      </c>
      <c r="D5561" t="s">
        <v>11769</v>
      </c>
      <c r="E5561" t="s">
        <v>1316</v>
      </c>
    </row>
    <row r="5562" spans="1:5" x14ac:dyDescent="0.3">
      <c r="A5562" t="s">
        <v>1793</v>
      </c>
      <c r="B5562" t="s">
        <v>5368</v>
      </c>
      <c r="C5562" t="s">
        <v>5262</v>
      </c>
      <c r="D5562" t="s">
        <v>11771</v>
      </c>
      <c r="E5562" t="s">
        <v>774</v>
      </c>
    </row>
    <row r="5563" spans="1:5" x14ac:dyDescent="0.3">
      <c r="A5563" t="s">
        <v>864</v>
      </c>
      <c r="B5563" t="s">
        <v>4493</v>
      </c>
      <c r="C5563" t="s">
        <v>11772</v>
      </c>
      <c r="D5563" t="s">
        <v>7738</v>
      </c>
      <c r="E5563" t="s">
        <v>774</v>
      </c>
    </row>
    <row r="5564" spans="1:5" x14ac:dyDescent="0.3">
      <c r="A5564" t="s">
        <v>1811</v>
      </c>
      <c r="B5564" t="s">
        <v>11773</v>
      </c>
      <c r="C5564" t="s">
        <v>745</v>
      </c>
      <c r="D5564" t="s">
        <v>11773</v>
      </c>
      <c r="E5564" t="s">
        <v>774</v>
      </c>
    </row>
    <row r="5565" spans="1:5" x14ac:dyDescent="0.3">
      <c r="A5565" t="s">
        <v>331</v>
      </c>
      <c r="B5565" t="s">
        <v>11774</v>
      </c>
      <c r="C5565" t="s">
        <v>455</v>
      </c>
      <c r="D5565" t="s">
        <v>11773</v>
      </c>
      <c r="E5565" t="s">
        <v>774</v>
      </c>
    </row>
    <row r="5566" spans="1:5" x14ac:dyDescent="0.3">
      <c r="A5566" t="s">
        <v>435</v>
      </c>
      <c r="B5566" t="s">
        <v>11776</v>
      </c>
      <c r="C5566" t="s">
        <v>11775</v>
      </c>
      <c r="D5566" t="s">
        <v>4858</v>
      </c>
      <c r="E5566" t="s">
        <v>761</v>
      </c>
    </row>
    <row r="5567" spans="1:5" x14ac:dyDescent="0.3">
      <c r="A5567" t="s">
        <v>66</v>
      </c>
      <c r="B5567" t="s">
        <v>4995</v>
      </c>
      <c r="C5567" t="s">
        <v>457</v>
      </c>
      <c r="D5567" t="s">
        <v>11777</v>
      </c>
      <c r="E5567" t="s">
        <v>774</v>
      </c>
    </row>
    <row r="5568" spans="1:5" x14ac:dyDescent="0.3">
      <c r="A5568" t="s">
        <v>50</v>
      </c>
      <c r="B5568" t="s">
        <v>7765</v>
      </c>
      <c r="C5568" t="s">
        <v>5581</v>
      </c>
      <c r="D5568" t="s">
        <v>11778</v>
      </c>
      <c r="E5568" t="s">
        <v>774</v>
      </c>
    </row>
    <row r="5569" spans="1:5" x14ac:dyDescent="0.3">
      <c r="A5569" t="s">
        <v>224</v>
      </c>
      <c r="B5569" t="s">
        <v>2208</v>
      </c>
      <c r="C5569" t="s">
        <v>456</v>
      </c>
      <c r="D5569" t="s">
        <v>5032</v>
      </c>
      <c r="E5569" t="s">
        <v>774</v>
      </c>
    </row>
    <row r="5570" spans="1:5" x14ac:dyDescent="0.3">
      <c r="A5570" t="s">
        <v>1518</v>
      </c>
      <c r="B5570" t="s">
        <v>11780</v>
      </c>
      <c r="C5570" t="s">
        <v>862</v>
      </c>
      <c r="D5570" t="s">
        <v>751</v>
      </c>
      <c r="E5570" t="s">
        <v>1</v>
      </c>
    </row>
    <row r="5571" spans="1:5" x14ac:dyDescent="0.3">
      <c r="A5571" t="s">
        <v>931</v>
      </c>
      <c r="B5571" t="s">
        <v>1654</v>
      </c>
      <c r="C5571" t="s">
        <v>862</v>
      </c>
      <c r="D5571" t="s">
        <v>751</v>
      </c>
      <c r="E5571" t="s">
        <v>1</v>
      </c>
    </row>
    <row r="5572" spans="1:5" x14ac:dyDescent="0.3">
      <c r="A5572" t="s">
        <v>11781</v>
      </c>
      <c r="B5572" t="s">
        <v>11782</v>
      </c>
      <c r="C5572" t="s">
        <v>862</v>
      </c>
      <c r="D5572" t="s">
        <v>751</v>
      </c>
      <c r="E5572" t="s">
        <v>1</v>
      </c>
    </row>
    <row r="5573" spans="1:5" x14ac:dyDescent="0.3">
      <c r="A5573" t="s">
        <v>6099</v>
      </c>
      <c r="B5573" t="s">
        <v>4160</v>
      </c>
      <c r="C5573" t="s">
        <v>2454</v>
      </c>
      <c r="D5573" t="s">
        <v>751</v>
      </c>
      <c r="E5573" t="s">
        <v>1</v>
      </c>
    </row>
    <row r="5574" spans="1:5" x14ac:dyDescent="0.3">
      <c r="A5574" t="s">
        <v>14</v>
      </c>
      <c r="B5574" t="s">
        <v>3638</v>
      </c>
      <c r="C5574" t="s">
        <v>2181</v>
      </c>
      <c r="D5574" t="s">
        <v>751</v>
      </c>
      <c r="E5574" t="s">
        <v>1</v>
      </c>
    </row>
    <row r="5575" spans="1:5" x14ac:dyDescent="0.3">
      <c r="A5575" t="s">
        <v>2219</v>
      </c>
      <c r="B5575" t="s">
        <v>11783</v>
      </c>
      <c r="C5575" t="s">
        <v>2220</v>
      </c>
      <c r="D5575" t="s">
        <v>751</v>
      </c>
      <c r="E5575" t="s">
        <v>1</v>
      </c>
    </row>
    <row r="5576" spans="1:5" x14ac:dyDescent="0.3">
      <c r="A5576" t="s">
        <v>2281</v>
      </c>
      <c r="B5576" t="s">
        <v>11785</v>
      </c>
      <c r="C5576" t="s">
        <v>11784</v>
      </c>
      <c r="D5576" t="s">
        <v>751</v>
      </c>
      <c r="E5576" t="s">
        <v>1</v>
      </c>
    </row>
    <row r="5577" spans="1:5" x14ac:dyDescent="0.3">
      <c r="A5577" t="s">
        <v>5123</v>
      </c>
      <c r="B5577" t="s">
        <v>11787</v>
      </c>
      <c r="C5577" t="s">
        <v>11786</v>
      </c>
      <c r="D5577" t="s">
        <v>751</v>
      </c>
      <c r="E5577" t="s">
        <v>1</v>
      </c>
    </row>
    <row r="5578" spans="1:5" x14ac:dyDescent="0.3">
      <c r="A5578" t="s">
        <v>11788</v>
      </c>
      <c r="B5578" t="s">
        <v>171</v>
      </c>
      <c r="C5578" t="s">
        <v>11789</v>
      </c>
      <c r="D5578" t="s">
        <v>751</v>
      </c>
      <c r="E5578" t="s">
        <v>1</v>
      </c>
    </row>
    <row r="5579" spans="1:5" x14ac:dyDescent="0.3">
      <c r="A5579" t="s">
        <v>767</v>
      </c>
      <c r="B5579" t="s">
        <v>9910</v>
      </c>
      <c r="C5579" t="s">
        <v>11790</v>
      </c>
      <c r="D5579" t="s">
        <v>751</v>
      </c>
      <c r="E5579" t="s">
        <v>1</v>
      </c>
    </row>
    <row r="5580" spans="1:5" x14ac:dyDescent="0.3">
      <c r="A5580" t="s">
        <v>2373</v>
      </c>
      <c r="B5580" t="s">
        <v>210</v>
      </c>
      <c r="C5580" t="s">
        <v>862</v>
      </c>
      <c r="D5580" t="s">
        <v>751</v>
      </c>
      <c r="E5580" t="s">
        <v>1</v>
      </c>
    </row>
    <row r="5581" spans="1:5" x14ac:dyDescent="0.3">
      <c r="A5581" t="s">
        <v>190</v>
      </c>
      <c r="B5581" t="s">
        <v>11792</v>
      </c>
      <c r="C5581" t="s">
        <v>11791</v>
      </c>
      <c r="D5581" t="s">
        <v>5223</v>
      </c>
      <c r="E5581" t="s">
        <v>774</v>
      </c>
    </row>
    <row r="5582" spans="1:5" x14ac:dyDescent="0.3">
      <c r="A5582" t="s">
        <v>271</v>
      </c>
      <c r="B5582" t="s">
        <v>2996</v>
      </c>
      <c r="C5582" t="s">
        <v>461</v>
      </c>
      <c r="D5582" t="s">
        <v>11793</v>
      </c>
      <c r="E5582" t="s">
        <v>774</v>
      </c>
    </row>
    <row r="5583" spans="1:5" x14ac:dyDescent="0.3">
      <c r="A5583" t="s">
        <v>27</v>
      </c>
      <c r="B5583" t="s">
        <v>328</v>
      </c>
      <c r="C5583" t="s">
        <v>698</v>
      </c>
      <c r="D5583" t="s">
        <v>11794</v>
      </c>
      <c r="E5583" t="s">
        <v>774</v>
      </c>
    </row>
    <row r="5584" spans="1:5" x14ac:dyDescent="0.3">
      <c r="A5584" t="s">
        <v>1026</v>
      </c>
      <c r="B5584" t="s">
        <v>11796</v>
      </c>
      <c r="C5584" t="s">
        <v>5291</v>
      </c>
      <c r="D5584" t="s">
        <v>11795</v>
      </c>
      <c r="E5584" t="s">
        <v>774</v>
      </c>
    </row>
    <row r="5585" spans="1:5" x14ac:dyDescent="0.3">
      <c r="A5585" t="s">
        <v>209</v>
      </c>
      <c r="B5585" t="s">
        <v>11797</v>
      </c>
      <c r="C5585" t="s">
        <v>518</v>
      </c>
      <c r="D5585" t="s">
        <v>2789</v>
      </c>
      <c r="E5585" t="s">
        <v>1</v>
      </c>
    </row>
    <row r="5586" spans="1:5" x14ac:dyDescent="0.3">
      <c r="A5586" t="s">
        <v>1176</v>
      </c>
      <c r="B5586" t="s">
        <v>4043</v>
      </c>
      <c r="C5586" t="s">
        <v>718</v>
      </c>
      <c r="D5586" t="s">
        <v>11798</v>
      </c>
      <c r="E5586" t="s">
        <v>774</v>
      </c>
    </row>
    <row r="5587" spans="1:5" x14ac:dyDescent="0.3">
      <c r="A5587" t="s">
        <v>1383</v>
      </c>
      <c r="B5587" t="s">
        <v>11799</v>
      </c>
      <c r="C5587" t="s">
        <v>718</v>
      </c>
      <c r="D5587" t="s">
        <v>11798</v>
      </c>
      <c r="E5587" t="s">
        <v>774</v>
      </c>
    </row>
    <row r="5588" spans="1:5" x14ac:dyDescent="0.3">
      <c r="A5588" t="s">
        <v>6073</v>
      </c>
      <c r="B5588" t="s">
        <v>11801</v>
      </c>
      <c r="C5588" t="s">
        <v>720</v>
      </c>
      <c r="D5588" t="s">
        <v>11800</v>
      </c>
      <c r="E5588" t="s">
        <v>774</v>
      </c>
    </row>
    <row r="5589" spans="1:5" x14ac:dyDescent="0.3">
      <c r="A5589" t="s">
        <v>11803</v>
      </c>
      <c r="B5589" t="s">
        <v>11804</v>
      </c>
      <c r="C5589" t="s">
        <v>3555</v>
      </c>
      <c r="D5589" t="s">
        <v>11802</v>
      </c>
      <c r="E5589" t="s">
        <v>774</v>
      </c>
    </row>
    <row r="5590" spans="1:5" x14ac:dyDescent="0.3">
      <c r="A5590" t="s">
        <v>259</v>
      </c>
      <c r="B5590" t="s">
        <v>1441</v>
      </c>
      <c r="C5590" t="s">
        <v>461</v>
      </c>
      <c r="D5590" t="s">
        <v>11805</v>
      </c>
      <c r="E5590" t="s">
        <v>774</v>
      </c>
    </row>
    <row r="5591" spans="1:5" x14ac:dyDescent="0.3">
      <c r="A5591" t="s">
        <v>875</v>
      </c>
      <c r="B5591" t="s">
        <v>287</v>
      </c>
      <c r="C5591" t="s">
        <v>3555</v>
      </c>
      <c r="D5591" t="s">
        <v>11806</v>
      </c>
      <c r="E5591" t="s">
        <v>774</v>
      </c>
    </row>
    <row r="5592" spans="1:5" x14ac:dyDescent="0.3">
      <c r="A5592" t="s">
        <v>11505</v>
      </c>
      <c r="B5592" t="s">
        <v>11808</v>
      </c>
      <c r="C5592" t="s">
        <v>4645</v>
      </c>
      <c r="D5592" t="s">
        <v>11807</v>
      </c>
      <c r="E5592" t="s">
        <v>774</v>
      </c>
    </row>
    <row r="5593" spans="1:5" x14ac:dyDescent="0.3">
      <c r="A5593" t="s">
        <v>7272</v>
      </c>
      <c r="B5593" t="s">
        <v>3612</v>
      </c>
      <c r="C5593" t="s">
        <v>11811</v>
      </c>
      <c r="D5593" t="s">
        <v>11810</v>
      </c>
      <c r="E5593" t="s">
        <v>774</v>
      </c>
    </row>
    <row r="5594" spans="1:5" x14ac:dyDescent="0.3">
      <c r="A5594" t="s">
        <v>5997</v>
      </c>
      <c r="B5594" t="s">
        <v>1224</v>
      </c>
      <c r="C5594" t="s">
        <v>11812</v>
      </c>
      <c r="D5594" t="s">
        <v>6747</v>
      </c>
      <c r="E5594" t="s">
        <v>761</v>
      </c>
    </row>
    <row r="5595" spans="1:5" x14ac:dyDescent="0.3">
      <c r="A5595" t="s">
        <v>41</v>
      </c>
      <c r="B5595" t="s">
        <v>2984</v>
      </c>
      <c r="C5595" t="s">
        <v>457</v>
      </c>
      <c r="D5595" t="s">
        <v>11813</v>
      </c>
      <c r="E5595" t="s">
        <v>774</v>
      </c>
    </row>
    <row r="5596" spans="1:5" x14ac:dyDescent="0.3">
      <c r="A5596" t="s">
        <v>11815</v>
      </c>
      <c r="B5596" t="s">
        <v>11816</v>
      </c>
      <c r="C5596" t="s">
        <v>698</v>
      </c>
      <c r="D5596" t="s">
        <v>11814</v>
      </c>
      <c r="E5596" t="s">
        <v>774</v>
      </c>
    </row>
    <row r="5597" spans="1:5" x14ac:dyDescent="0.3">
      <c r="A5597" t="s">
        <v>11818</v>
      </c>
      <c r="B5597" t="s">
        <v>11820</v>
      </c>
      <c r="C5597" t="s">
        <v>11819</v>
      </c>
      <c r="D5597" t="s">
        <v>11817</v>
      </c>
      <c r="E5597" t="s">
        <v>774</v>
      </c>
    </row>
    <row r="5598" spans="1:5" x14ac:dyDescent="0.3">
      <c r="A5598" t="s">
        <v>1129</v>
      </c>
      <c r="B5598" t="s">
        <v>2642</v>
      </c>
      <c r="C5598" t="s">
        <v>11821</v>
      </c>
      <c r="D5598" t="s">
        <v>6260</v>
      </c>
      <c r="E5598" t="s">
        <v>774</v>
      </c>
    </row>
    <row r="5599" spans="1:5" x14ac:dyDescent="0.3">
      <c r="A5599" t="s">
        <v>4666</v>
      </c>
      <c r="B5599" t="s">
        <v>8163</v>
      </c>
      <c r="C5599" t="s">
        <v>11823</v>
      </c>
      <c r="D5599" t="s">
        <v>2805</v>
      </c>
      <c r="E5599" t="s">
        <v>774</v>
      </c>
    </row>
    <row r="5600" spans="1:5" x14ac:dyDescent="0.3">
      <c r="A5600" t="s">
        <v>288</v>
      </c>
      <c r="B5600" t="s">
        <v>2566</v>
      </c>
      <c r="C5600" t="s">
        <v>11825</v>
      </c>
      <c r="D5600" t="s">
        <v>11824</v>
      </c>
      <c r="E5600" t="s">
        <v>774</v>
      </c>
    </row>
    <row r="5601" spans="1:5" x14ac:dyDescent="0.3">
      <c r="A5601" t="s">
        <v>116</v>
      </c>
      <c r="B5601" t="s">
        <v>2627</v>
      </c>
      <c r="C5601" t="s">
        <v>6466</v>
      </c>
      <c r="D5601" t="s">
        <v>11826</v>
      </c>
      <c r="E5601" t="s">
        <v>774</v>
      </c>
    </row>
    <row r="5602" spans="1:5" x14ac:dyDescent="0.3">
      <c r="A5602" t="s">
        <v>27</v>
      </c>
      <c r="B5602" t="s">
        <v>11828</v>
      </c>
      <c r="C5602" t="s">
        <v>11827</v>
      </c>
      <c r="D5602" t="s">
        <v>753</v>
      </c>
      <c r="E5602" t="s">
        <v>743</v>
      </c>
    </row>
    <row r="5603" spans="1:5" x14ac:dyDescent="0.3">
      <c r="A5603" t="s">
        <v>3359</v>
      </c>
      <c r="B5603" t="s">
        <v>11830</v>
      </c>
      <c r="C5603" t="s">
        <v>11829</v>
      </c>
      <c r="D5603" t="s">
        <v>2617</v>
      </c>
      <c r="E5603" t="s">
        <v>2175</v>
      </c>
    </row>
    <row r="5604" spans="1:5" x14ac:dyDescent="0.3">
      <c r="A5604" t="s">
        <v>1044</v>
      </c>
      <c r="B5604" t="s">
        <v>5939</v>
      </c>
      <c r="C5604" t="s">
        <v>862</v>
      </c>
      <c r="D5604" t="s">
        <v>869</v>
      </c>
      <c r="E5604" t="s">
        <v>781</v>
      </c>
    </row>
    <row r="5605" spans="1:5" x14ac:dyDescent="0.3">
      <c r="A5605" t="s">
        <v>1018</v>
      </c>
      <c r="B5605" t="s">
        <v>11832</v>
      </c>
      <c r="C5605" t="s">
        <v>5560</v>
      </c>
      <c r="D5605" t="s">
        <v>11831</v>
      </c>
      <c r="E5605" t="s">
        <v>774</v>
      </c>
    </row>
    <row r="5606" spans="1:5" x14ac:dyDescent="0.3">
      <c r="A5606" t="s">
        <v>3355</v>
      </c>
      <c r="B5606" t="s">
        <v>11834</v>
      </c>
      <c r="C5606" t="s">
        <v>461</v>
      </c>
      <c r="D5606" t="s">
        <v>11833</v>
      </c>
      <c r="E5606" t="s">
        <v>75</v>
      </c>
    </row>
    <row r="5607" spans="1:5" x14ac:dyDescent="0.3">
      <c r="A5607" t="s">
        <v>1166</v>
      </c>
      <c r="B5607" t="s">
        <v>4715</v>
      </c>
      <c r="C5607" t="s">
        <v>862</v>
      </c>
      <c r="D5607" t="s">
        <v>1183</v>
      </c>
      <c r="E5607" t="s">
        <v>1</v>
      </c>
    </row>
    <row r="5608" spans="1:5" x14ac:dyDescent="0.3">
      <c r="A5608" t="s">
        <v>931</v>
      </c>
      <c r="B5608" t="s">
        <v>3389</v>
      </c>
      <c r="C5608" t="s">
        <v>455</v>
      </c>
      <c r="D5608" t="s">
        <v>11835</v>
      </c>
      <c r="E5608" t="s">
        <v>774</v>
      </c>
    </row>
    <row r="5609" spans="1:5" x14ac:dyDescent="0.3">
      <c r="A5609" t="s">
        <v>77</v>
      </c>
      <c r="B5609" t="s">
        <v>3074</v>
      </c>
      <c r="C5609" t="s">
        <v>458</v>
      </c>
      <c r="D5609" t="s">
        <v>11836</v>
      </c>
      <c r="E5609" t="s">
        <v>774</v>
      </c>
    </row>
    <row r="5610" spans="1:5" x14ac:dyDescent="0.3">
      <c r="A5610" t="s">
        <v>259</v>
      </c>
      <c r="B5610" t="s">
        <v>139</v>
      </c>
      <c r="C5610" t="s">
        <v>461</v>
      </c>
      <c r="D5610" t="s">
        <v>11837</v>
      </c>
      <c r="E5610" t="s">
        <v>774</v>
      </c>
    </row>
    <row r="5611" spans="1:5" x14ac:dyDescent="0.3">
      <c r="A5611" t="s">
        <v>6966</v>
      </c>
      <c r="B5611" t="s">
        <v>1283</v>
      </c>
      <c r="C5611" t="s">
        <v>11839</v>
      </c>
      <c r="D5611" t="s">
        <v>11838</v>
      </c>
      <c r="E5611" t="s">
        <v>2175</v>
      </c>
    </row>
    <row r="5612" spans="1:5" x14ac:dyDescent="0.3">
      <c r="A5612" t="s">
        <v>4157</v>
      </c>
      <c r="B5612" t="s">
        <v>3817</v>
      </c>
      <c r="C5612" t="s">
        <v>698</v>
      </c>
      <c r="D5612" t="s">
        <v>11840</v>
      </c>
      <c r="E5612" t="s">
        <v>774</v>
      </c>
    </row>
    <row r="5613" spans="1:5" x14ac:dyDescent="0.3">
      <c r="A5613" t="s">
        <v>2160</v>
      </c>
      <c r="B5613" t="s">
        <v>11842</v>
      </c>
      <c r="C5613" t="s">
        <v>745</v>
      </c>
      <c r="D5613" t="s">
        <v>11841</v>
      </c>
      <c r="E5613" t="s">
        <v>774</v>
      </c>
    </row>
    <row r="5614" spans="1:5" x14ac:dyDescent="0.3">
      <c r="A5614" t="s">
        <v>205</v>
      </c>
      <c r="B5614" t="s">
        <v>11845</v>
      </c>
      <c r="C5614" t="s">
        <v>11844</v>
      </c>
      <c r="D5614" t="s">
        <v>11843</v>
      </c>
      <c r="E5614" t="s">
        <v>774</v>
      </c>
    </row>
    <row r="5615" spans="1:5" x14ac:dyDescent="0.3">
      <c r="A5615" t="s">
        <v>3251</v>
      </c>
      <c r="B5615" t="s">
        <v>1634</v>
      </c>
      <c r="C5615" t="s">
        <v>11847</v>
      </c>
      <c r="D5615" t="s">
        <v>11846</v>
      </c>
      <c r="E5615" t="s">
        <v>774</v>
      </c>
    </row>
    <row r="5616" spans="1:5" x14ac:dyDescent="0.3">
      <c r="A5616" t="s">
        <v>1558</v>
      </c>
      <c r="B5616" t="s">
        <v>1064</v>
      </c>
      <c r="C5616" t="s">
        <v>11848</v>
      </c>
    </row>
    <row r="5617" spans="1:5" x14ac:dyDescent="0.3">
      <c r="A5617" t="s">
        <v>11849</v>
      </c>
      <c r="B5617" t="s">
        <v>11850</v>
      </c>
      <c r="C5617" t="s">
        <v>456</v>
      </c>
      <c r="D5617" t="s">
        <v>10774</v>
      </c>
      <c r="E5617" t="s">
        <v>774</v>
      </c>
    </row>
    <row r="5618" spans="1:5" x14ac:dyDescent="0.3">
      <c r="A5618" t="s">
        <v>11852</v>
      </c>
      <c r="B5618" t="s">
        <v>2573</v>
      </c>
      <c r="C5618" t="s">
        <v>698</v>
      </c>
      <c r="D5618" t="s">
        <v>11851</v>
      </c>
      <c r="E5618" t="s">
        <v>774</v>
      </c>
    </row>
    <row r="5619" spans="1:5" x14ac:dyDescent="0.3">
      <c r="A5619" t="s">
        <v>855</v>
      </c>
      <c r="B5619" t="s">
        <v>5233</v>
      </c>
      <c r="C5619" t="s">
        <v>11854</v>
      </c>
      <c r="D5619" t="s">
        <v>11853</v>
      </c>
      <c r="E5619" t="s">
        <v>774</v>
      </c>
    </row>
    <row r="5620" spans="1:5" x14ac:dyDescent="0.3">
      <c r="A5620" t="s">
        <v>206</v>
      </c>
      <c r="B5620" t="s">
        <v>142</v>
      </c>
      <c r="C5620" t="s">
        <v>11855</v>
      </c>
      <c r="D5620" t="s">
        <v>919</v>
      </c>
      <c r="E5620" t="s">
        <v>1</v>
      </c>
    </row>
    <row r="5621" spans="1:5" x14ac:dyDescent="0.3">
      <c r="A5621" t="s">
        <v>113</v>
      </c>
      <c r="B5621" t="s">
        <v>1529</v>
      </c>
      <c r="C5621" t="s">
        <v>862</v>
      </c>
      <c r="D5621" t="s">
        <v>919</v>
      </c>
      <c r="E5621" t="s">
        <v>1</v>
      </c>
    </row>
    <row r="5622" spans="1:5" x14ac:dyDescent="0.3">
      <c r="A5622" t="s">
        <v>85</v>
      </c>
      <c r="B5622" t="s">
        <v>11856</v>
      </c>
      <c r="C5622" t="s">
        <v>862</v>
      </c>
      <c r="D5622" t="s">
        <v>919</v>
      </c>
      <c r="E5622" t="s">
        <v>1</v>
      </c>
    </row>
    <row r="5623" spans="1:5" x14ac:dyDescent="0.3">
      <c r="A5623" t="s">
        <v>1451</v>
      </c>
      <c r="B5623" t="s">
        <v>1432</v>
      </c>
      <c r="C5623" t="s">
        <v>862</v>
      </c>
      <c r="D5623" t="s">
        <v>919</v>
      </c>
      <c r="E5623" t="s">
        <v>1</v>
      </c>
    </row>
    <row r="5624" spans="1:5" x14ac:dyDescent="0.3">
      <c r="A5624" t="s">
        <v>1393</v>
      </c>
      <c r="B5624" t="s">
        <v>11857</v>
      </c>
      <c r="C5624" t="s">
        <v>862</v>
      </c>
      <c r="D5624" t="s">
        <v>919</v>
      </c>
      <c r="E5624" t="s">
        <v>1</v>
      </c>
    </row>
    <row r="5625" spans="1:5" x14ac:dyDescent="0.3">
      <c r="A5625" t="s">
        <v>1333</v>
      </c>
      <c r="B5625" t="s">
        <v>4071</v>
      </c>
      <c r="C5625" t="s">
        <v>10106</v>
      </c>
      <c r="D5625" t="s">
        <v>11858</v>
      </c>
      <c r="E5625" t="s">
        <v>774</v>
      </c>
    </row>
    <row r="5626" spans="1:5" x14ac:dyDescent="0.3">
      <c r="A5626" t="s">
        <v>11860</v>
      </c>
      <c r="B5626" t="s">
        <v>1160</v>
      </c>
      <c r="C5626" t="s">
        <v>862</v>
      </c>
      <c r="D5626" t="s">
        <v>11859</v>
      </c>
      <c r="E5626" t="s">
        <v>774</v>
      </c>
    </row>
    <row r="5627" spans="1:5" x14ac:dyDescent="0.3">
      <c r="A5627" t="s">
        <v>11861</v>
      </c>
      <c r="B5627" t="s">
        <v>11863</v>
      </c>
      <c r="C5627" t="s">
        <v>11862</v>
      </c>
      <c r="D5627" t="s">
        <v>7733</v>
      </c>
      <c r="E5627" t="s">
        <v>75</v>
      </c>
    </row>
    <row r="5628" spans="1:5" x14ac:dyDescent="0.3">
      <c r="A5628" t="s">
        <v>11865</v>
      </c>
      <c r="B5628" t="s">
        <v>1199</v>
      </c>
      <c r="C5628" t="s">
        <v>461</v>
      </c>
      <c r="D5628" t="s">
        <v>11864</v>
      </c>
      <c r="E5628" t="s">
        <v>774</v>
      </c>
    </row>
    <row r="5629" spans="1:5" x14ac:dyDescent="0.3">
      <c r="A5629" t="s">
        <v>66</v>
      </c>
      <c r="B5629" t="s">
        <v>11868</v>
      </c>
      <c r="C5629" t="s">
        <v>11867</v>
      </c>
      <c r="D5629" t="s">
        <v>11866</v>
      </c>
      <c r="E5629" t="s">
        <v>774</v>
      </c>
    </row>
    <row r="5630" spans="1:5" x14ac:dyDescent="0.3">
      <c r="A5630" t="s">
        <v>1515</v>
      </c>
      <c r="B5630" t="s">
        <v>11871</v>
      </c>
      <c r="C5630" t="s">
        <v>11870</v>
      </c>
      <c r="D5630" t="s">
        <v>1312</v>
      </c>
      <c r="E5630" t="s">
        <v>761</v>
      </c>
    </row>
    <row r="5631" spans="1:5" x14ac:dyDescent="0.3">
      <c r="A5631" t="s">
        <v>116</v>
      </c>
      <c r="B5631" t="s">
        <v>2685</v>
      </c>
      <c r="C5631" t="s">
        <v>11872</v>
      </c>
      <c r="D5631" t="s">
        <v>7935</v>
      </c>
      <c r="E5631" t="s">
        <v>774</v>
      </c>
    </row>
    <row r="5632" spans="1:5" x14ac:dyDescent="0.3">
      <c r="A5632" t="s">
        <v>3291</v>
      </c>
      <c r="B5632" t="s">
        <v>11874</v>
      </c>
      <c r="C5632" t="s">
        <v>461</v>
      </c>
      <c r="D5632" t="s">
        <v>11873</v>
      </c>
      <c r="E5632" t="s">
        <v>774</v>
      </c>
    </row>
    <row r="5633" spans="1:5" x14ac:dyDescent="0.3">
      <c r="A5633" t="s">
        <v>29</v>
      </c>
      <c r="B5633" t="s">
        <v>793</v>
      </c>
      <c r="C5633" t="s">
        <v>11876</v>
      </c>
      <c r="D5633" t="s">
        <v>11875</v>
      </c>
      <c r="E5633" t="s">
        <v>774</v>
      </c>
    </row>
    <row r="5634" spans="1:5" x14ac:dyDescent="0.3">
      <c r="A5634" t="s">
        <v>11878</v>
      </c>
      <c r="B5634" t="s">
        <v>5735</v>
      </c>
      <c r="C5634" t="s">
        <v>718</v>
      </c>
      <c r="D5634" t="s">
        <v>11877</v>
      </c>
      <c r="E5634" t="s">
        <v>774</v>
      </c>
    </row>
    <row r="5635" spans="1:5" x14ac:dyDescent="0.3">
      <c r="A5635" t="s">
        <v>11879</v>
      </c>
      <c r="B5635" t="s">
        <v>11881</v>
      </c>
      <c r="C5635" t="s">
        <v>11880</v>
      </c>
      <c r="D5635" t="s">
        <v>7733</v>
      </c>
      <c r="E5635" t="s">
        <v>75</v>
      </c>
    </row>
    <row r="5636" spans="1:5" x14ac:dyDescent="0.3">
      <c r="A5636" t="s">
        <v>59</v>
      </c>
      <c r="B5636" t="s">
        <v>1170</v>
      </c>
      <c r="C5636" t="s">
        <v>862</v>
      </c>
      <c r="D5636" t="s">
        <v>770</v>
      </c>
      <c r="E5636" t="s">
        <v>758</v>
      </c>
    </row>
    <row r="5637" spans="1:5" x14ac:dyDescent="0.3">
      <c r="A5637" t="s">
        <v>997</v>
      </c>
      <c r="B5637" t="s">
        <v>11882</v>
      </c>
      <c r="C5637" t="s">
        <v>862</v>
      </c>
      <c r="D5637" t="s">
        <v>6758</v>
      </c>
      <c r="E5637" t="s">
        <v>841</v>
      </c>
    </row>
    <row r="5638" spans="1:5" x14ac:dyDescent="0.3">
      <c r="A5638" t="s">
        <v>3504</v>
      </c>
      <c r="B5638" t="s">
        <v>199</v>
      </c>
      <c r="C5638" t="s">
        <v>862</v>
      </c>
      <c r="D5638" t="s">
        <v>11883</v>
      </c>
      <c r="E5638" t="s">
        <v>75</v>
      </c>
    </row>
    <row r="5639" spans="1:5" x14ac:dyDescent="0.3">
      <c r="A5639" t="s">
        <v>132</v>
      </c>
      <c r="B5639" t="s">
        <v>2548</v>
      </c>
      <c r="C5639" t="s">
        <v>457</v>
      </c>
      <c r="D5639" t="s">
        <v>11884</v>
      </c>
      <c r="E5639" t="s">
        <v>75</v>
      </c>
    </row>
    <row r="5640" spans="1:5" x14ac:dyDescent="0.3">
      <c r="A5640" t="s">
        <v>1013</v>
      </c>
      <c r="B5640" t="s">
        <v>765</v>
      </c>
      <c r="C5640" t="s">
        <v>862</v>
      </c>
      <c r="D5640" t="s">
        <v>739</v>
      </c>
      <c r="E5640" t="s">
        <v>741</v>
      </c>
    </row>
    <row r="5641" spans="1:5" x14ac:dyDescent="0.3">
      <c r="A5641" t="s">
        <v>224</v>
      </c>
      <c r="B5641" t="s">
        <v>11885</v>
      </c>
      <c r="C5641" t="s">
        <v>2571</v>
      </c>
      <c r="D5641" t="s">
        <v>8276</v>
      </c>
      <c r="E5641" t="s">
        <v>18</v>
      </c>
    </row>
    <row r="5642" spans="1:5" x14ac:dyDescent="0.3">
      <c r="A5642" t="s">
        <v>4498</v>
      </c>
      <c r="B5642" t="s">
        <v>11887</v>
      </c>
      <c r="C5642" t="s">
        <v>11886</v>
      </c>
      <c r="D5642" t="s">
        <v>4412</v>
      </c>
      <c r="E5642" t="s">
        <v>841</v>
      </c>
    </row>
    <row r="5643" spans="1:5" x14ac:dyDescent="0.3">
      <c r="A5643" t="s">
        <v>125</v>
      </c>
      <c r="B5643" t="s">
        <v>11889</v>
      </c>
      <c r="C5643" t="s">
        <v>698</v>
      </c>
      <c r="D5643" t="s">
        <v>11888</v>
      </c>
      <c r="E5643" t="s">
        <v>774</v>
      </c>
    </row>
    <row r="5644" spans="1:5" x14ac:dyDescent="0.3">
      <c r="A5644" t="s">
        <v>1632</v>
      </c>
      <c r="B5644" t="s">
        <v>3625</v>
      </c>
      <c r="C5644" t="s">
        <v>10106</v>
      </c>
      <c r="D5644" t="s">
        <v>11890</v>
      </c>
      <c r="E5644" t="s">
        <v>774</v>
      </c>
    </row>
    <row r="5645" spans="1:5" x14ac:dyDescent="0.3">
      <c r="A5645" t="s">
        <v>2353</v>
      </c>
      <c r="B5645" t="s">
        <v>3505</v>
      </c>
      <c r="C5645" t="s">
        <v>5191</v>
      </c>
      <c r="D5645" t="s">
        <v>11891</v>
      </c>
      <c r="E5645" t="s">
        <v>774</v>
      </c>
    </row>
    <row r="5646" spans="1:5" x14ac:dyDescent="0.3">
      <c r="A5646" t="s">
        <v>11893</v>
      </c>
      <c r="B5646" t="s">
        <v>11894</v>
      </c>
      <c r="C5646" t="s">
        <v>698</v>
      </c>
      <c r="D5646" t="s">
        <v>11892</v>
      </c>
      <c r="E5646" t="s">
        <v>774</v>
      </c>
    </row>
    <row r="5647" spans="1:5" x14ac:dyDescent="0.3">
      <c r="A5647" t="s">
        <v>1184</v>
      </c>
      <c r="B5647" t="s">
        <v>2154</v>
      </c>
      <c r="C5647" t="s">
        <v>11896</v>
      </c>
      <c r="D5647" t="s">
        <v>11895</v>
      </c>
      <c r="E5647" t="s">
        <v>774</v>
      </c>
    </row>
    <row r="5648" spans="1:5" x14ac:dyDescent="0.3">
      <c r="A5648" t="s">
        <v>1631</v>
      </c>
      <c r="B5648" t="s">
        <v>5867</v>
      </c>
      <c r="C5648" t="s">
        <v>698</v>
      </c>
      <c r="D5648" t="s">
        <v>6742</v>
      </c>
      <c r="E5648" t="s">
        <v>758</v>
      </c>
    </row>
    <row r="5649" spans="1:5" x14ac:dyDescent="0.3">
      <c r="A5649" t="s">
        <v>2807</v>
      </c>
      <c r="B5649" t="s">
        <v>3600</v>
      </c>
      <c r="C5649" t="s">
        <v>698</v>
      </c>
      <c r="D5649" t="s">
        <v>11898</v>
      </c>
      <c r="E5649" t="s">
        <v>774</v>
      </c>
    </row>
    <row r="5650" spans="1:5" x14ac:dyDescent="0.3">
      <c r="A5650" t="s">
        <v>11900</v>
      </c>
      <c r="B5650" t="s">
        <v>11902</v>
      </c>
      <c r="C5650" t="s">
        <v>11901</v>
      </c>
      <c r="D5650" t="s">
        <v>11899</v>
      </c>
      <c r="E5650" t="s">
        <v>774</v>
      </c>
    </row>
    <row r="5651" spans="1:5" x14ac:dyDescent="0.3">
      <c r="A5651" t="s">
        <v>2899</v>
      </c>
      <c r="B5651" t="s">
        <v>5320</v>
      </c>
      <c r="C5651" t="s">
        <v>720</v>
      </c>
      <c r="D5651" t="s">
        <v>11903</v>
      </c>
      <c r="E5651" t="s">
        <v>774</v>
      </c>
    </row>
    <row r="5652" spans="1:5" x14ac:dyDescent="0.3">
      <c r="A5652" t="s">
        <v>11905</v>
      </c>
      <c r="B5652" t="s">
        <v>4457</v>
      </c>
      <c r="C5652" t="s">
        <v>11906</v>
      </c>
      <c r="D5652" t="s">
        <v>11904</v>
      </c>
      <c r="E5652" t="s">
        <v>774</v>
      </c>
    </row>
    <row r="5653" spans="1:5" x14ac:dyDescent="0.3">
      <c r="A5653" t="s">
        <v>6402</v>
      </c>
      <c r="B5653" t="s">
        <v>11908</v>
      </c>
      <c r="C5653" t="s">
        <v>698</v>
      </c>
      <c r="D5653" t="s">
        <v>11907</v>
      </c>
      <c r="E5653" t="s">
        <v>774</v>
      </c>
    </row>
    <row r="5654" spans="1:5" x14ac:dyDescent="0.3">
      <c r="A5654" t="s">
        <v>273</v>
      </c>
      <c r="B5654" t="s">
        <v>11910</v>
      </c>
      <c r="C5654" t="s">
        <v>1148</v>
      </c>
      <c r="D5654" t="s">
        <v>11909</v>
      </c>
      <c r="E5654" t="s">
        <v>774</v>
      </c>
    </row>
    <row r="5655" spans="1:5" x14ac:dyDescent="0.3">
      <c r="A5655" t="s">
        <v>339</v>
      </c>
      <c r="B5655" t="s">
        <v>8593</v>
      </c>
      <c r="C5655" t="s">
        <v>5906</v>
      </c>
      <c r="D5655" t="s">
        <v>8592</v>
      </c>
      <c r="E5655" t="s">
        <v>75</v>
      </c>
    </row>
    <row r="5656" spans="1:5" x14ac:dyDescent="0.3">
      <c r="A5656" t="s">
        <v>11912</v>
      </c>
      <c r="B5656" t="s">
        <v>11914</v>
      </c>
      <c r="C5656" t="s">
        <v>11913</v>
      </c>
      <c r="D5656" t="s">
        <v>11911</v>
      </c>
      <c r="E5656" t="s">
        <v>774</v>
      </c>
    </row>
    <row r="5657" spans="1:5" x14ac:dyDescent="0.3">
      <c r="A5657" t="s">
        <v>2833</v>
      </c>
      <c r="B5657" t="s">
        <v>3913</v>
      </c>
      <c r="C5657" t="s">
        <v>11915</v>
      </c>
      <c r="D5657" t="s">
        <v>780</v>
      </c>
      <c r="E5657" t="s">
        <v>781</v>
      </c>
    </row>
    <row r="5658" spans="1:5" x14ac:dyDescent="0.3">
      <c r="A5658" t="s">
        <v>11917</v>
      </c>
      <c r="B5658" t="s">
        <v>4508</v>
      </c>
      <c r="C5658" t="s">
        <v>11918</v>
      </c>
      <c r="D5658" t="s">
        <v>11916</v>
      </c>
      <c r="E5658" t="s">
        <v>774</v>
      </c>
    </row>
    <row r="5659" spans="1:5" x14ac:dyDescent="0.3">
      <c r="A5659" t="s">
        <v>41</v>
      </c>
      <c r="B5659" t="s">
        <v>36</v>
      </c>
      <c r="C5659" t="s">
        <v>11920</v>
      </c>
      <c r="D5659" t="s">
        <v>11919</v>
      </c>
      <c r="E5659" t="s">
        <v>774</v>
      </c>
    </row>
    <row r="5660" spans="1:5" x14ac:dyDescent="0.3">
      <c r="A5660" t="s">
        <v>1126</v>
      </c>
      <c r="B5660" t="s">
        <v>11922</v>
      </c>
      <c r="C5660" t="s">
        <v>6394</v>
      </c>
      <c r="D5660" t="s">
        <v>11921</v>
      </c>
      <c r="E5660" t="s">
        <v>774</v>
      </c>
    </row>
    <row r="5661" spans="1:5" x14ac:dyDescent="0.3">
      <c r="A5661" t="s">
        <v>313</v>
      </c>
      <c r="B5661" t="s">
        <v>11924</v>
      </c>
      <c r="C5661" t="s">
        <v>4645</v>
      </c>
      <c r="D5661" t="s">
        <v>11923</v>
      </c>
      <c r="E5661" t="s">
        <v>75</v>
      </c>
    </row>
    <row r="5662" spans="1:5" x14ac:dyDescent="0.3">
      <c r="A5662" t="s">
        <v>11926</v>
      </c>
      <c r="B5662" t="s">
        <v>11927</v>
      </c>
      <c r="C5662" t="s">
        <v>720</v>
      </c>
      <c r="D5662" t="s">
        <v>11925</v>
      </c>
      <c r="E5662" t="s">
        <v>774</v>
      </c>
    </row>
    <row r="5663" spans="1:5" x14ac:dyDescent="0.3">
      <c r="A5663" t="s">
        <v>184</v>
      </c>
      <c r="B5663" t="s">
        <v>11929</v>
      </c>
      <c r="C5663" t="s">
        <v>698</v>
      </c>
      <c r="D5663" t="s">
        <v>11928</v>
      </c>
      <c r="E5663" t="s">
        <v>774</v>
      </c>
    </row>
    <row r="5664" spans="1:5" x14ac:dyDescent="0.3">
      <c r="A5664" t="s">
        <v>166</v>
      </c>
      <c r="B5664" t="s">
        <v>3076</v>
      </c>
      <c r="C5664" t="s">
        <v>5639</v>
      </c>
      <c r="D5664" t="s">
        <v>11930</v>
      </c>
      <c r="E5664" t="s">
        <v>774</v>
      </c>
    </row>
    <row r="5665" spans="1:5" x14ac:dyDescent="0.3">
      <c r="A5665" t="s">
        <v>224</v>
      </c>
      <c r="B5665" t="s">
        <v>11931</v>
      </c>
      <c r="C5665" t="s">
        <v>456</v>
      </c>
      <c r="D5665" t="s">
        <v>8837</v>
      </c>
      <c r="E5665" t="s">
        <v>18</v>
      </c>
    </row>
    <row r="5666" spans="1:5" x14ac:dyDescent="0.3">
      <c r="A5666" t="s">
        <v>4245</v>
      </c>
      <c r="B5666" t="s">
        <v>11933</v>
      </c>
      <c r="C5666" t="s">
        <v>11932</v>
      </c>
      <c r="D5666" t="s">
        <v>8837</v>
      </c>
      <c r="E5666" t="s">
        <v>18</v>
      </c>
    </row>
    <row r="5667" spans="1:5" x14ac:dyDescent="0.3">
      <c r="A5667" t="s">
        <v>4669</v>
      </c>
      <c r="B5667" t="s">
        <v>11935</v>
      </c>
      <c r="C5667" t="s">
        <v>11375</v>
      </c>
      <c r="D5667" t="s">
        <v>11934</v>
      </c>
      <c r="E5667" t="s">
        <v>774</v>
      </c>
    </row>
    <row r="5668" spans="1:5" x14ac:dyDescent="0.3">
      <c r="A5668" t="s">
        <v>4014</v>
      </c>
      <c r="B5668" t="s">
        <v>5059</v>
      </c>
      <c r="C5668" t="s">
        <v>11937</v>
      </c>
      <c r="D5668" t="s">
        <v>11936</v>
      </c>
      <c r="E5668" t="s">
        <v>774</v>
      </c>
    </row>
    <row r="5669" spans="1:5" x14ac:dyDescent="0.3">
      <c r="A5669" t="s">
        <v>5409</v>
      </c>
      <c r="B5669" t="s">
        <v>1592</v>
      </c>
      <c r="C5669" t="s">
        <v>518</v>
      </c>
      <c r="D5669" t="s">
        <v>763</v>
      </c>
      <c r="E5669" t="s">
        <v>1</v>
      </c>
    </row>
    <row r="5670" spans="1:5" x14ac:dyDescent="0.3">
      <c r="A5670" t="s">
        <v>298</v>
      </c>
      <c r="B5670" t="s">
        <v>5642</v>
      </c>
      <c r="C5670" t="s">
        <v>461</v>
      </c>
      <c r="D5670" t="s">
        <v>11938</v>
      </c>
      <c r="E5670" t="s">
        <v>774</v>
      </c>
    </row>
    <row r="5671" spans="1:5" x14ac:dyDescent="0.3">
      <c r="A5671" t="s">
        <v>428</v>
      </c>
      <c r="B5671" t="s">
        <v>11940</v>
      </c>
      <c r="C5671" t="s">
        <v>720</v>
      </c>
      <c r="D5671" t="s">
        <v>11939</v>
      </c>
      <c r="E5671" t="s">
        <v>774</v>
      </c>
    </row>
    <row r="5672" spans="1:5" x14ac:dyDescent="0.3">
      <c r="A5672" t="s">
        <v>313</v>
      </c>
      <c r="B5672" t="s">
        <v>4849</v>
      </c>
      <c r="C5672" t="s">
        <v>11943</v>
      </c>
      <c r="D5672" t="s">
        <v>11942</v>
      </c>
      <c r="E5672" t="s">
        <v>758</v>
      </c>
    </row>
    <row r="5673" spans="1:5" x14ac:dyDescent="0.3">
      <c r="A5673" t="s">
        <v>788</v>
      </c>
      <c r="B5673" t="s">
        <v>11946</v>
      </c>
      <c r="C5673" t="s">
        <v>10425</v>
      </c>
      <c r="D5673" t="s">
        <v>11945</v>
      </c>
      <c r="E5673" t="s">
        <v>774</v>
      </c>
    </row>
    <row r="5674" spans="1:5" x14ac:dyDescent="0.3">
      <c r="A5674" t="s">
        <v>233</v>
      </c>
      <c r="B5674" t="s">
        <v>11947</v>
      </c>
      <c r="C5674" t="s">
        <v>862</v>
      </c>
      <c r="D5674" t="s">
        <v>906</v>
      </c>
      <c r="E5674" t="s">
        <v>1</v>
      </c>
    </row>
    <row r="5675" spans="1:5" x14ac:dyDescent="0.3">
      <c r="A5675" t="s">
        <v>5004</v>
      </c>
      <c r="B5675" t="s">
        <v>11949</v>
      </c>
      <c r="C5675" t="s">
        <v>11948</v>
      </c>
      <c r="D5675" t="s">
        <v>906</v>
      </c>
      <c r="E5675" t="s">
        <v>1</v>
      </c>
    </row>
    <row r="5676" spans="1:5" x14ac:dyDescent="0.3">
      <c r="A5676" t="s">
        <v>1212</v>
      </c>
      <c r="B5676" t="s">
        <v>287</v>
      </c>
      <c r="C5676" t="s">
        <v>9218</v>
      </c>
    </row>
    <row r="5677" spans="1:5" x14ac:dyDescent="0.3">
      <c r="A5677" t="s">
        <v>44</v>
      </c>
      <c r="B5677" t="s">
        <v>4919</v>
      </c>
      <c r="C5677" t="s">
        <v>461</v>
      </c>
      <c r="D5677" t="s">
        <v>7740</v>
      </c>
      <c r="E5677" t="s">
        <v>75</v>
      </c>
    </row>
    <row r="5678" spans="1:5" x14ac:dyDescent="0.3">
      <c r="A5678" t="s">
        <v>116</v>
      </c>
      <c r="B5678" t="s">
        <v>6681</v>
      </c>
      <c r="C5678" t="s">
        <v>11950</v>
      </c>
      <c r="D5678" t="s">
        <v>8151</v>
      </c>
      <c r="E5678" t="s">
        <v>774</v>
      </c>
    </row>
    <row r="5679" spans="1:5" x14ac:dyDescent="0.3">
      <c r="A5679" t="s">
        <v>50</v>
      </c>
      <c r="B5679" t="s">
        <v>11952</v>
      </c>
      <c r="C5679" t="s">
        <v>457</v>
      </c>
      <c r="D5679" t="s">
        <v>11951</v>
      </c>
      <c r="E5679" t="s">
        <v>774</v>
      </c>
    </row>
    <row r="5680" spans="1:5" x14ac:dyDescent="0.3">
      <c r="A5680" t="s">
        <v>3224</v>
      </c>
      <c r="B5680" t="s">
        <v>4785</v>
      </c>
      <c r="C5680" t="s">
        <v>5532</v>
      </c>
      <c r="D5680" t="s">
        <v>4004</v>
      </c>
      <c r="E5680" t="s">
        <v>774</v>
      </c>
    </row>
    <row r="5681" spans="1:5" x14ac:dyDescent="0.3">
      <c r="A5681" t="s">
        <v>298</v>
      </c>
      <c r="B5681" t="s">
        <v>11953</v>
      </c>
      <c r="C5681" t="s">
        <v>461</v>
      </c>
      <c r="D5681" t="s">
        <v>4004</v>
      </c>
      <c r="E5681" t="s">
        <v>774</v>
      </c>
    </row>
    <row r="5682" spans="1:5" x14ac:dyDescent="0.3">
      <c r="A5682" t="s">
        <v>3415</v>
      </c>
      <c r="B5682" t="s">
        <v>822</v>
      </c>
      <c r="C5682" t="s">
        <v>11954</v>
      </c>
      <c r="D5682" t="s">
        <v>3710</v>
      </c>
      <c r="E5682" t="s">
        <v>761</v>
      </c>
    </row>
    <row r="5683" spans="1:5" x14ac:dyDescent="0.3">
      <c r="A5683" t="s">
        <v>3070</v>
      </c>
      <c r="B5683" t="s">
        <v>1535</v>
      </c>
      <c r="C5683" t="s">
        <v>11956</v>
      </c>
      <c r="D5683" t="s">
        <v>11955</v>
      </c>
      <c r="E5683" t="s">
        <v>774</v>
      </c>
    </row>
    <row r="5684" spans="1:5" x14ac:dyDescent="0.3">
      <c r="A5684" t="s">
        <v>2804</v>
      </c>
      <c r="B5684" t="s">
        <v>11958</v>
      </c>
      <c r="C5684" t="s">
        <v>11825</v>
      </c>
      <c r="D5684" t="s">
        <v>11957</v>
      </c>
      <c r="E5684" t="s">
        <v>774</v>
      </c>
    </row>
    <row r="5685" spans="1:5" x14ac:dyDescent="0.3">
      <c r="A5685" t="s">
        <v>2890</v>
      </c>
      <c r="B5685" t="s">
        <v>11961</v>
      </c>
      <c r="C5685" t="s">
        <v>11960</v>
      </c>
      <c r="D5685" t="s">
        <v>11959</v>
      </c>
      <c r="E5685" t="s">
        <v>774</v>
      </c>
    </row>
    <row r="5686" spans="1:5" x14ac:dyDescent="0.3">
      <c r="A5686" t="s">
        <v>209</v>
      </c>
      <c r="B5686" t="s">
        <v>4178</v>
      </c>
      <c r="C5686" t="s">
        <v>461</v>
      </c>
      <c r="D5686" t="s">
        <v>11962</v>
      </c>
      <c r="E5686" t="s">
        <v>774</v>
      </c>
    </row>
    <row r="5687" spans="1:5" x14ac:dyDescent="0.3">
      <c r="A5687" t="s">
        <v>1212</v>
      </c>
      <c r="B5687" t="s">
        <v>3661</v>
      </c>
      <c r="C5687" t="s">
        <v>518</v>
      </c>
      <c r="D5687" t="s">
        <v>2741</v>
      </c>
      <c r="E5687" t="s">
        <v>841</v>
      </c>
    </row>
    <row r="5688" spans="1:5" x14ac:dyDescent="0.3">
      <c r="A5688" t="s">
        <v>2584</v>
      </c>
      <c r="B5688" t="s">
        <v>1242</v>
      </c>
      <c r="C5688" t="s">
        <v>461</v>
      </c>
      <c r="D5688" t="s">
        <v>11963</v>
      </c>
      <c r="E5688" t="s">
        <v>774</v>
      </c>
    </row>
    <row r="5689" spans="1:5" x14ac:dyDescent="0.3">
      <c r="A5689" t="s">
        <v>1559</v>
      </c>
      <c r="B5689" t="s">
        <v>11965</v>
      </c>
      <c r="C5689" t="s">
        <v>11964</v>
      </c>
      <c r="D5689" t="s">
        <v>769</v>
      </c>
      <c r="E5689" t="s">
        <v>1</v>
      </c>
    </row>
    <row r="5690" spans="1:5" x14ac:dyDescent="0.3">
      <c r="A5690" t="s">
        <v>1887</v>
      </c>
      <c r="B5690" t="s">
        <v>131</v>
      </c>
      <c r="C5690" t="s">
        <v>518</v>
      </c>
      <c r="D5690" t="s">
        <v>763</v>
      </c>
      <c r="E5690" t="s">
        <v>1</v>
      </c>
    </row>
    <row r="5691" spans="1:5" x14ac:dyDescent="0.3">
      <c r="A5691" t="s">
        <v>3926</v>
      </c>
      <c r="B5691" t="s">
        <v>11967</v>
      </c>
      <c r="C5691" t="s">
        <v>11966</v>
      </c>
      <c r="D5691" t="s">
        <v>763</v>
      </c>
      <c r="E5691" t="s">
        <v>1</v>
      </c>
    </row>
    <row r="5692" spans="1:5" x14ac:dyDescent="0.3">
      <c r="A5692" t="s">
        <v>27</v>
      </c>
      <c r="B5692" t="s">
        <v>2974</v>
      </c>
      <c r="C5692" t="s">
        <v>455</v>
      </c>
      <c r="D5692" t="s">
        <v>5160</v>
      </c>
      <c r="E5692" t="s">
        <v>781</v>
      </c>
    </row>
    <row r="5693" spans="1:5" x14ac:dyDescent="0.3">
      <c r="A5693" t="s">
        <v>2768</v>
      </c>
      <c r="B5693" t="s">
        <v>946</v>
      </c>
      <c r="C5693" t="s">
        <v>862</v>
      </c>
      <c r="D5693" t="s">
        <v>763</v>
      </c>
      <c r="E5693" t="s">
        <v>1</v>
      </c>
    </row>
    <row r="5694" spans="1:5" x14ac:dyDescent="0.3">
      <c r="A5694" t="s">
        <v>3220</v>
      </c>
      <c r="B5694" t="s">
        <v>11969</v>
      </c>
      <c r="C5694" t="s">
        <v>461</v>
      </c>
      <c r="D5694" t="s">
        <v>11968</v>
      </c>
      <c r="E5694" t="s">
        <v>75</v>
      </c>
    </row>
    <row r="5695" spans="1:5" x14ac:dyDescent="0.3">
      <c r="A5695" t="s">
        <v>2584</v>
      </c>
      <c r="B5695" t="s">
        <v>2641</v>
      </c>
      <c r="C5695" t="s">
        <v>970</v>
      </c>
      <c r="D5695" t="s">
        <v>787</v>
      </c>
      <c r="E5695" t="s">
        <v>1</v>
      </c>
    </row>
    <row r="5696" spans="1:5" x14ac:dyDescent="0.3">
      <c r="A5696" t="s">
        <v>20</v>
      </c>
      <c r="B5696" t="s">
        <v>196</v>
      </c>
      <c r="C5696" t="s">
        <v>11970</v>
      </c>
      <c r="D5696" t="s">
        <v>3901</v>
      </c>
      <c r="E5696" t="s">
        <v>1</v>
      </c>
    </row>
    <row r="5697" spans="1:5" x14ac:dyDescent="0.3">
      <c r="A5697" t="s">
        <v>3291</v>
      </c>
      <c r="B5697" t="s">
        <v>1069</v>
      </c>
      <c r="C5697" t="s">
        <v>10701</v>
      </c>
      <c r="D5697" t="s">
        <v>11971</v>
      </c>
      <c r="E5697" t="s">
        <v>75</v>
      </c>
    </row>
    <row r="5698" spans="1:5" x14ac:dyDescent="0.3">
      <c r="A5698" t="s">
        <v>41</v>
      </c>
      <c r="B5698" t="s">
        <v>11973</v>
      </c>
      <c r="C5698" t="s">
        <v>11972</v>
      </c>
      <c r="D5698" t="s">
        <v>3874</v>
      </c>
      <c r="E5698" t="s">
        <v>75</v>
      </c>
    </row>
    <row r="5699" spans="1:5" x14ac:dyDescent="0.3">
      <c r="A5699" t="s">
        <v>182</v>
      </c>
      <c r="B5699" t="s">
        <v>11974</v>
      </c>
      <c r="C5699" t="s">
        <v>455</v>
      </c>
      <c r="D5699" t="s">
        <v>3870</v>
      </c>
      <c r="E5699" t="s">
        <v>897</v>
      </c>
    </row>
    <row r="5700" spans="1:5" x14ac:dyDescent="0.3">
      <c r="A5700" t="s">
        <v>11976</v>
      </c>
      <c r="B5700" t="s">
        <v>1213</v>
      </c>
      <c r="C5700" t="s">
        <v>4460</v>
      </c>
      <c r="D5700" t="s">
        <v>11975</v>
      </c>
      <c r="E5700" t="s">
        <v>774</v>
      </c>
    </row>
    <row r="5701" spans="1:5" x14ac:dyDescent="0.3">
      <c r="A5701" t="s">
        <v>190</v>
      </c>
      <c r="B5701" t="s">
        <v>4993</v>
      </c>
      <c r="C5701" t="s">
        <v>454</v>
      </c>
      <c r="D5701" t="s">
        <v>11977</v>
      </c>
      <c r="E5701" t="s">
        <v>774</v>
      </c>
    </row>
    <row r="5702" spans="1:5" x14ac:dyDescent="0.3">
      <c r="A5702" t="s">
        <v>864</v>
      </c>
      <c r="B5702" t="s">
        <v>50</v>
      </c>
      <c r="C5702" t="s">
        <v>461</v>
      </c>
      <c r="D5702" t="s">
        <v>11978</v>
      </c>
      <c r="E5702" t="s">
        <v>774</v>
      </c>
    </row>
    <row r="5703" spans="1:5" x14ac:dyDescent="0.3">
      <c r="A5703" t="s">
        <v>931</v>
      </c>
      <c r="B5703" t="s">
        <v>2879</v>
      </c>
      <c r="C5703" t="s">
        <v>7998</v>
      </c>
      <c r="D5703" t="s">
        <v>11979</v>
      </c>
      <c r="E5703" t="s">
        <v>774</v>
      </c>
    </row>
    <row r="5704" spans="1:5" x14ac:dyDescent="0.3">
      <c r="A5704" t="s">
        <v>11982</v>
      </c>
      <c r="B5704" t="s">
        <v>11984</v>
      </c>
      <c r="C5704" t="s">
        <v>11983</v>
      </c>
      <c r="D5704" t="s">
        <v>11981</v>
      </c>
      <c r="E5704" t="s">
        <v>774</v>
      </c>
    </row>
    <row r="5705" spans="1:5" x14ac:dyDescent="0.3">
      <c r="A5705" t="s">
        <v>6838</v>
      </c>
      <c r="B5705" t="s">
        <v>11985</v>
      </c>
      <c r="C5705" t="s">
        <v>451</v>
      </c>
      <c r="D5705" t="s">
        <v>6561</v>
      </c>
      <c r="E5705" t="s">
        <v>75</v>
      </c>
    </row>
    <row r="5706" spans="1:5" x14ac:dyDescent="0.3">
      <c r="A5706" t="s">
        <v>92</v>
      </c>
      <c r="B5706" t="s">
        <v>93</v>
      </c>
      <c r="C5706" t="s">
        <v>94</v>
      </c>
      <c r="D5706" t="s">
        <v>3776</v>
      </c>
      <c r="E5706" t="s">
        <v>781</v>
      </c>
    </row>
    <row r="5707" spans="1:5" x14ac:dyDescent="0.3">
      <c r="A5707" t="s">
        <v>182</v>
      </c>
      <c r="B5707" t="s">
        <v>2008</v>
      </c>
      <c r="C5707" t="s">
        <v>518</v>
      </c>
      <c r="D5707" t="s">
        <v>3776</v>
      </c>
      <c r="E5707" t="s">
        <v>781</v>
      </c>
    </row>
    <row r="5708" spans="1:5" x14ac:dyDescent="0.3">
      <c r="A5708" t="s">
        <v>1212</v>
      </c>
      <c r="B5708" t="s">
        <v>11987</v>
      </c>
      <c r="C5708" t="s">
        <v>11986</v>
      </c>
      <c r="D5708" t="s">
        <v>3759</v>
      </c>
      <c r="E5708" t="s">
        <v>1</v>
      </c>
    </row>
    <row r="5709" spans="1:5" x14ac:dyDescent="0.3">
      <c r="A5709" t="s">
        <v>11989</v>
      </c>
      <c r="B5709" t="s">
        <v>3587</v>
      </c>
      <c r="C5709" t="s">
        <v>745</v>
      </c>
      <c r="D5709" t="s">
        <v>11988</v>
      </c>
      <c r="E5709" t="s">
        <v>774</v>
      </c>
    </row>
    <row r="5710" spans="1:5" x14ac:dyDescent="0.3">
      <c r="A5710" t="s">
        <v>182</v>
      </c>
      <c r="B5710" t="s">
        <v>5911</v>
      </c>
      <c r="C5710" t="s">
        <v>456</v>
      </c>
      <c r="D5710" t="s">
        <v>11990</v>
      </c>
      <c r="E5710" t="s">
        <v>774</v>
      </c>
    </row>
    <row r="5711" spans="1:5" x14ac:dyDescent="0.3">
      <c r="A5711" t="s">
        <v>160</v>
      </c>
      <c r="B5711" t="s">
        <v>11992</v>
      </c>
      <c r="C5711" t="s">
        <v>460</v>
      </c>
      <c r="D5711" t="s">
        <v>11991</v>
      </c>
      <c r="E5711" t="s">
        <v>75</v>
      </c>
    </row>
    <row r="5712" spans="1:5" x14ac:dyDescent="0.3">
      <c r="A5712" t="s">
        <v>11993</v>
      </c>
      <c r="B5712" t="s">
        <v>11995</v>
      </c>
      <c r="C5712" t="s">
        <v>11994</v>
      </c>
      <c r="D5712" t="s">
        <v>1246</v>
      </c>
      <c r="E5712" t="s">
        <v>1</v>
      </c>
    </row>
    <row r="5713" spans="1:5" x14ac:dyDescent="0.3">
      <c r="A5713" t="s">
        <v>27</v>
      </c>
      <c r="B5713" t="s">
        <v>199</v>
      </c>
      <c r="C5713" t="s">
        <v>1584</v>
      </c>
      <c r="D5713" t="s">
        <v>943</v>
      </c>
      <c r="E5713" t="s">
        <v>1</v>
      </c>
    </row>
    <row r="5714" spans="1:5" x14ac:dyDescent="0.3">
      <c r="A5714" t="s">
        <v>11996</v>
      </c>
      <c r="B5714" t="s">
        <v>11997</v>
      </c>
      <c r="C5714" t="s">
        <v>862</v>
      </c>
      <c r="D5714" t="s">
        <v>943</v>
      </c>
      <c r="E5714" t="s">
        <v>1</v>
      </c>
    </row>
    <row r="5715" spans="1:5" x14ac:dyDescent="0.3">
      <c r="A5715" t="s">
        <v>3650</v>
      </c>
      <c r="B5715" t="s">
        <v>3363</v>
      </c>
      <c r="C5715" t="s">
        <v>11998</v>
      </c>
      <c r="D5715" t="s">
        <v>943</v>
      </c>
      <c r="E5715" t="s">
        <v>1</v>
      </c>
    </row>
    <row r="5716" spans="1:5" x14ac:dyDescent="0.3">
      <c r="A5716" t="s">
        <v>2543</v>
      </c>
      <c r="B5716" t="s">
        <v>11999</v>
      </c>
      <c r="C5716" t="s">
        <v>862</v>
      </c>
      <c r="D5716" t="s">
        <v>2533</v>
      </c>
      <c r="E5716" t="s">
        <v>1316</v>
      </c>
    </row>
    <row r="5717" spans="1:5" x14ac:dyDescent="0.3">
      <c r="A5717" t="s">
        <v>286</v>
      </c>
      <c r="B5717" t="s">
        <v>12000</v>
      </c>
      <c r="C5717" t="s">
        <v>460</v>
      </c>
      <c r="D5717" t="s">
        <v>9425</v>
      </c>
      <c r="E5717" t="s">
        <v>75</v>
      </c>
    </row>
    <row r="5718" spans="1:5" x14ac:dyDescent="0.3">
      <c r="A5718" t="s">
        <v>177</v>
      </c>
      <c r="B5718" t="s">
        <v>12002</v>
      </c>
      <c r="C5718" t="s">
        <v>461</v>
      </c>
      <c r="D5718" t="s">
        <v>12001</v>
      </c>
      <c r="E5718" t="s">
        <v>774</v>
      </c>
    </row>
    <row r="5719" spans="1:5" x14ac:dyDescent="0.3">
      <c r="A5719" t="s">
        <v>130</v>
      </c>
      <c r="B5719" t="s">
        <v>2813</v>
      </c>
      <c r="C5719" t="s">
        <v>12004</v>
      </c>
      <c r="D5719" t="s">
        <v>12003</v>
      </c>
      <c r="E5719" t="s">
        <v>774</v>
      </c>
    </row>
    <row r="5720" spans="1:5" x14ac:dyDescent="0.3">
      <c r="A5720" t="s">
        <v>190</v>
      </c>
      <c r="B5720" t="s">
        <v>5324</v>
      </c>
      <c r="C5720" t="s">
        <v>12005</v>
      </c>
    </row>
    <row r="5721" spans="1:5" x14ac:dyDescent="0.3">
      <c r="A5721" t="s">
        <v>1267</v>
      </c>
      <c r="B5721" t="s">
        <v>1108</v>
      </c>
      <c r="C5721" t="s">
        <v>12006</v>
      </c>
      <c r="D5721" t="s">
        <v>1303</v>
      </c>
      <c r="E5721" t="s">
        <v>761</v>
      </c>
    </row>
    <row r="5722" spans="1:5" x14ac:dyDescent="0.3">
      <c r="A5722" t="s">
        <v>4066</v>
      </c>
      <c r="B5722" t="s">
        <v>12008</v>
      </c>
      <c r="C5722" t="s">
        <v>4645</v>
      </c>
      <c r="D5722" t="s">
        <v>12007</v>
      </c>
      <c r="E5722" t="s">
        <v>758</v>
      </c>
    </row>
    <row r="5723" spans="1:5" x14ac:dyDescent="0.3">
      <c r="A5723" t="s">
        <v>12010</v>
      </c>
      <c r="B5723" t="s">
        <v>12011</v>
      </c>
      <c r="C5723" t="s">
        <v>698</v>
      </c>
      <c r="D5723" t="s">
        <v>12009</v>
      </c>
      <c r="E5723" t="s">
        <v>758</v>
      </c>
    </row>
    <row r="5724" spans="1:5" x14ac:dyDescent="0.3">
      <c r="A5724" t="s">
        <v>2516</v>
      </c>
      <c r="B5724" t="s">
        <v>4481</v>
      </c>
      <c r="C5724" t="s">
        <v>6394</v>
      </c>
      <c r="D5724" t="s">
        <v>4911</v>
      </c>
      <c r="E5724" t="s">
        <v>741</v>
      </c>
    </row>
    <row r="5725" spans="1:5" x14ac:dyDescent="0.3">
      <c r="A5725" t="s">
        <v>3124</v>
      </c>
      <c r="B5725" t="s">
        <v>1351</v>
      </c>
      <c r="C5725" t="s">
        <v>720</v>
      </c>
      <c r="D5725" t="s">
        <v>3598</v>
      </c>
      <c r="E5725" t="s">
        <v>758</v>
      </c>
    </row>
    <row r="5726" spans="1:5" x14ac:dyDescent="0.3">
      <c r="A5726" t="s">
        <v>12013</v>
      </c>
      <c r="B5726" t="s">
        <v>12014</v>
      </c>
      <c r="C5726" t="s">
        <v>745</v>
      </c>
      <c r="D5726" t="s">
        <v>12012</v>
      </c>
      <c r="E5726" t="s">
        <v>774</v>
      </c>
    </row>
    <row r="5727" spans="1:5" x14ac:dyDescent="0.3">
      <c r="A5727" t="s">
        <v>1215</v>
      </c>
      <c r="B5727" t="s">
        <v>4572</v>
      </c>
      <c r="C5727" t="s">
        <v>718</v>
      </c>
      <c r="D5727" t="s">
        <v>6630</v>
      </c>
      <c r="E5727" t="s">
        <v>761</v>
      </c>
    </row>
    <row r="5728" spans="1:5" x14ac:dyDescent="0.3">
      <c r="A5728" t="s">
        <v>1380</v>
      </c>
      <c r="B5728" t="s">
        <v>9277</v>
      </c>
      <c r="C5728" t="s">
        <v>720</v>
      </c>
      <c r="D5728" t="s">
        <v>7509</v>
      </c>
      <c r="E5728" t="s">
        <v>75</v>
      </c>
    </row>
    <row r="5729" spans="1:5" x14ac:dyDescent="0.3">
      <c r="A5729" t="s">
        <v>181</v>
      </c>
      <c r="B5729" t="s">
        <v>12016</v>
      </c>
      <c r="C5729" t="s">
        <v>457</v>
      </c>
      <c r="D5729" t="s">
        <v>12015</v>
      </c>
      <c r="E5729" t="s">
        <v>774</v>
      </c>
    </row>
    <row r="5730" spans="1:5" x14ac:dyDescent="0.3">
      <c r="A5730" t="s">
        <v>177</v>
      </c>
      <c r="B5730" t="s">
        <v>12018</v>
      </c>
      <c r="C5730" t="s">
        <v>455</v>
      </c>
      <c r="D5730" t="s">
        <v>12017</v>
      </c>
      <c r="E5730" t="s">
        <v>774</v>
      </c>
    </row>
    <row r="5731" spans="1:5" x14ac:dyDescent="0.3">
      <c r="A5731" t="s">
        <v>82</v>
      </c>
      <c r="B5731" t="s">
        <v>4584</v>
      </c>
      <c r="C5731" t="s">
        <v>457</v>
      </c>
      <c r="D5731" t="s">
        <v>12019</v>
      </c>
      <c r="E5731" t="s">
        <v>758</v>
      </c>
    </row>
    <row r="5732" spans="1:5" x14ac:dyDescent="0.3">
      <c r="A5732" t="s">
        <v>1460</v>
      </c>
      <c r="B5732" t="s">
        <v>1420</v>
      </c>
      <c r="C5732" t="s">
        <v>12020</v>
      </c>
      <c r="D5732" t="s">
        <v>768</v>
      </c>
      <c r="E5732" t="s">
        <v>1</v>
      </c>
    </row>
    <row r="5733" spans="1:5" x14ac:dyDescent="0.3">
      <c r="A5733" t="s">
        <v>4928</v>
      </c>
      <c r="B5733" t="s">
        <v>12022</v>
      </c>
      <c r="C5733" t="s">
        <v>12021</v>
      </c>
      <c r="D5733" t="s">
        <v>769</v>
      </c>
      <c r="E5733" t="s">
        <v>1</v>
      </c>
    </row>
    <row r="5734" spans="1:5" x14ac:dyDescent="0.3">
      <c r="A5734" t="s">
        <v>2574</v>
      </c>
      <c r="B5734" t="s">
        <v>380</v>
      </c>
      <c r="C5734" t="s">
        <v>12023</v>
      </c>
      <c r="D5734" t="s">
        <v>769</v>
      </c>
      <c r="E5734" t="s">
        <v>1</v>
      </c>
    </row>
    <row r="5735" spans="1:5" x14ac:dyDescent="0.3">
      <c r="A5735" t="s">
        <v>12024</v>
      </c>
      <c r="B5735" t="s">
        <v>362</v>
      </c>
      <c r="C5735" t="s">
        <v>862</v>
      </c>
      <c r="D5735" t="s">
        <v>769</v>
      </c>
      <c r="E5735" t="s">
        <v>1</v>
      </c>
    </row>
    <row r="5736" spans="1:5" x14ac:dyDescent="0.3">
      <c r="A5736" t="s">
        <v>157</v>
      </c>
      <c r="B5736" t="s">
        <v>3347</v>
      </c>
      <c r="C5736" t="s">
        <v>12025</v>
      </c>
      <c r="D5736" t="s">
        <v>769</v>
      </c>
      <c r="E5736" t="s">
        <v>1</v>
      </c>
    </row>
    <row r="5737" spans="1:5" x14ac:dyDescent="0.3">
      <c r="A5737" t="s">
        <v>38</v>
      </c>
      <c r="B5737" t="s">
        <v>10889</v>
      </c>
      <c r="C5737" t="s">
        <v>862</v>
      </c>
      <c r="D5737" t="s">
        <v>769</v>
      </c>
      <c r="E5737" t="s">
        <v>1</v>
      </c>
    </row>
    <row r="5738" spans="1:5" x14ac:dyDescent="0.3">
      <c r="A5738" t="s">
        <v>12026</v>
      </c>
      <c r="B5738" t="s">
        <v>1177</v>
      </c>
      <c r="C5738" t="s">
        <v>518</v>
      </c>
      <c r="D5738" t="s">
        <v>769</v>
      </c>
      <c r="E5738" t="s">
        <v>1</v>
      </c>
    </row>
    <row r="5739" spans="1:5" x14ac:dyDescent="0.3">
      <c r="A5739" t="s">
        <v>177</v>
      </c>
      <c r="B5739" t="s">
        <v>12028</v>
      </c>
      <c r="C5739" t="s">
        <v>12027</v>
      </c>
      <c r="D5739" t="s">
        <v>769</v>
      </c>
      <c r="E5739" t="s">
        <v>1</v>
      </c>
    </row>
    <row r="5740" spans="1:5" x14ac:dyDescent="0.3">
      <c r="A5740" t="s">
        <v>12029</v>
      </c>
      <c r="B5740" t="s">
        <v>12031</v>
      </c>
      <c r="C5740" t="s">
        <v>12030</v>
      </c>
      <c r="D5740" t="s">
        <v>3183</v>
      </c>
      <c r="E5740" t="s">
        <v>2175</v>
      </c>
    </row>
    <row r="5741" spans="1:5" x14ac:dyDescent="0.3">
      <c r="A5741" t="s">
        <v>132</v>
      </c>
      <c r="B5741" t="s">
        <v>7690</v>
      </c>
      <c r="C5741" t="s">
        <v>467</v>
      </c>
      <c r="D5741" t="s">
        <v>7755</v>
      </c>
      <c r="E5741" t="s">
        <v>75</v>
      </c>
    </row>
    <row r="5742" spans="1:5" x14ac:dyDescent="0.3">
      <c r="A5742" t="s">
        <v>826</v>
      </c>
      <c r="B5742" t="s">
        <v>12033</v>
      </c>
      <c r="C5742" t="s">
        <v>3555</v>
      </c>
      <c r="D5742" t="s">
        <v>12032</v>
      </c>
      <c r="E5742" t="s">
        <v>774</v>
      </c>
    </row>
    <row r="5743" spans="1:5" x14ac:dyDescent="0.3">
      <c r="A5743" t="s">
        <v>12035</v>
      </c>
      <c r="B5743" t="s">
        <v>12036</v>
      </c>
      <c r="C5743" t="s">
        <v>457</v>
      </c>
      <c r="D5743" t="s">
        <v>12034</v>
      </c>
      <c r="E5743" t="s">
        <v>774</v>
      </c>
    </row>
    <row r="5744" spans="1:5" x14ac:dyDescent="0.3">
      <c r="A5744" t="s">
        <v>12038</v>
      </c>
      <c r="B5744" t="s">
        <v>12039</v>
      </c>
      <c r="C5744" t="s">
        <v>8024</v>
      </c>
      <c r="D5744" t="s">
        <v>12037</v>
      </c>
      <c r="E5744" t="s">
        <v>774</v>
      </c>
    </row>
    <row r="5745" spans="1:5" x14ac:dyDescent="0.3">
      <c r="A5745" t="s">
        <v>12040</v>
      </c>
      <c r="B5745" t="s">
        <v>3424</v>
      </c>
      <c r="C5745" t="s">
        <v>455</v>
      </c>
      <c r="D5745" t="s">
        <v>3154</v>
      </c>
      <c r="E5745" t="s">
        <v>75</v>
      </c>
    </row>
    <row r="5746" spans="1:5" x14ac:dyDescent="0.3">
      <c r="A5746" t="s">
        <v>399</v>
      </c>
      <c r="B5746" t="s">
        <v>1203</v>
      </c>
      <c r="C5746" t="s">
        <v>12041</v>
      </c>
      <c r="D5746" t="s">
        <v>6040</v>
      </c>
      <c r="E5746" t="s">
        <v>774</v>
      </c>
    </row>
    <row r="5747" spans="1:5" x14ac:dyDescent="0.3">
      <c r="A5747" t="s">
        <v>3930</v>
      </c>
      <c r="B5747" t="s">
        <v>4923</v>
      </c>
      <c r="C5747" t="s">
        <v>5906</v>
      </c>
      <c r="D5747" t="s">
        <v>12042</v>
      </c>
      <c r="E5747" t="s">
        <v>774</v>
      </c>
    </row>
    <row r="5748" spans="1:5" x14ac:dyDescent="0.3">
      <c r="A5748" t="s">
        <v>1031</v>
      </c>
      <c r="B5748" t="s">
        <v>3317</v>
      </c>
      <c r="C5748" t="s">
        <v>461</v>
      </c>
      <c r="D5748" t="s">
        <v>12043</v>
      </c>
      <c r="E5748" t="s">
        <v>774</v>
      </c>
    </row>
    <row r="5749" spans="1:5" x14ac:dyDescent="0.3">
      <c r="A5749" t="s">
        <v>7522</v>
      </c>
      <c r="B5749" t="s">
        <v>12044</v>
      </c>
      <c r="C5749" t="s">
        <v>698</v>
      </c>
      <c r="D5749" t="s">
        <v>7340</v>
      </c>
      <c r="E5749" t="s">
        <v>75</v>
      </c>
    </row>
    <row r="5750" spans="1:5" x14ac:dyDescent="0.3">
      <c r="A5750" t="s">
        <v>411</v>
      </c>
      <c r="B5750" t="s">
        <v>12046</v>
      </c>
      <c r="C5750" t="s">
        <v>698</v>
      </c>
      <c r="D5750" t="s">
        <v>12045</v>
      </c>
      <c r="E5750" t="s">
        <v>774</v>
      </c>
    </row>
    <row r="5751" spans="1:5" x14ac:dyDescent="0.3">
      <c r="A5751" t="s">
        <v>2327</v>
      </c>
      <c r="B5751" t="s">
        <v>12048</v>
      </c>
      <c r="C5751" t="s">
        <v>461</v>
      </c>
      <c r="D5751" t="s">
        <v>12047</v>
      </c>
      <c r="E5751" t="s">
        <v>774</v>
      </c>
    </row>
    <row r="5752" spans="1:5" x14ac:dyDescent="0.3">
      <c r="A5752" t="s">
        <v>12049</v>
      </c>
      <c r="B5752" t="s">
        <v>1292</v>
      </c>
      <c r="C5752" t="s">
        <v>518</v>
      </c>
      <c r="D5752" t="s">
        <v>3123</v>
      </c>
      <c r="E5752" t="s">
        <v>781</v>
      </c>
    </row>
    <row r="5753" spans="1:5" x14ac:dyDescent="0.3">
      <c r="A5753" t="s">
        <v>12050</v>
      </c>
      <c r="B5753" t="s">
        <v>12052</v>
      </c>
      <c r="C5753" t="s">
        <v>12051</v>
      </c>
      <c r="D5753" t="s">
        <v>2313</v>
      </c>
      <c r="E5753" t="s">
        <v>741</v>
      </c>
    </row>
    <row r="5754" spans="1:5" x14ac:dyDescent="0.3">
      <c r="A5754" t="s">
        <v>3375</v>
      </c>
      <c r="B5754" t="s">
        <v>3376</v>
      </c>
      <c r="C5754" t="s">
        <v>4382</v>
      </c>
      <c r="D5754" t="s">
        <v>12053</v>
      </c>
      <c r="E5754" t="s">
        <v>774</v>
      </c>
    </row>
    <row r="5755" spans="1:5" x14ac:dyDescent="0.3">
      <c r="A5755" t="s">
        <v>1373</v>
      </c>
      <c r="B5755" t="s">
        <v>2834</v>
      </c>
      <c r="C5755" t="s">
        <v>457</v>
      </c>
      <c r="D5755" t="s">
        <v>12054</v>
      </c>
      <c r="E5755" t="s">
        <v>774</v>
      </c>
    </row>
    <row r="5756" spans="1:5" x14ac:dyDescent="0.3">
      <c r="A5756" t="s">
        <v>2727</v>
      </c>
      <c r="B5756" t="s">
        <v>1098</v>
      </c>
      <c r="C5756" t="s">
        <v>698</v>
      </c>
      <c r="D5756" t="s">
        <v>1807</v>
      </c>
      <c r="E5756" t="s">
        <v>897</v>
      </c>
    </row>
    <row r="5757" spans="1:5" x14ac:dyDescent="0.3">
      <c r="A5757" t="s">
        <v>4905</v>
      </c>
      <c r="B5757" t="s">
        <v>4150</v>
      </c>
      <c r="C5757" t="s">
        <v>7167</v>
      </c>
      <c r="D5757" t="s">
        <v>947</v>
      </c>
      <c r="E5757" t="s">
        <v>897</v>
      </c>
    </row>
    <row r="5758" spans="1:5" x14ac:dyDescent="0.3">
      <c r="A5758" t="s">
        <v>224</v>
      </c>
      <c r="B5758" t="s">
        <v>12056</v>
      </c>
      <c r="C5758" t="s">
        <v>12055</v>
      </c>
      <c r="D5758" t="s">
        <v>947</v>
      </c>
      <c r="E5758" t="s">
        <v>897</v>
      </c>
    </row>
    <row r="5759" spans="1:5" x14ac:dyDescent="0.3">
      <c r="A5759" t="s">
        <v>3470</v>
      </c>
      <c r="B5759" t="s">
        <v>12058</v>
      </c>
      <c r="C5759" t="s">
        <v>12057</v>
      </c>
      <c r="D5759" t="s">
        <v>947</v>
      </c>
      <c r="E5759" t="s">
        <v>897</v>
      </c>
    </row>
    <row r="5760" spans="1:5" x14ac:dyDescent="0.3">
      <c r="A5760" t="s">
        <v>9306</v>
      </c>
      <c r="B5760" t="s">
        <v>201</v>
      </c>
      <c r="C5760" t="s">
        <v>720</v>
      </c>
      <c r="D5760" t="s">
        <v>12059</v>
      </c>
      <c r="E5760" t="s">
        <v>774</v>
      </c>
    </row>
    <row r="5761" spans="1:5" x14ac:dyDescent="0.3">
      <c r="A5761" t="s">
        <v>1018</v>
      </c>
      <c r="B5761" t="s">
        <v>7379</v>
      </c>
      <c r="C5761" t="s">
        <v>12061</v>
      </c>
      <c r="D5761" t="s">
        <v>12060</v>
      </c>
      <c r="E5761" t="s">
        <v>774</v>
      </c>
    </row>
    <row r="5762" spans="1:5" x14ac:dyDescent="0.3">
      <c r="A5762" t="s">
        <v>36</v>
      </c>
      <c r="B5762" t="s">
        <v>12063</v>
      </c>
      <c r="C5762" t="s">
        <v>12062</v>
      </c>
      <c r="D5762" t="s">
        <v>6185</v>
      </c>
      <c r="E5762" t="s">
        <v>761</v>
      </c>
    </row>
    <row r="5763" spans="1:5" x14ac:dyDescent="0.3">
      <c r="A5763" t="s">
        <v>182</v>
      </c>
      <c r="B5763" t="s">
        <v>12065</v>
      </c>
      <c r="C5763" t="s">
        <v>12064</v>
      </c>
      <c r="D5763" t="s">
        <v>7180</v>
      </c>
      <c r="E5763" t="s">
        <v>75</v>
      </c>
    </row>
    <row r="5764" spans="1:5" x14ac:dyDescent="0.3">
      <c r="A5764" t="s">
        <v>1329</v>
      </c>
      <c r="B5764" t="s">
        <v>348</v>
      </c>
      <c r="C5764" t="s">
        <v>12067</v>
      </c>
      <c r="D5764" t="s">
        <v>833</v>
      </c>
      <c r="E5764" t="s">
        <v>741</v>
      </c>
    </row>
    <row r="5765" spans="1:5" x14ac:dyDescent="0.3">
      <c r="A5765" t="s">
        <v>419</v>
      </c>
      <c r="B5765" t="s">
        <v>12068</v>
      </c>
      <c r="C5765" t="s">
        <v>457</v>
      </c>
      <c r="D5765" t="s">
        <v>3043</v>
      </c>
      <c r="E5765" t="s">
        <v>841</v>
      </c>
    </row>
    <row r="5766" spans="1:5" x14ac:dyDescent="0.3">
      <c r="A5766" t="s">
        <v>282</v>
      </c>
      <c r="B5766" t="s">
        <v>10974</v>
      </c>
      <c r="C5766" t="s">
        <v>12070</v>
      </c>
      <c r="D5766" t="s">
        <v>12069</v>
      </c>
      <c r="E5766" t="s">
        <v>774</v>
      </c>
    </row>
    <row r="5767" spans="1:5" x14ac:dyDescent="0.3">
      <c r="A5767" t="s">
        <v>4141</v>
      </c>
      <c r="B5767" t="s">
        <v>12072</v>
      </c>
      <c r="C5767" t="s">
        <v>461</v>
      </c>
      <c r="D5767" t="s">
        <v>12071</v>
      </c>
      <c r="E5767" t="s">
        <v>774</v>
      </c>
    </row>
    <row r="5768" spans="1:5" x14ac:dyDescent="0.3">
      <c r="A5768" t="s">
        <v>1895</v>
      </c>
      <c r="B5768" t="s">
        <v>1515</v>
      </c>
      <c r="C5768" t="s">
        <v>12074</v>
      </c>
      <c r="D5768" t="s">
        <v>12073</v>
      </c>
      <c r="E5768" t="s">
        <v>774</v>
      </c>
    </row>
    <row r="5769" spans="1:5" x14ac:dyDescent="0.3">
      <c r="A5769" t="s">
        <v>146</v>
      </c>
      <c r="B5769" t="s">
        <v>12076</v>
      </c>
      <c r="C5769" t="s">
        <v>12075</v>
      </c>
      <c r="D5769" t="s">
        <v>3031</v>
      </c>
      <c r="E5769" t="s">
        <v>2175</v>
      </c>
    </row>
    <row r="5770" spans="1:5" x14ac:dyDescent="0.3">
      <c r="A5770" t="s">
        <v>1373</v>
      </c>
      <c r="B5770" t="s">
        <v>2045</v>
      </c>
      <c r="C5770" t="s">
        <v>12077</v>
      </c>
      <c r="D5770" t="s">
        <v>3029</v>
      </c>
      <c r="E5770" t="s">
        <v>897</v>
      </c>
    </row>
    <row r="5771" spans="1:5" x14ac:dyDescent="0.3">
      <c r="A5771" t="s">
        <v>1326</v>
      </c>
      <c r="B5771" t="s">
        <v>12079</v>
      </c>
      <c r="C5771" t="s">
        <v>461</v>
      </c>
      <c r="D5771" t="s">
        <v>12078</v>
      </c>
      <c r="E5771" t="s">
        <v>774</v>
      </c>
    </row>
    <row r="5772" spans="1:5" x14ac:dyDescent="0.3">
      <c r="A5772" t="s">
        <v>2638</v>
      </c>
      <c r="B5772" t="s">
        <v>4609</v>
      </c>
      <c r="C5772" t="s">
        <v>456</v>
      </c>
      <c r="D5772" t="s">
        <v>12080</v>
      </c>
      <c r="E5772" t="s">
        <v>774</v>
      </c>
    </row>
    <row r="5773" spans="1:5" x14ac:dyDescent="0.3">
      <c r="A5773" t="s">
        <v>107</v>
      </c>
      <c r="B5773" t="s">
        <v>1085</v>
      </c>
      <c r="C5773" t="s">
        <v>457</v>
      </c>
      <c r="D5773" t="s">
        <v>12081</v>
      </c>
      <c r="E5773" t="s">
        <v>774</v>
      </c>
    </row>
    <row r="5774" spans="1:5" x14ac:dyDescent="0.3">
      <c r="A5774" t="s">
        <v>224</v>
      </c>
      <c r="B5774" t="s">
        <v>10919</v>
      </c>
      <c r="C5774" t="s">
        <v>12083</v>
      </c>
      <c r="D5774" t="s">
        <v>12082</v>
      </c>
      <c r="E5774" t="s">
        <v>774</v>
      </c>
    </row>
    <row r="5775" spans="1:5" x14ac:dyDescent="0.3">
      <c r="A5775" t="s">
        <v>3092</v>
      </c>
      <c r="B5775" t="s">
        <v>12085</v>
      </c>
      <c r="C5775" t="s">
        <v>5906</v>
      </c>
      <c r="D5775" t="s">
        <v>12084</v>
      </c>
      <c r="E5775" t="s">
        <v>774</v>
      </c>
    </row>
    <row r="5776" spans="1:5" x14ac:dyDescent="0.3">
      <c r="A5776" t="s">
        <v>2259</v>
      </c>
      <c r="B5776" t="s">
        <v>2004</v>
      </c>
      <c r="C5776" t="s">
        <v>455</v>
      </c>
      <c r="D5776" t="s">
        <v>12086</v>
      </c>
      <c r="E5776" t="s">
        <v>774</v>
      </c>
    </row>
    <row r="5777" spans="1:5" x14ac:dyDescent="0.3">
      <c r="A5777" t="s">
        <v>352</v>
      </c>
      <c r="B5777" t="s">
        <v>5689</v>
      </c>
      <c r="C5777" t="s">
        <v>12088</v>
      </c>
      <c r="D5777" t="s">
        <v>7743</v>
      </c>
      <c r="E5777" t="s">
        <v>75</v>
      </c>
    </row>
    <row r="5778" spans="1:5" x14ac:dyDescent="0.3">
      <c r="A5778" t="s">
        <v>65</v>
      </c>
      <c r="B5778" t="s">
        <v>12090</v>
      </c>
      <c r="C5778" t="s">
        <v>12089</v>
      </c>
      <c r="D5778" t="s">
        <v>7743</v>
      </c>
      <c r="E5778" t="s">
        <v>75</v>
      </c>
    </row>
    <row r="5779" spans="1:5" x14ac:dyDescent="0.3">
      <c r="A5779" t="s">
        <v>12091</v>
      </c>
      <c r="B5779" t="s">
        <v>3233</v>
      </c>
      <c r="C5779" t="s">
        <v>12092</v>
      </c>
    </row>
    <row r="5780" spans="1:5" x14ac:dyDescent="0.3">
      <c r="A5780" t="s">
        <v>57</v>
      </c>
      <c r="B5780" t="s">
        <v>12093</v>
      </c>
      <c r="C5780" t="s">
        <v>467</v>
      </c>
      <c r="D5780" t="s">
        <v>12087</v>
      </c>
      <c r="E5780" t="s">
        <v>75</v>
      </c>
    </row>
    <row r="5781" spans="1:5" x14ac:dyDescent="0.3">
      <c r="A5781" t="s">
        <v>1855</v>
      </c>
      <c r="B5781" t="s">
        <v>3459</v>
      </c>
      <c r="C5781" t="s">
        <v>467</v>
      </c>
      <c r="D5781" t="s">
        <v>12094</v>
      </c>
      <c r="E5781" t="s">
        <v>75</v>
      </c>
    </row>
    <row r="5782" spans="1:5" x14ac:dyDescent="0.3">
      <c r="A5782" t="s">
        <v>2072</v>
      </c>
      <c r="B5782" t="s">
        <v>1661</v>
      </c>
      <c r="C5782" t="s">
        <v>862</v>
      </c>
      <c r="D5782" t="s">
        <v>968</v>
      </c>
      <c r="E5782" t="s">
        <v>781</v>
      </c>
    </row>
    <row r="5783" spans="1:5" x14ac:dyDescent="0.3">
      <c r="A5783" t="s">
        <v>1706</v>
      </c>
      <c r="B5783" t="s">
        <v>2987</v>
      </c>
      <c r="C5783" t="s">
        <v>6069</v>
      </c>
      <c r="D5783" t="s">
        <v>8810</v>
      </c>
      <c r="E5783" t="s">
        <v>75</v>
      </c>
    </row>
    <row r="5784" spans="1:5" x14ac:dyDescent="0.3">
      <c r="A5784" t="s">
        <v>12095</v>
      </c>
      <c r="B5784" t="s">
        <v>12096</v>
      </c>
      <c r="C5784" t="s">
        <v>862</v>
      </c>
      <c r="D5784" t="s">
        <v>906</v>
      </c>
      <c r="E5784" t="s">
        <v>1</v>
      </c>
    </row>
    <row r="5785" spans="1:5" x14ac:dyDescent="0.3">
      <c r="A5785" t="s">
        <v>6788</v>
      </c>
      <c r="B5785" t="s">
        <v>8617</v>
      </c>
      <c r="C5785" t="s">
        <v>518</v>
      </c>
      <c r="D5785" t="s">
        <v>10756</v>
      </c>
      <c r="E5785" t="s">
        <v>75</v>
      </c>
    </row>
    <row r="5786" spans="1:5" x14ac:dyDescent="0.3">
      <c r="A5786" t="s">
        <v>41</v>
      </c>
      <c r="B5786" t="s">
        <v>12097</v>
      </c>
      <c r="C5786" t="s">
        <v>456</v>
      </c>
      <c r="D5786" t="s">
        <v>9459</v>
      </c>
      <c r="E5786" t="s">
        <v>75</v>
      </c>
    </row>
    <row r="5787" spans="1:5" x14ac:dyDescent="0.3">
      <c r="A5787" t="s">
        <v>190</v>
      </c>
      <c r="B5787" t="s">
        <v>12099</v>
      </c>
      <c r="C5787" t="s">
        <v>7519</v>
      </c>
      <c r="D5787" t="s">
        <v>12098</v>
      </c>
      <c r="E5787" t="s">
        <v>75</v>
      </c>
    </row>
    <row r="5788" spans="1:5" x14ac:dyDescent="0.3">
      <c r="A5788" t="s">
        <v>12101</v>
      </c>
      <c r="B5788" t="s">
        <v>927</v>
      </c>
      <c r="C5788" t="s">
        <v>467</v>
      </c>
      <c r="D5788" t="s">
        <v>7431</v>
      </c>
      <c r="E5788" t="s">
        <v>75</v>
      </c>
    </row>
    <row r="5789" spans="1:5" x14ac:dyDescent="0.3">
      <c r="A5789" t="s">
        <v>3696</v>
      </c>
      <c r="B5789" t="s">
        <v>12105</v>
      </c>
      <c r="C5789" t="s">
        <v>12104</v>
      </c>
      <c r="D5789" t="s">
        <v>12103</v>
      </c>
      <c r="E5789" t="s">
        <v>774</v>
      </c>
    </row>
    <row r="5790" spans="1:5" x14ac:dyDescent="0.3">
      <c r="A5790" t="s">
        <v>3096</v>
      </c>
      <c r="B5790" t="s">
        <v>4558</v>
      </c>
      <c r="C5790" t="s">
        <v>862</v>
      </c>
      <c r="D5790" t="s">
        <v>883</v>
      </c>
      <c r="E5790" t="s">
        <v>1</v>
      </c>
    </row>
    <row r="5791" spans="1:5" x14ac:dyDescent="0.3">
      <c r="A5791" t="s">
        <v>131</v>
      </c>
      <c r="B5791" t="s">
        <v>12106</v>
      </c>
      <c r="C5791" t="s">
        <v>467</v>
      </c>
      <c r="D5791" t="s">
        <v>9481</v>
      </c>
      <c r="E5791" t="s">
        <v>75</v>
      </c>
    </row>
    <row r="5792" spans="1:5" x14ac:dyDescent="0.3">
      <c r="A5792" t="s">
        <v>1358</v>
      </c>
      <c r="B5792" t="s">
        <v>12107</v>
      </c>
      <c r="C5792" t="s">
        <v>862</v>
      </c>
      <c r="D5792" t="s">
        <v>751</v>
      </c>
      <c r="E5792" t="s">
        <v>1</v>
      </c>
    </row>
    <row r="5793" spans="1:5" x14ac:dyDescent="0.3">
      <c r="A5793" t="s">
        <v>271</v>
      </c>
      <c r="B5793" t="s">
        <v>4838</v>
      </c>
      <c r="C5793" t="s">
        <v>461</v>
      </c>
      <c r="D5793" t="s">
        <v>8105</v>
      </c>
      <c r="E5793" t="s">
        <v>75</v>
      </c>
    </row>
    <row r="5794" spans="1:5" x14ac:dyDescent="0.3">
      <c r="A5794" t="s">
        <v>3132</v>
      </c>
      <c r="B5794" t="s">
        <v>3576</v>
      </c>
      <c r="C5794" t="s">
        <v>456</v>
      </c>
      <c r="D5794" t="s">
        <v>12108</v>
      </c>
      <c r="E5794" t="s">
        <v>774</v>
      </c>
    </row>
    <row r="5795" spans="1:5" x14ac:dyDescent="0.3">
      <c r="A5795" t="s">
        <v>1221</v>
      </c>
      <c r="B5795" t="s">
        <v>12109</v>
      </c>
      <c r="C5795" t="s">
        <v>467</v>
      </c>
      <c r="D5795" t="s">
        <v>1408</v>
      </c>
      <c r="E5795" t="s">
        <v>1</v>
      </c>
    </row>
    <row r="5796" spans="1:5" x14ac:dyDescent="0.3">
      <c r="A5796" t="s">
        <v>12110</v>
      </c>
      <c r="B5796" t="s">
        <v>4802</v>
      </c>
      <c r="C5796" t="s">
        <v>862</v>
      </c>
      <c r="D5796" t="s">
        <v>769</v>
      </c>
      <c r="E5796" t="s">
        <v>1</v>
      </c>
    </row>
    <row r="5797" spans="1:5" x14ac:dyDescent="0.3">
      <c r="A5797" t="s">
        <v>918</v>
      </c>
      <c r="B5797" t="s">
        <v>6056</v>
      </c>
      <c r="C5797" t="s">
        <v>467</v>
      </c>
      <c r="D5797" t="s">
        <v>11020</v>
      </c>
      <c r="E5797" t="s">
        <v>75</v>
      </c>
    </row>
    <row r="5798" spans="1:5" x14ac:dyDescent="0.3">
      <c r="A5798" t="s">
        <v>6349</v>
      </c>
      <c r="B5798" t="s">
        <v>12111</v>
      </c>
      <c r="C5798" t="s">
        <v>862</v>
      </c>
      <c r="D5798" t="s">
        <v>1716</v>
      </c>
      <c r="E5798" t="s">
        <v>741</v>
      </c>
    </row>
    <row r="5799" spans="1:5" x14ac:dyDescent="0.3">
      <c r="A5799" t="s">
        <v>1286</v>
      </c>
      <c r="B5799" t="s">
        <v>1432</v>
      </c>
      <c r="C5799" t="s">
        <v>862</v>
      </c>
      <c r="D5799" t="s">
        <v>751</v>
      </c>
      <c r="E5799" t="s">
        <v>1</v>
      </c>
    </row>
    <row r="5800" spans="1:5" x14ac:dyDescent="0.3">
      <c r="A5800" t="s">
        <v>77</v>
      </c>
      <c r="B5800" t="s">
        <v>12113</v>
      </c>
      <c r="C5800" t="s">
        <v>12112</v>
      </c>
      <c r="D5800" t="s">
        <v>975</v>
      </c>
      <c r="E5800" t="s">
        <v>741</v>
      </c>
    </row>
    <row r="5801" spans="1:5" x14ac:dyDescent="0.3">
      <c r="A5801" t="s">
        <v>12114</v>
      </c>
      <c r="B5801" t="s">
        <v>64</v>
      </c>
      <c r="C5801" t="s">
        <v>12115</v>
      </c>
      <c r="D5801" t="s">
        <v>2816</v>
      </c>
      <c r="E5801" t="s">
        <v>841</v>
      </c>
    </row>
    <row r="5802" spans="1:5" x14ac:dyDescent="0.3">
      <c r="A5802" t="s">
        <v>182</v>
      </c>
      <c r="B5802" t="s">
        <v>12116</v>
      </c>
      <c r="C5802" t="s">
        <v>460</v>
      </c>
      <c r="D5802" t="s">
        <v>8105</v>
      </c>
      <c r="E5802" t="s">
        <v>75</v>
      </c>
    </row>
    <row r="5803" spans="1:5" x14ac:dyDescent="0.3">
      <c r="A5803" t="s">
        <v>12117</v>
      </c>
      <c r="B5803" t="s">
        <v>12118</v>
      </c>
      <c r="C5803" t="s">
        <v>467</v>
      </c>
      <c r="D5803" t="s">
        <v>9508</v>
      </c>
      <c r="E5803" t="s">
        <v>75</v>
      </c>
    </row>
    <row r="5804" spans="1:5" x14ac:dyDescent="0.3">
      <c r="A5804" t="s">
        <v>377</v>
      </c>
      <c r="B5804" t="s">
        <v>378</v>
      </c>
      <c r="C5804" t="s">
        <v>379</v>
      </c>
      <c r="D5804" t="s">
        <v>1509</v>
      </c>
      <c r="E5804" t="s">
        <v>781</v>
      </c>
    </row>
    <row r="5805" spans="1:5" x14ac:dyDescent="0.3">
      <c r="A5805" t="s">
        <v>752</v>
      </c>
      <c r="B5805" t="s">
        <v>12120</v>
      </c>
      <c r="C5805" t="s">
        <v>467</v>
      </c>
      <c r="D5805" t="s">
        <v>12119</v>
      </c>
      <c r="E5805" t="s">
        <v>75</v>
      </c>
    </row>
    <row r="5806" spans="1:5" x14ac:dyDescent="0.3">
      <c r="A5806" t="s">
        <v>77</v>
      </c>
      <c r="B5806" t="s">
        <v>12122</v>
      </c>
      <c r="C5806" t="s">
        <v>467</v>
      </c>
      <c r="D5806" t="s">
        <v>12121</v>
      </c>
      <c r="E5806" t="s">
        <v>75</v>
      </c>
    </row>
    <row r="5807" spans="1:5" x14ac:dyDescent="0.3">
      <c r="A5807" t="s">
        <v>752</v>
      </c>
      <c r="B5807" t="s">
        <v>12124</v>
      </c>
      <c r="C5807" t="s">
        <v>461</v>
      </c>
      <c r="D5807" t="s">
        <v>12123</v>
      </c>
      <c r="E5807" t="s">
        <v>75</v>
      </c>
    </row>
    <row r="5808" spans="1:5" x14ac:dyDescent="0.3">
      <c r="A5808" t="s">
        <v>1778</v>
      </c>
      <c r="B5808" t="s">
        <v>210</v>
      </c>
      <c r="C5808" t="s">
        <v>5076</v>
      </c>
      <c r="D5808" t="s">
        <v>8659</v>
      </c>
      <c r="E5808" t="s">
        <v>741</v>
      </c>
    </row>
    <row r="5809" spans="1:5" x14ac:dyDescent="0.3">
      <c r="A5809" t="s">
        <v>3274</v>
      </c>
      <c r="B5809" t="s">
        <v>12125</v>
      </c>
      <c r="C5809" t="s">
        <v>7961</v>
      </c>
      <c r="D5809" t="s">
        <v>9518</v>
      </c>
      <c r="E5809" t="s">
        <v>743</v>
      </c>
    </row>
    <row r="5810" spans="1:5" x14ac:dyDescent="0.3">
      <c r="A5810" t="s">
        <v>1632</v>
      </c>
      <c r="B5810" t="s">
        <v>4471</v>
      </c>
      <c r="C5810" t="s">
        <v>461</v>
      </c>
      <c r="D5810" t="s">
        <v>8818</v>
      </c>
      <c r="E5810" t="s">
        <v>75</v>
      </c>
    </row>
    <row r="5811" spans="1:5" x14ac:dyDescent="0.3">
      <c r="A5811" t="s">
        <v>12127</v>
      </c>
      <c r="B5811" t="s">
        <v>5625</v>
      </c>
      <c r="C5811" t="s">
        <v>698</v>
      </c>
      <c r="D5811" t="s">
        <v>12126</v>
      </c>
      <c r="E5811" t="s">
        <v>774</v>
      </c>
    </row>
    <row r="5812" spans="1:5" x14ac:dyDescent="0.3">
      <c r="A5812" t="s">
        <v>177</v>
      </c>
      <c r="B5812" t="s">
        <v>12128</v>
      </c>
      <c r="C5812" t="s">
        <v>460</v>
      </c>
      <c r="D5812" t="s">
        <v>9523</v>
      </c>
      <c r="E5812" t="s">
        <v>75</v>
      </c>
    </row>
    <row r="5813" spans="1:5" x14ac:dyDescent="0.3">
      <c r="A5813" t="s">
        <v>3693</v>
      </c>
      <c r="B5813" t="s">
        <v>4810</v>
      </c>
      <c r="C5813" t="s">
        <v>455</v>
      </c>
      <c r="D5813" t="s">
        <v>8108</v>
      </c>
      <c r="E5813" t="s">
        <v>75</v>
      </c>
    </row>
    <row r="5814" spans="1:5" x14ac:dyDescent="0.3">
      <c r="A5814" t="s">
        <v>5812</v>
      </c>
      <c r="B5814" t="s">
        <v>12130</v>
      </c>
      <c r="C5814" t="s">
        <v>12129</v>
      </c>
      <c r="D5814" t="s">
        <v>968</v>
      </c>
      <c r="E5814" t="s">
        <v>781</v>
      </c>
    </row>
    <row r="5815" spans="1:5" x14ac:dyDescent="0.3">
      <c r="A5815" t="s">
        <v>2489</v>
      </c>
      <c r="B5815" t="s">
        <v>12131</v>
      </c>
      <c r="C5815" t="s">
        <v>467</v>
      </c>
      <c r="D5815" t="s">
        <v>5317</v>
      </c>
      <c r="E5815" t="s">
        <v>75</v>
      </c>
    </row>
    <row r="5816" spans="1:5" x14ac:dyDescent="0.3">
      <c r="A5816" t="s">
        <v>4819</v>
      </c>
      <c r="B5816" t="s">
        <v>12132</v>
      </c>
      <c r="C5816" t="s">
        <v>459</v>
      </c>
      <c r="D5816" t="s">
        <v>3894</v>
      </c>
      <c r="E5816" t="s">
        <v>18</v>
      </c>
    </row>
    <row r="5817" spans="1:5" x14ac:dyDescent="0.3">
      <c r="A5817" t="s">
        <v>1404</v>
      </c>
      <c r="B5817" t="s">
        <v>12133</v>
      </c>
      <c r="C5817" t="s">
        <v>461</v>
      </c>
      <c r="D5817" t="s">
        <v>9534</v>
      </c>
      <c r="E5817" t="s">
        <v>75</v>
      </c>
    </row>
    <row r="5818" spans="1:5" x14ac:dyDescent="0.3">
      <c r="A5818" t="s">
        <v>153</v>
      </c>
      <c r="B5818" t="s">
        <v>12134</v>
      </c>
      <c r="C5818" t="s">
        <v>5291</v>
      </c>
    </row>
    <row r="5819" spans="1:5" x14ac:dyDescent="0.3">
      <c r="A5819" t="s">
        <v>4697</v>
      </c>
      <c r="B5819" t="s">
        <v>12135</v>
      </c>
      <c r="C5819" t="s">
        <v>459</v>
      </c>
      <c r="D5819" t="s">
        <v>7597</v>
      </c>
      <c r="E5819" t="s">
        <v>743</v>
      </c>
    </row>
    <row r="5820" spans="1:5" x14ac:dyDescent="0.3">
      <c r="A5820" t="s">
        <v>50</v>
      </c>
      <c r="B5820" t="s">
        <v>12136</v>
      </c>
      <c r="C5820" t="s">
        <v>4742</v>
      </c>
      <c r="D5820" t="s">
        <v>10857</v>
      </c>
      <c r="E5820" t="s">
        <v>75</v>
      </c>
    </row>
    <row r="5821" spans="1:5" x14ac:dyDescent="0.3">
      <c r="A5821" t="s">
        <v>1920</v>
      </c>
      <c r="B5821" t="s">
        <v>9853</v>
      </c>
      <c r="C5821" t="s">
        <v>4645</v>
      </c>
    </row>
    <row r="5822" spans="1:5" x14ac:dyDescent="0.3">
      <c r="A5822" t="s">
        <v>8739</v>
      </c>
      <c r="B5822" t="s">
        <v>2908</v>
      </c>
      <c r="C5822" t="s">
        <v>5987</v>
      </c>
    </row>
    <row r="5823" spans="1:5" x14ac:dyDescent="0.3">
      <c r="A5823" t="s">
        <v>12137</v>
      </c>
      <c r="B5823" t="s">
        <v>1731</v>
      </c>
      <c r="C5823" t="s">
        <v>862</v>
      </c>
      <c r="D5823" t="s">
        <v>4374</v>
      </c>
      <c r="E5823" t="s">
        <v>774</v>
      </c>
    </row>
    <row r="5824" spans="1:5" x14ac:dyDescent="0.3">
      <c r="A5824" t="s">
        <v>186</v>
      </c>
      <c r="B5824" t="s">
        <v>2603</v>
      </c>
      <c r="C5824" t="s">
        <v>467</v>
      </c>
      <c r="D5824" t="s">
        <v>12138</v>
      </c>
      <c r="E5824" t="s">
        <v>75</v>
      </c>
    </row>
    <row r="5825" spans="1:5" x14ac:dyDescent="0.3">
      <c r="A5825" t="s">
        <v>4031</v>
      </c>
      <c r="B5825" t="s">
        <v>1420</v>
      </c>
      <c r="C5825" t="s">
        <v>461</v>
      </c>
      <c r="D5825" t="s">
        <v>809</v>
      </c>
      <c r="E5825" t="s">
        <v>781</v>
      </c>
    </row>
    <row r="5826" spans="1:5" x14ac:dyDescent="0.3">
      <c r="A5826" t="s">
        <v>315</v>
      </c>
      <c r="B5826" t="s">
        <v>1370</v>
      </c>
      <c r="C5826" t="s">
        <v>862</v>
      </c>
      <c r="D5826" t="s">
        <v>968</v>
      </c>
      <c r="E5826" t="s">
        <v>781</v>
      </c>
    </row>
    <row r="5827" spans="1:5" x14ac:dyDescent="0.3">
      <c r="A5827" t="s">
        <v>230</v>
      </c>
      <c r="B5827" t="s">
        <v>8012</v>
      </c>
      <c r="C5827" t="s">
        <v>3555</v>
      </c>
      <c r="D5827" t="s">
        <v>2839</v>
      </c>
      <c r="E5827" t="s">
        <v>774</v>
      </c>
    </row>
    <row r="5828" spans="1:5" x14ac:dyDescent="0.3">
      <c r="A5828" t="s">
        <v>1534</v>
      </c>
      <c r="B5828" t="s">
        <v>12140</v>
      </c>
      <c r="C5828" t="s">
        <v>12139</v>
      </c>
      <c r="D5828" t="s">
        <v>1735</v>
      </c>
      <c r="E5828" t="s">
        <v>741</v>
      </c>
    </row>
    <row r="5829" spans="1:5" x14ac:dyDescent="0.3">
      <c r="A5829" t="s">
        <v>34</v>
      </c>
      <c r="B5829" t="s">
        <v>2620</v>
      </c>
      <c r="C5829" t="s">
        <v>461</v>
      </c>
      <c r="D5829" t="s">
        <v>5309</v>
      </c>
      <c r="E5829" t="s">
        <v>75</v>
      </c>
    </row>
    <row r="5830" spans="1:5" x14ac:dyDescent="0.3">
      <c r="A5830" t="s">
        <v>100</v>
      </c>
      <c r="B5830" t="s">
        <v>12142</v>
      </c>
      <c r="C5830" t="s">
        <v>12141</v>
      </c>
      <c r="D5830" t="s">
        <v>11206</v>
      </c>
      <c r="E5830" t="s">
        <v>75</v>
      </c>
    </row>
    <row r="5831" spans="1:5" x14ac:dyDescent="0.3">
      <c r="A5831" t="s">
        <v>4327</v>
      </c>
      <c r="B5831" t="s">
        <v>10697</v>
      </c>
      <c r="C5831" t="s">
        <v>461</v>
      </c>
      <c r="D5831" t="s">
        <v>12143</v>
      </c>
      <c r="E5831" t="s">
        <v>75</v>
      </c>
    </row>
    <row r="5832" spans="1:5" x14ac:dyDescent="0.3">
      <c r="A5832" t="s">
        <v>4891</v>
      </c>
      <c r="B5832" t="s">
        <v>3234</v>
      </c>
      <c r="C5832" t="s">
        <v>4449</v>
      </c>
      <c r="D5832" t="s">
        <v>769</v>
      </c>
      <c r="E5832" t="s">
        <v>1</v>
      </c>
    </row>
    <row r="5833" spans="1:5" x14ac:dyDescent="0.3">
      <c r="A5833" t="s">
        <v>50</v>
      </c>
      <c r="B5833" t="s">
        <v>1188</v>
      </c>
      <c r="C5833" t="s">
        <v>467</v>
      </c>
      <c r="D5833" t="s">
        <v>12144</v>
      </c>
      <c r="E5833" t="s">
        <v>75</v>
      </c>
    </row>
    <row r="5834" spans="1:5" x14ac:dyDescent="0.3">
      <c r="A5834" t="s">
        <v>399</v>
      </c>
      <c r="B5834" t="s">
        <v>3680</v>
      </c>
      <c r="C5834" t="s">
        <v>12145</v>
      </c>
      <c r="D5834" t="s">
        <v>883</v>
      </c>
      <c r="E5834" t="s">
        <v>1</v>
      </c>
    </row>
    <row r="5835" spans="1:5" x14ac:dyDescent="0.3">
      <c r="A5835" t="s">
        <v>182</v>
      </c>
      <c r="B5835" t="s">
        <v>12146</v>
      </c>
      <c r="C5835" t="s">
        <v>2571</v>
      </c>
      <c r="D5835" t="s">
        <v>2427</v>
      </c>
      <c r="E5835" t="s">
        <v>741</v>
      </c>
    </row>
    <row r="5836" spans="1:5" x14ac:dyDescent="0.3">
      <c r="A5836" t="s">
        <v>1135</v>
      </c>
      <c r="B5836" t="s">
        <v>12148</v>
      </c>
      <c r="C5836" t="s">
        <v>12147</v>
      </c>
      <c r="D5836" t="s">
        <v>7597</v>
      </c>
      <c r="E5836" t="s">
        <v>743</v>
      </c>
    </row>
    <row r="5837" spans="1:5" x14ac:dyDescent="0.3">
      <c r="A5837" t="s">
        <v>289</v>
      </c>
      <c r="B5837" t="s">
        <v>5178</v>
      </c>
      <c r="C5837" t="s">
        <v>12150</v>
      </c>
      <c r="D5837" t="s">
        <v>12149</v>
      </c>
      <c r="E5837" t="s">
        <v>761</v>
      </c>
    </row>
    <row r="5838" spans="1:5" x14ac:dyDescent="0.3">
      <c r="A5838" t="s">
        <v>167</v>
      </c>
      <c r="B5838" t="s">
        <v>12151</v>
      </c>
      <c r="C5838" t="s">
        <v>6366</v>
      </c>
      <c r="D5838" t="s">
        <v>1735</v>
      </c>
      <c r="E5838" t="s">
        <v>741</v>
      </c>
    </row>
    <row r="5839" spans="1:5" x14ac:dyDescent="0.3">
      <c r="A5839" t="s">
        <v>7182</v>
      </c>
      <c r="B5839" t="s">
        <v>41</v>
      </c>
      <c r="C5839" t="s">
        <v>457</v>
      </c>
      <c r="D5839" t="s">
        <v>12066</v>
      </c>
      <c r="E5839" t="s">
        <v>761</v>
      </c>
    </row>
    <row r="5840" spans="1:5" x14ac:dyDescent="0.3">
      <c r="A5840" t="s">
        <v>133</v>
      </c>
      <c r="B5840" t="s">
        <v>4023</v>
      </c>
      <c r="C5840" t="s">
        <v>461</v>
      </c>
      <c r="D5840" t="s">
        <v>2806</v>
      </c>
      <c r="E5840" t="s">
        <v>761</v>
      </c>
    </row>
    <row r="5841" spans="1:5" x14ac:dyDescent="0.3">
      <c r="A5841" t="s">
        <v>100</v>
      </c>
      <c r="B5841" t="s">
        <v>4023</v>
      </c>
      <c r="C5841" t="s">
        <v>459</v>
      </c>
      <c r="D5841" t="s">
        <v>2806</v>
      </c>
      <c r="E5841" t="s">
        <v>761</v>
      </c>
    </row>
    <row r="5842" spans="1:5" x14ac:dyDescent="0.3">
      <c r="A5842" t="s">
        <v>195</v>
      </c>
      <c r="B5842" t="s">
        <v>12154</v>
      </c>
      <c r="C5842" t="s">
        <v>467</v>
      </c>
      <c r="D5842" t="s">
        <v>12153</v>
      </c>
      <c r="E5842" t="s">
        <v>774</v>
      </c>
    </row>
    <row r="5843" spans="1:5" x14ac:dyDescent="0.3">
      <c r="A5843" t="s">
        <v>27</v>
      </c>
      <c r="B5843" t="s">
        <v>12156</v>
      </c>
      <c r="C5843" t="s">
        <v>461</v>
      </c>
      <c r="D5843" t="s">
        <v>12155</v>
      </c>
      <c r="E5843" t="s">
        <v>75</v>
      </c>
    </row>
    <row r="5844" spans="1:5" x14ac:dyDescent="0.3">
      <c r="A5844" t="s">
        <v>3394</v>
      </c>
      <c r="B5844" t="s">
        <v>4968</v>
      </c>
      <c r="C5844" t="s">
        <v>12157</v>
      </c>
      <c r="D5844" t="s">
        <v>4277</v>
      </c>
      <c r="E5844" t="s">
        <v>841</v>
      </c>
    </row>
    <row r="5845" spans="1:5" x14ac:dyDescent="0.3">
      <c r="A5845" t="s">
        <v>112</v>
      </c>
      <c r="B5845" t="s">
        <v>5383</v>
      </c>
      <c r="C5845" t="s">
        <v>518</v>
      </c>
      <c r="D5845" t="s">
        <v>902</v>
      </c>
      <c r="E5845" t="s">
        <v>1</v>
      </c>
    </row>
    <row r="5846" spans="1:5" x14ac:dyDescent="0.3">
      <c r="A5846" t="s">
        <v>3292</v>
      </c>
      <c r="B5846" t="s">
        <v>12160</v>
      </c>
      <c r="C5846" t="s">
        <v>461</v>
      </c>
      <c r="D5846" t="s">
        <v>12159</v>
      </c>
      <c r="E5846" t="s">
        <v>75</v>
      </c>
    </row>
    <row r="5847" spans="1:5" x14ac:dyDescent="0.3">
      <c r="A5847" t="s">
        <v>1478</v>
      </c>
      <c r="B5847" t="s">
        <v>12162</v>
      </c>
      <c r="C5847" t="s">
        <v>12161</v>
      </c>
      <c r="D5847" t="s">
        <v>769</v>
      </c>
      <c r="E5847" t="s">
        <v>1</v>
      </c>
    </row>
    <row r="5848" spans="1:5" x14ac:dyDescent="0.3">
      <c r="A5848" t="s">
        <v>12163</v>
      </c>
      <c r="B5848" t="s">
        <v>426</v>
      </c>
      <c r="C5848" t="s">
        <v>12164</v>
      </c>
      <c r="D5848" t="s">
        <v>919</v>
      </c>
      <c r="E5848" t="s">
        <v>1</v>
      </c>
    </row>
    <row r="5849" spans="1:5" x14ac:dyDescent="0.3">
      <c r="A5849" t="s">
        <v>3705</v>
      </c>
      <c r="B5849" t="s">
        <v>12165</v>
      </c>
      <c r="C5849" t="s">
        <v>457</v>
      </c>
    </row>
    <row r="5850" spans="1:5" x14ac:dyDescent="0.3">
      <c r="A5850" t="s">
        <v>89</v>
      </c>
      <c r="B5850" t="s">
        <v>12166</v>
      </c>
      <c r="C5850" t="s">
        <v>461</v>
      </c>
      <c r="D5850" t="s">
        <v>8110</v>
      </c>
      <c r="E5850" t="s">
        <v>75</v>
      </c>
    </row>
    <row r="5851" spans="1:5" x14ac:dyDescent="0.3">
      <c r="A5851" t="s">
        <v>13078</v>
      </c>
      <c r="B5851" t="s">
        <v>9679</v>
      </c>
      <c r="C5851" t="s">
        <v>12167</v>
      </c>
      <c r="D5851" t="s">
        <v>10581</v>
      </c>
      <c r="E5851" t="s">
        <v>75</v>
      </c>
    </row>
    <row r="5852" spans="1:5" x14ac:dyDescent="0.3">
      <c r="A5852" t="s">
        <v>12168</v>
      </c>
      <c r="B5852" t="s">
        <v>12170</v>
      </c>
      <c r="C5852" t="s">
        <v>12169</v>
      </c>
      <c r="D5852" t="s">
        <v>906</v>
      </c>
      <c r="E5852" t="s">
        <v>1</v>
      </c>
    </row>
    <row r="5853" spans="1:5" x14ac:dyDescent="0.3">
      <c r="A5853" t="s">
        <v>12173</v>
      </c>
      <c r="B5853" t="s">
        <v>1298</v>
      </c>
      <c r="C5853" t="s">
        <v>518</v>
      </c>
      <c r="D5853" t="s">
        <v>12172</v>
      </c>
      <c r="E5853" t="s">
        <v>1</v>
      </c>
    </row>
    <row r="5854" spans="1:5" x14ac:dyDescent="0.3">
      <c r="A5854" t="s">
        <v>50</v>
      </c>
      <c r="B5854" t="s">
        <v>7901</v>
      </c>
      <c r="C5854" t="s">
        <v>460</v>
      </c>
    </row>
    <row r="5855" spans="1:5" x14ac:dyDescent="0.3">
      <c r="A5855" t="s">
        <v>44</v>
      </c>
      <c r="B5855" t="s">
        <v>3815</v>
      </c>
      <c r="C5855" t="s">
        <v>7907</v>
      </c>
    </row>
    <row r="5856" spans="1:5" x14ac:dyDescent="0.3">
      <c r="A5856" t="s">
        <v>2832</v>
      </c>
      <c r="B5856" t="s">
        <v>12175</v>
      </c>
      <c r="C5856" t="s">
        <v>461</v>
      </c>
      <c r="D5856" t="s">
        <v>12174</v>
      </c>
      <c r="E5856" t="s">
        <v>75</v>
      </c>
    </row>
    <row r="5857" spans="1:5" x14ac:dyDescent="0.3">
      <c r="A5857" t="s">
        <v>411</v>
      </c>
      <c r="B5857" t="s">
        <v>12177</v>
      </c>
      <c r="C5857" t="s">
        <v>8344</v>
      </c>
      <c r="D5857" t="s">
        <v>12176</v>
      </c>
      <c r="E5857" t="s">
        <v>774</v>
      </c>
    </row>
    <row r="5858" spans="1:5" x14ac:dyDescent="0.3">
      <c r="A5858" t="s">
        <v>2506</v>
      </c>
      <c r="B5858" t="s">
        <v>12178</v>
      </c>
      <c r="C5858" t="s">
        <v>467</v>
      </c>
      <c r="D5858" t="s">
        <v>5042</v>
      </c>
      <c r="E5858" t="s">
        <v>1</v>
      </c>
    </row>
    <row r="5859" spans="1:5" x14ac:dyDescent="0.3">
      <c r="A5859" t="s">
        <v>851</v>
      </c>
      <c r="B5859" t="s">
        <v>817</v>
      </c>
      <c r="C5859" t="s">
        <v>461</v>
      </c>
      <c r="D5859" t="s">
        <v>7051</v>
      </c>
      <c r="E5859" t="s">
        <v>75</v>
      </c>
    </row>
    <row r="5860" spans="1:5" x14ac:dyDescent="0.3">
      <c r="A5860" t="s">
        <v>150</v>
      </c>
      <c r="B5860" t="s">
        <v>12179</v>
      </c>
      <c r="C5860" t="s">
        <v>459</v>
      </c>
      <c r="D5860" t="s">
        <v>9654</v>
      </c>
      <c r="E5860" t="s">
        <v>75</v>
      </c>
    </row>
    <row r="5861" spans="1:5" x14ac:dyDescent="0.3">
      <c r="A5861" t="s">
        <v>123</v>
      </c>
      <c r="B5861" t="s">
        <v>4294</v>
      </c>
      <c r="C5861" t="s">
        <v>467</v>
      </c>
      <c r="D5861" t="s">
        <v>12171</v>
      </c>
      <c r="E5861" t="s">
        <v>75</v>
      </c>
    </row>
    <row r="5862" spans="1:5" x14ac:dyDescent="0.3">
      <c r="A5862" t="s">
        <v>3044</v>
      </c>
      <c r="B5862" t="s">
        <v>4229</v>
      </c>
      <c r="C5862" t="s">
        <v>457</v>
      </c>
      <c r="D5862" t="s">
        <v>4793</v>
      </c>
      <c r="E5862" t="s">
        <v>75</v>
      </c>
    </row>
    <row r="5863" spans="1:5" x14ac:dyDescent="0.3">
      <c r="A5863" t="s">
        <v>327</v>
      </c>
      <c r="B5863" t="s">
        <v>382</v>
      </c>
      <c r="C5863" t="s">
        <v>383</v>
      </c>
      <c r="D5863" t="s">
        <v>794</v>
      </c>
      <c r="E5863" t="s">
        <v>75</v>
      </c>
    </row>
    <row r="5864" spans="1:5" x14ac:dyDescent="0.3">
      <c r="A5864" t="s">
        <v>82</v>
      </c>
      <c r="B5864" t="s">
        <v>2994</v>
      </c>
      <c r="C5864" t="s">
        <v>459</v>
      </c>
      <c r="D5864" t="s">
        <v>9664</v>
      </c>
      <c r="E5864" t="s">
        <v>75</v>
      </c>
    </row>
    <row r="5865" spans="1:5" x14ac:dyDescent="0.3">
      <c r="A5865" t="s">
        <v>220</v>
      </c>
      <c r="B5865" t="s">
        <v>4436</v>
      </c>
      <c r="C5865" t="s">
        <v>8775</v>
      </c>
      <c r="D5865" t="s">
        <v>3016</v>
      </c>
      <c r="E5865" t="s">
        <v>897</v>
      </c>
    </row>
    <row r="5866" spans="1:5" x14ac:dyDescent="0.3">
      <c r="A5866" t="s">
        <v>3463</v>
      </c>
      <c r="B5866" t="s">
        <v>12180</v>
      </c>
      <c r="C5866" t="s">
        <v>6354</v>
      </c>
      <c r="D5866" t="s">
        <v>1246</v>
      </c>
      <c r="E5866" t="s">
        <v>1</v>
      </c>
    </row>
    <row r="5867" spans="1:5" x14ac:dyDescent="0.3">
      <c r="A5867" t="s">
        <v>189</v>
      </c>
      <c r="B5867" t="s">
        <v>12182</v>
      </c>
      <c r="C5867" t="s">
        <v>12181</v>
      </c>
      <c r="D5867" t="s">
        <v>763</v>
      </c>
      <c r="E5867" t="s">
        <v>1</v>
      </c>
    </row>
    <row r="5868" spans="1:5" x14ac:dyDescent="0.3">
      <c r="A5868" t="s">
        <v>161</v>
      </c>
      <c r="B5868" t="s">
        <v>3832</v>
      </c>
      <c r="C5868" t="s">
        <v>12183</v>
      </c>
      <c r="D5868" t="s">
        <v>747</v>
      </c>
      <c r="E5868" t="s">
        <v>1</v>
      </c>
    </row>
    <row r="5869" spans="1:5" x14ac:dyDescent="0.3">
      <c r="A5869" t="s">
        <v>41</v>
      </c>
      <c r="B5869" t="s">
        <v>12185</v>
      </c>
      <c r="C5869" t="s">
        <v>12184</v>
      </c>
      <c r="D5869" t="s">
        <v>4748</v>
      </c>
      <c r="E5869" t="s">
        <v>75</v>
      </c>
    </row>
    <row r="5870" spans="1:5" x14ac:dyDescent="0.3">
      <c r="A5870" t="s">
        <v>2179</v>
      </c>
      <c r="B5870" t="s">
        <v>110</v>
      </c>
      <c r="C5870" t="s">
        <v>455</v>
      </c>
      <c r="D5870" t="s">
        <v>4829</v>
      </c>
      <c r="E5870" t="s">
        <v>781</v>
      </c>
    </row>
    <row r="5871" spans="1:5" x14ac:dyDescent="0.3">
      <c r="A5871" t="s">
        <v>836</v>
      </c>
      <c r="B5871" t="s">
        <v>1370</v>
      </c>
      <c r="C5871" t="s">
        <v>12186</v>
      </c>
      <c r="D5871" t="s">
        <v>902</v>
      </c>
      <c r="E5871" t="s">
        <v>1</v>
      </c>
    </row>
    <row r="5872" spans="1:5" x14ac:dyDescent="0.3">
      <c r="A5872" t="s">
        <v>1297</v>
      </c>
      <c r="B5872" t="s">
        <v>12188</v>
      </c>
      <c r="C5872" t="s">
        <v>12187</v>
      </c>
      <c r="D5872" t="s">
        <v>902</v>
      </c>
      <c r="E5872" t="s">
        <v>1</v>
      </c>
    </row>
    <row r="5873" spans="1:5" x14ac:dyDescent="0.3">
      <c r="A5873" t="s">
        <v>82</v>
      </c>
      <c r="B5873" t="s">
        <v>4912</v>
      </c>
      <c r="C5873" t="s">
        <v>628</v>
      </c>
      <c r="D5873" t="s">
        <v>883</v>
      </c>
      <c r="E5873" t="s">
        <v>1</v>
      </c>
    </row>
    <row r="5874" spans="1:5" x14ac:dyDescent="0.3">
      <c r="A5874" t="s">
        <v>3636</v>
      </c>
      <c r="B5874" t="s">
        <v>1021</v>
      </c>
      <c r="C5874" t="s">
        <v>12190</v>
      </c>
      <c r="D5874" t="s">
        <v>12189</v>
      </c>
      <c r="E5874" t="s">
        <v>774</v>
      </c>
    </row>
    <row r="5875" spans="1:5" x14ac:dyDescent="0.3">
      <c r="A5875" t="s">
        <v>5679</v>
      </c>
      <c r="B5875" t="s">
        <v>890</v>
      </c>
      <c r="C5875" t="s">
        <v>12190</v>
      </c>
      <c r="D5875" t="s">
        <v>5583</v>
      </c>
      <c r="E5875" t="s">
        <v>781</v>
      </c>
    </row>
    <row r="5876" spans="1:5" x14ac:dyDescent="0.3">
      <c r="A5876" t="s">
        <v>116</v>
      </c>
      <c r="B5876" t="s">
        <v>4468</v>
      </c>
      <c r="C5876" t="s">
        <v>698</v>
      </c>
      <c r="D5876" t="s">
        <v>12191</v>
      </c>
      <c r="E5876" t="s">
        <v>774</v>
      </c>
    </row>
    <row r="5877" spans="1:5" x14ac:dyDescent="0.3">
      <c r="A5877" t="s">
        <v>1071</v>
      </c>
      <c r="B5877" t="s">
        <v>3865</v>
      </c>
      <c r="C5877" t="s">
        <v>461</v>
      </c>
      <c r="D5877" t="s">
        <v>794</v>
      </c>
      <c r="E5877" t="s">
        <v>75</v>
      </c>
    </row>
    <row r="5878" spans="1:5" x14ac:dyDescent="0.3">
      <c r="A5878" t="s">
        <v>804</v>
      </c>
      <c r="B5878" t="s">
        <v>2731</v>
      </c>
      <c r="C5878" t="s">
        <v>12192</v>
      </c>
    </row>
    <row r="5879" spans="1:5" x14ac:dyDescent="0.3">
      <c r="A5879" t="s">
        <v>34</v>
      </c>
      <c r="B5879" t="s">
        <v>4463</v>
      </c>
      <c r="C5879" t="s">
        <v>12194</v>
      </c>
      <c r="D5879" t="s">
        <v>5541</v>
      </c>
      <c r="E5879" t="s">
        <v>75</v>
      </c>
    </row>
    <row r="5880" spans="1:5" x14ac:dyDescent="0.3">
      <c r="A5880" t="s">
        <v>22</v>
      </c>
      <c r="B5880" t="s">
        <v>3478</v>
      </c>
      <c r="C5880" t="s">
        <v>467</v>
      </c>
      <c r="D5880" t="s">
        <v>10918</v>
      </c>
      <c r="E5880" t="s">
        <v>75</v>
      </c>
    </row>
    <row r="5881" spans="1:5" x14ac:dyDescent="0.3">
      <c r="A5881" t="s">
        <v>132</v>
      </c>
      <c r="B5881" t="s">
        <v>9116</v>
      </c>
      <c r="C5881" t="s">
        <v>467</v>
      </c>
      <c r="D5881" t="s">
        <v>7798</v>
      </c>
      <c r="E5881" t="s">
        <v>75</v>
      </c>
    </row>
    <row r="5882" spans="1:5" x14ac:dyDescent="0.3">
      <c r="A5882" t="s">
        <v>864</v>
      </c>
      <c r="B5882" t="s">
        <v>2896</v>
      </c>
      <c r="C5882" t="s">
        <v>12195</v>
      </c>
      <c r="D5882" t="s">
        <v>982</v>
      </c>
      <c r="E5882" t="s">
        <v>1</v>
      </c>
    </row>
    <row r="5883" spans="1:5" x14ac:dyDescent="0.3">
      <c r="A5883" t="s">
        <v>130</v>
      </c>
      <c r="B5883" t="s">
        <v>5219</v>
      </c>
      <c r="C5883" t="s">
        <v>628</v>
      </c>
      <c r="D5883" t="s">
        <v>12196</v>
      </c>
      <c r="E5883" t="s">
        <v>774</v>
      </c>
    </row>
    <row r="5884" spans="1:5" x14ac:dyDescent="0.3">
      <c r="A5884" t="s">
        <v>59</v>
      </c>
      <c r="B5884" t="s">
        <v>2833</v>
      </c>
      <c r="C5884" t="s">
        <v>460</v>
      </c>
      <c r="D5884" t="s">
        <v>8017</v>
      </c>
      <c r="E5884" t="s">
        <v>75</v>
      </c>
    </row>
    <row r="5885" spans="1:5" x14ac:dyDescent="0.3">
      <c r="A5885" t="s">
        <v>113</v>
      </c>
      <c r="B5885" t="s">
        <v>3112</v>
      </c>
      <c r="C5885" t="s">
        <v>745</v>
      </c>
      <c r="D5885" t="s">
        <v>12198</v>
      </c>
      <c r="E5885" t="s">
        <v>761</v>
      </c>
    </row>
    <row r="5886" spans="1:5" x14ac:dyDescent="0.3">
      <c r="A5886" t="s">
        <v>44</v>
      </c>
      <c r="B5886" t="s">
        <v>3518</v>
      </c>
      <c r="C5886" t="s">
        <v>460</v>
      </c>
      <c r="D5886" t="s">
        <v>12199</v>
      </c>
      <c r="E5886" t="s">
        <v>2175</v>
      </c>
    </row>
    <row r="5887" spans="1:5" x14ac:dyDescent="0.3">
      <c r="A5887" t="s">
        <v>778</v>
      </c>
      <c r="B5887" t="s">
        <v>3997</v>
      </c>
      <c r="C5887" t="s">
        <v>467</v>
      </c>
      <c r="D5887" t="s">
        <v>933</v>
      </c>
      <c r="E5887" t="s">
        <v>758</v>
      </c>
    </row>
    <row r="5888" spans="1:5" x14ac:dyDescent="0.3">
      <c r="A5888" t="s">
        <v>138</v>
      </c>
      <c r="B5888" t="s">
        <v>856</v>
      </c>
      <c r="C5888" t="s">
        <v>12201</v>
      </c>
      <c r="D5888" t="s">
        <v>12200</v>
      </c>
      <c r="E5888" t="s">
        <v>774</v>
      </c>
    </row>
    <row r="5889" spans="1:5" x14ac:dyDescent="0.3">
      <c r="A5889" t="s">
        <v>4288</v>
      </c>
      <c r="B5889" t="s">
        <v>12203</v>
      </c>
      <c r="C5889" t="s">
        <v>12202</v>
      </c>
      <c r="D5889" t="s">
        <v>754</v>
      </c>
      <c r="E5889" t="s">
        <v>741</v>
      </c>
    </row>
    <row r="5890" spans="1:5" x14ac:dyDescent="0.3">
      <c r="A5890" t="s">
        <v>860</v>
      </c>
      <c r="B5890" t="s">
        <v>6043</v>
      </c>
      <c r="C5890" t="s">
        <v>456</v>
      </c>
      <c r="D5890" t="s">
        <v>769</v>
      </c>
      <c r="E5890" t="s">
        <v>1</v>
      </c>
    </row>
    <row r="5891" spans="1:5" x14ac:dyDescent="0.3">
      <c r="A5891" t="s">
        <v>3296</v>
      </c>
      <c r="B5891" t="s">
        <v>3428</v>
      </c>
      <c r="C5891" t="s">
        <v>862</v>
      </c>
      <c r="D5891" t="s">
        <v>747</v>
      </c>
      <c r="E5891" t="s">
        <v>1</v>
      </c>
    </row>
    <row r="5892" spans="1:5" x14ac:dyDescent="0.3">
      <c r="A5892" t="s">
        <v>5052</v>
      </c>
      <c r="B5892" t="s">
        <v>12205</v>
      </c>
      <c r="C5892" t="s">
        <v>12204</v>
      </c>
      <c r="D5892" t="s">
        <v>1246</v>
      </c>
      <c r="E5892" t="s">
        <v>1</v>
      </c>
    </row>
    <row r="5893" spans="1:5" x14ac:dyDescent="0.3">
      <c r="A5893" t="s">
        <v>1146</v>
      </c>
      <c r="B5893" t="s">
        <v>2901</v>
      </c>
      <c r="C5893" t="s">
        <v>456</v>
      </c>
    </row>
    <row r="5894" spans="1:5" x14ac:dyDescent="0.3">
      <c r="A5894" t="s">
        <v>12100</v>
      </c>
      <c r="B5894" t="s">
        <v>12206</v>
      </c>
      <c r="C5894" t="s">
        <v>862</v>
      </c>
      <c r="D5894" t="s">
        <v>763</v>
      </c>
      <c r="E5894" t="s">
        <v>1</v>
      </c>
    </row>
    <row r="5895" spans="1:5" x14ac:dyDescent="0.3">
      <c r="A5895" t="s">
        <v>12208</v>
      </c>
      <c r="B5895" t="s">
        <v>3402</v>
      </c>
      <c r="C5895" t="s">
        <v>456</v>
      </c>
      <c r="D5895" t="s">
        <v>12207</v>
      </c>
      <c r="E5895" t="s">
        <v>741</v>
      </c>
    </row>
    <row r="5896" spans="1:5" x14ac:dyDescent="0.3">
      <c r="A5896" t="s">
        <v>150</v>
      </c>
      <c r="B5896" t="s">
        <v>12210</v>
      </c>
      <c r="C5896" t="s">
        <v>698</v>
      </c>
      <c r="D5896" t="s">
        <v>12209</v>
      </c>
      <c r="E5896" t="s">
        <v>774</v>
      </c>
    </row>
    <row r="5897" spans="1:5" x14ac:dyDescent="0.3">
      <c r="A5897" t="s">
        <v>3251</v>
      </c>
      <c r="B5897" t="s">
        <v>12212</v>
      </c>
      <c r="C5897" t="s">
        <v>461</v>
      </c>
      <c r="D5897" t="s">
        <v>12211</v>
      </c>
      <c r="E5897" t="s">
        <v>774</v>
      </c>
    </row>
    <row r="5898" spans="1:5" x14ac:dyDescent="0.3">
      <c r="A5898" t="s">
        <v>4244</v>
      </c>
      <c r="B5898" t="s">
        <v>10102</v>
      </c>
      <c r="C5898" t="s">
        <v>11183</v>
      </c>
      <c r="D5898" t="s">
        <v>12213</v>
      </c>
      <c r="E5898" t="s">
        <v>774</v>
      </c>
    </row>
    <row r="5899" spans="1:5" x14ac:dyDescent="0.3">
      <c r="A5899" t="s">
        <v>3654</v>
      </c>
      <c r="B5899" t="s">
        <v>12214</v>
      </c>
      <c r="C5899" t="s">
        <v>455</v>
      </c>
      <c r="D5899" t="s">
        <v>833</v>
      </c>
      <c r="E5899" t="s">
        <v>741</v>
      </c>
    </row>
    <row r="5900" spans="1:5" x14ac:dyDescent="0.3">
      <c r="A5900" t="s">
        <v>5740</v>
      </c>
      <c r="B5900" t="s">
        <v>1437</v>
      </c>
      <c r="C5900" t="s">
        <v>698</v>
      </c>
      <c r="D5900" t="s">
        <v>12216</v>
      </c>
      <c r="E5900" t="s">
        <v>774</v>
      </c>
    </row>
    <row r="5901" spans="1:5" x14ac:dyDescent="0.3">
      <c r="A5901" t="s">
        <v>12218</v>
      </c>
      <c r="B5901" t="s">
        <v>3433</v>
      </c>
      <c r="C5901" t="s">
        <v>456</v>
      </c>
      <c r="D5901" t="s">
        <v>12217</v>
      </c>
      <c r="E5901" t="s">
        <v>2175</v>
      </c>
    </row>
    <row r="5902" spans="1:5" x14ac:dyDescent="0.3">
      <c r="A5902" t="s">
        <v>859</v>
      </c>
      <c r="B5902" t="s">
        <v>2977</v>
      </c>
      <c r="C5902" t="s">
        <v>12220</v>
      </c>
      <c r="D5902" t="s">
        <v>12219</v>
      </c>
      <c r="E5902" t="s">
        <v>774</v>
      </c>
    </row>
    <row r="5903" spans="1:5" x14ac:dyDescent="0.3">
      <c r="A5903" t="s">
        <v>12222</v>
      </c>
      <c r="B5903" t="s">
        <v>12223</v>
      </c>
      <c r="C5903" t="s">
        <v>8344</v>
      </c>
      <c r="D5903" t="s">
        <v>12221</v>
      </c>
      <c r="E5903" t="s">
        <v>774</v>
      </c>
    </row>
    <row r="5904" spans="1:5" x14ac:dyDescent="0.3">
      <c r="A5904" t="s">
        <v>307</v>
      </c>
      <c r="B5904" t="s">
        <v>12225</v>
      </c>
      <c r="C5904" t="s">
        <v>12224</v>
      </c>
      <c r="D5904" t="s">
        <v>11764</v>
      </c>
      <c r="E5904" t="s">
        <v>741</v>
      </c>
    </row>
    <row r="5905" spans="1:5" x14ac:dyDescent="0.3">
      <c r="A5905" t="s">
        <v>65</v>
      </c>
      <c r="B5905" t="s">
        <v>12226</v>
      </c>
      <c r="C5905" t="s">
        <v>698</v>
      </c>
      <c r="D5905" t="s">
        <v>10796</v>
      </c>
      <c r="E5905" t="s">
        <v>741</v>
      </c>
    </row>
    <row r="5906" spans="1:5" x14ac:dyDescent="0.3">
      <c r="A5906" t="s">
        <v>3367</v>
      </c>
      <c r="B5906" t="s">
        <v>5056</v>
      </c>
      <c r="C5906" t="s">
        <v>5906</v>
      </c>
      <c r="D5906" t="s">
        <v>12227</v>
      </c>
      <c r="E5906" t="s">
        <v>741</v>
      </c>
    </row>
    <row r="5907" spans="1:5" x14ac:dyDescent="0.3">
      <c r="A5907" t="s">
        <v>153</v>
      </c>
      <c r="B5907" t="s">
        <v>12229</v>
      </c>
      <c r="C5907" t="s">
        <v>456</v>
      </c>
      <c r="D5907" t="s">
        <v>12228</v>
      </c>
      <c r="E5907" t="s">
        <v>841</v>
      </c>
    </row>
    <row r="5908" spans="1:5" x14ac:dyDescent="0.3">
      <c r="A5908" t="s">
        <v>1558</v>
      </c>
      <c r="B5908" t="s">
        <v>12231</v>
      </c>
      <c r="C5908" t="s">
        <v>12230</v>
      </c>
      <c r="D5908" t="s">
        <v>6598</v>
      </c>
      <c r="E5908" t="s">
        <v>743</v>
      </c>
    </row>
    <row r="5909" spans="1:5" x14ac:dyDescent="0.3">
      <c r="A5909" t="s">
        <v>5247</v>
      </c>
      <c r="B5909" t="s">
        <v>3944</v>
      </c>
      <c r="C5909" t="s">
        <v>4645</v>
      </c>
      <c r="D5909" t="s">
        <v>12232</v>
      </c>
      <c r="E5909" t="s">
        <v>774</v>
      </c>
    </row>
    <row r="5910" spans="1:5" x14ac:dyDescent="0.3">
      <c r="A5910" t="s">
        <v>12234</v>
      </c>
      <c r="B5910" t="s">
        <v>12235</v>
      </c>
      <c r="C5910" t="s">
        <v>720</v>
      </c>
      <c r="D5910" t="s">
        <v>12233</v>
      </c>
      <c r="E5910" t="s">
        <v>774</v>
      </c>
    </row>
    <row r="5911" spans="1:5" x14ac:dyDescent="0.3">
      <c r="A5911" t="s">
        <v>195</v>
      </c>
      <c r="B5911" t="s">
        <v>12238</v>
      </c>
      <c r="C5911" t="s">
        <v>12237</v>
      </c>
      <c r="D5911" t="s">
        <v>12236</v>
      </c>
      <c r="E5911" t="s">
        <v>774</v>
      </c>
    </row>
    <row r="5912" spans="1:5" x14ac:dyDescent="0.3">
      <c r="A5912" t="s">
        <v>12240</v>
      </c>
      <c r="B5912" t="s">
        <v>324</v>
      </c>
      <c r="C5912" t="s">
        <v>12241</v>
      </c>
      <c r="D5912" t="s">
        <v>12239</v>
      </c>
      <c r="E5912" t="s">
        <v>18</v>
      </c>
    </row>
    <row r="5913" spans="1:5" x14ac:dyDescent="0.3">
      <c r="A5913" t="s">
        <v>1182</v>
      </c>
      <c r="B5913" t="s">
        <v>12243</v>
      </c>
      <c r="C5913" t="s">
        <v>3555</v>
      </c>
      <c r="D5913" t="s">
        <v>12242</v>
      </c>
      <c r="E5913" t="s">
        <v>774</v>
      </c>
    </row>
    <row r="5914" spans="1:5" x14ac:dyDescent="0.3">
      <c r="A5914" t="s">
        <v>132</v>
      </c>
      <c r="B5914" t="s">
        <v>12245</v>
      </c>
      <c r="C5914" t="s">
        <v>456</v>
      </c>
      <c r="D5914" t="s">
        <v>12244</v>
      </c>
      <c r="E5914" t="s">
        <v>774</v>
      </c>
    </row>
    <row r="5915" spans="1:5" x14ac:dyDescent="0.3">
      <c r="A5915" t="s">
        <v>12247</v>
      </c>
      <c r="B5915" t="s">
        <v>12248</v>
      </c>
      <c r="C5915" t="s">
        <v>457</v>
      </c>
      <c r="D5915" t="s">
        <v>12246</v>
      </c>
      <c r="E5915" t="s">
        <v>781</v>
      </c>
    </row>
    <row r="5916" spans="1:5" x14ac:dyDescent="0.3">
      <c r="A5916" t="s">
        <v>153</v>
      </c>
      <c r="B5916" t="s">
        <v>12250</v>
      </c>
      <c r="C5916" t="s">
        <v>12249</v>
      </c>
      <c r="D5916" t="s">
        <v>3710</v>
      </c>
      <c r="E5916" t="s">
        <v>761</v>
      </c>
    </row>
    <row r="5917" spans="1:5" x14ac:dyDescent="0.3">
      <c r="A5917" t="s">
        <v>150</v>
      </c>
      <c r="B5917" t="s">
        <v>2916</v>
      </c>
      <c r="C5917" t="s">
        <v>12252</v>
      </c>
      <c r="D5917" t="s">
        <v>12251</v>
      </c>
      <c r="E5917" t="s">
        <v>774</v>
      </c>
    </row>
    <row r="5918" spans="1:5" x14ac:dyDescent="0.3">
      <c r="A5918" t="s">
        <v>77</v>
      </c>
      <c r="B5918" t="s">
        <v>11287</v>
      </c>
      <c r="C5918" t="s">
        <v>698</v>
      </c>
      <c r="D5918" t="s">
        <v>12253</v>
      </c>
      <c r="E5918" t="s">
        <v>774</v>
      </c>
    </row>
    <row r="5919" spans="1:5" x14ac:dyDescent="0.3">
      <c r="A5919" t="s">
        <v>66</v>
      </c>
      <c r="B5919" t="s">
        <v>1118</v>
      </c>
      <c r="C5919" t="s">
        <v>11183</v>
      </c>
      <c r="D5919" t="s">
        <v>12254</v>
      </c>
      <c r="E5919" t="s">
        <v>2175</v>
      </c>
    </row>
    <row r="5920" spans="1:5" x14ac:dyDescent="0.3">
      <c r="A5920" t="s">
        <v>12256</v>
      </c>
      <c r="B5920" t="s">
        <v>407</v>
      </c>
      <c r="C5920" t="s">
        <v>698</v>
      </c>
      <c r="D5920" t="s">
        <v>12255</v>
      </c>
      <c r="E5920" t="s">
        <v>774</v>
      </c>
    </row>
    <row r="5921" spans="1:5" x14ac:dyDescent="0.3">
      <c r="A5921" t="s">
        <v>100</v>
      </c>
      <c r="B5921" t="s">
        <v>12258</v>
      </c>
      <c r="C5921" t="s">
        <v>698</v>
      </c>
      <c r="D5921" t="s">
        <v>12257</v>
      </c>
      <c r="E5921" t="s">
        <v>774</v>
      </c>
    </row>
    <row r="5922" spans="1:5" x14ac:dyDescent="0.3">
      <c r="A5922" t="s">
        <v>50</v>
      </c>
      <c r="B5922" t="s">
        <v>12259</v>
      </c>
      <c r="C5922" t="s">
        <v>9218</v>
      </c>
      <c r="D5922" t="s">
        <v>11944</v>
      </c>
      <c r="E5922" t="s">
        <v>774</v>
      </c>
    </row>
    <row r="5923" spans="1:5" x14ac:dyDescent="0.3">
      <c r="A5923" t="s">
        <v>3467</v>
      </c>
      <c r="B5923" t="s">
        <v>1437</v>
      </c>
      <c r="C5923" t="s">
        <v>4645</v>
      </c>
      <c r="D5923" t="s">
        <v>11941</v>
      </c>
      <c r="E5923" t="s">
        <v>774</v>
      </c>
    </row>
    <row r="5924" spans="1:5" x14ac:dyDescent="0.3">
      <c r="A5924" t="s">
        <v>12260</v>
      </c>
      <c r="B5924" t="s">
        <v>12261</v>
      </c>
      <c r="C5924" t="s">
        <v>862</v>
      </c>
      <c r="D5924" t="s">
        <v>769</v>
      </c>
      <c r="E5924" t="s">
        <v>1</v>
      </c>
    </row>
    <row r="5925" spans="1:5" x14ac:dyDescent="0.3">
      <c r="A5925" t="s">
        <v>4653</v>
      </c>
      <c r="B5925" t="s">
        <v>8938</v>
      </c>
      <c r="C5925" t="s">
        <v>456</v>
      </c>
      <c r="D5925" t="s">
        <v>12262</v>
      </c>
      <c r="E5925" t="s">
        <v>18</v>
      </c>
    </row>
    <row r="5926" spans="1:5" x14ac:dyDescent="0.3">
      <c r="A5926" t="s">
        <v>1669</v>
      </c>
      <c r="B5926" t="s">
        <v>3337</v>
      </c>
      <c r="C5926" t="s">
        <v>456</v>
      </c>
      <c r="D5926" t="s">
        <v>12263</v>
      </c>
      <c r="E5926" t="s">
        <v>741</v>
      </c>
    </row>
    <row r="5927" spans="1:5" x14ac:dyDescent="0.3">
      <c r="A5927" t="s">
        <v>12264</v>
      </c>
      <c r="B5927" t="s">
        <v>12265</v>
      </c>
      <c r="C5927" t="s">
        <v>698</v>
      </c>
      <c r="D5927" t="s">
        <v>8597</v>
      </c>
      <c r="E5927" t="s">
        <v>75</v>
      </c>
    </row>
    <row r="5928" spans="1:5" x14ac:dyDescent="0.3">
      <c r="A5928" t="s">
        <v>57</v>
      </c>
      <c r="B5928" t="s">
        <v>3573</v>
      </c>
      <c r="C5928" t="s">
        <v>12266</v>
      </c>
      <c r="D5928" t="s">
        <v>4313</v>
      </c>
      <c r="E5928" t="s">
        <v>774</v>
      </c>
    </row>
    <row r="5929" spans="1:5" x14ac:dyDescent="0.3">
      <c r="A5929" t="s">
        <v>11431</v>
      </c>
      <c r="B5929" t="s">
        <v>12268</v>
      </c>
      <c r="C5929" t="s">
        <v>12267</v>
      </c>
      <c r="D5929" t="s">
        <v>4320</v>
      </c>
      <c r="E5929" t="s">
        <v>774</v>
      </c>
    </row>
    <row r="5930" spans="1:5" x14ac:dyDescent="0.3">
      <c r="A5930" t="s">
        <v>12270</v>
      </c>
      <c r="B5930" t="s">
        <v>12271</v>
      </c>
      <c r="C5930" t="s">
        <v>698</v>
      </c>
      <c r="D5930" t="s">
        <v>12269</v>
      </c>
      <c r="E5930" t="s">
        <v>774</v>
      </c>
    </row>
    <row r="5931" spans="1:5" x14ac:dyDescent="0.3">
      <c r="A5931" t="s">
        <v>2890</v>
      </c>
      <c r="B5931" t="s">
        <v>6334</v>
      </c>
      <c r="C5931" t="s">
        <v>456</v>
      </c>
      <c r="D5931" t="s">
        <v>8659</v>
      </c>
      <c r="E5931" t="s">
        <v>741</v>
      </c>
    </row>
    <row r="5932" spans="1:5" x14ac:dyDescent="0.3">
      <c r="A5932" t="s">
        <v>1706</v>
      </c>
      <c r="B5932" t="s">
        <v>1580</v>
      </c>
      <c r="C5932" t="s">
        <v>698</v>
      </c>
      <c r="D5932" t="s">
        <v>11892</v>
      </c>
      <c r="E5932" t="s">
        <v>774</v>
      </c>
    </row>
    <row r="5933" spans="1:5" x14ac:dyDescent="0.3">
      <c r="A5933" t="s">
        <v>266</v>
      </c>
      <c r="B5933" t="s">
        <v>2386</v>
      </c>
      <c r="C5933" t="s">
        <v>456</v>
      </c>
      <c r="D5933" t="s">
        <v>12272</v>
      </c>
      <c r="E5933" t="s">
        <v>18</v>
      </c>
    </row>
    <row r="5934" spans="1:5" x14ac:dyDescent="0.3">
      <c r="A5934" t="s">
        <v>997</v>
      </c>
      <c r="B5934" t="s">
        <v>12274</v>
      </c>
      <c r="C5934" t="s">
        <v>456</v>
      </c>
      <c r="D5934" t="s">
        <v>12273</v>
      </c>
      <c r="E5934" t="s">
        <v>774</v>
      </c>
    </row>
    <row r="5935" spans="1:5" x14ac:dyDescent="0.3">
      <c r="A5935" t="s">
        <v>220</v>
      </c>
      <c r="B5935" t="s">
        <v>12276</v>
      </c>
      <c r="C5935" t="s">
        <v>12275</v>
      </c>
      <c r="D5935" t="s">
        <v>1079</v>
      </c>
      <c r="E5935" t="s">
        <v>774</v>
      </c>
    </row>
    <row r="5936" spans="1:5" x14ac:dyDescent="0.3">
      <c r="A5936" t="s">
        <v>41</v>
      </c>
      <c r="B5936" t="s">
        <v>4380</v>
      </c>
      <c r="C5936" t="s">
        <v>8066</v>
      </c>
      <c r="D5936" t="s">
        <v>8770</v>
      </c>
      <c r="E5936" t="s">
        <v>75</v>
      </c>
    </row>
    <row r="5937" spans="1:5" x14ac:dyDescent="0.3">
      <c r="A5937" t="s">
        <v>843</v>
      </c>
      <c r="B5937" t="s">
        <v>12278</v>
      </c>
      <c r="C5937" t="s">
        <v>720</v>
      </c>
      <c r="D5937" t="s">
        <v>12277</v>
      </c>
      <c r="E5937" t="s">
        <v>774</v>
      </c>
    </row>
    <row r="5938" spans="1:5" x14ac:dyDescent="0.3">
      <c r="A5938" t="s">
        <v>160</v>
      </c>
      <c r="B5938" t="s">
        <v>12281</v>
      </c>
      <c r="C5938" t="s">
        <v>12280</v>
      </c>
      <c r="D5938" t="s">
        <v>12279</v>
      </c>
      <c r="E5938" t="s">
        <v>774</v>
      </c>
    </row>
    <row r="5939" spans="1:5" x14ac:dyDescent="0.3">
      <c r="A5939" t="s">
        <v>12283</v>
      </c>
      <c r="B5939" t="s">
        <v>7022</v>
      </c>
      <c r="C5939" t="s">
        <v>457</v>
      </c>
      <c r="D5939" t="s">
        <v>12282</v>
      </c>
      <c r="E5939" t="s">
        <v>774</v>
      </c>
    </row>
    <row r="5940" spans="1:5" x14ac:dyDescent="0.3">
      <c r="A5940" t="s">
        <v>12284</v>
      </c>
      <c r="B5940" t="s">
        <v>12286</v>
      </c>
      <c r="C5940" t="s">
        <v>12285</v>
      </c>
      <c r="D5940" t="s">
        <v>1162</v>
      </c>
      <c r="E5940" t="s">
        <v>774</v>
      </c>
    </row>
    <row r="5941" spans="1:5" x14ac:dyDescent="0.3">
      <c r="A5941" t="s">
        <v>12289</v>
      </c>
      <c r="B5941" t="s">
        <v>12290</v>
      </c>
      <c r="C5941" t="s">
        <v>862</v>
      </c>
      <c r="D5941" t="s">
        <v>12288</v>
      </c>
      <c r="E5941" t="s">
        <v>774</v>
      </c>
    </row>
    <row r="5942" spans="1:5" x14ac:dyDescent="0.3">
      <c r="A5942" t="s">
        <v>342</v>
      </c>
      <c r="B5942" t="s">
        <v>4707</v>
      </c>
      <c r="C5942" t="s">
        <v>457</v>
      </c>
      <c r="D5942" t="s">
        <v>12291</v>
      </c>
      <c r="E5942" t="s">
        <v>774</v>
      </c>
    </row>
    <row r="5943" spans="1:5" x14ac:dyDescent="0.3">
      <c r="A5943" t="s">
        <v>8881</v>
      </c>
      <c r="B5943" t="s">
        <v>3359</v>
      </c>
      <c r="C5943" t="s">
        <v>698</v>
      </c>
      <c r="D5943" t="s">
        <v>12292</v>
      </c>
      <c r="E5943" t="s">
        <v>774</v>
      </c>
    </row>
    <row r="5944" spans="1:5" x14ac:dyDescent="0.3">
      <c r="A5944" t="s">
        <v>116</v>
      </c>
      <c r="B5944" t="s">
        <v>3724</v>
      </c>
      <c r="C5944" t="s">
        <v>456</v>
      </c>
      <c r="D5944" t="s">
        <v>12293</v>
      </c>
      <c r="E5944" t="s">
        <v>774</v>
      </c>
    </row>
    <row r="5945" spans="1:5" x14ac:dyDescent="0.3">
      <c r="A5945" t="s">
        <v>4652</v>
      </c>
      <c r="B5945" t="s">
        <v>8848</v>
      </c>
      <c r="C5945" t="s">
        <v>12294</v>
      </c>
      <c r="D5945" t="s">
        <v>8952</v>
      </c>
      <c r="E5945" t="s">
        <v>743</v>
      </c>
    </row>
    <row r="5946" spans="1:5" x14ac:dyDescent="0.3">
      <c r="A5946" t="s">
        <v>12295</v>
      </c>
      <c r="B5946" t="s">
        <v>4647</v>
      </c>
      <c r="C5946" t="s">
        <v>12296</v>
      </c>
      <c r="D5946" t="s">
        <v>11869</v>
      </c>
      <c r="E5946" t="s">
        <v>774</v>
      </c>
    </row>
    <row r="5947" spans="1:5" x14ac:dyDescent="0.3">
      <c r="A5947" t="s">
        <v>997</v>
      </c>
      <c r="B5947" t="s">
        <v>90</v>
      </c>
      <c r="C5947" t="s">
        <v>457</v>
      </c>
      <c r="D5947" t="s">
        <v>12297</v>
      </c>
      <c r="E5947" t="s">
        <v>774</v>
      </c>
    </row>
    <row r="5948" spans="1:5" x14ac:dyDescent="0.3">
      <c r="A5948" t="s">
        <v>12299</v>
      </c>
      <c r="B5948" t="s">
        <v>12300</v>
      </c>
      <c r="C5948" t="s">
        <v>698</v>
      </c>
      <c r="D5948" t="s">
        <v>12298</v>
      </c>
      <c r="E5948" t="s">
        <v>774</v>
      </c>
    </row>
    <row r="5949" spans="1:5" x14ac:dyDescent="0.3">
      <c r="A5949" t="s">
        <v>132</v>
      </c>
      <c r="B5949" t="s">
        <v>3323</v>
      </c>
      <c r="C5949" t="s">
        <v>12301</v>
      </c>
      <c r="D5949" t="s">
        <v>751</v>
      </c>
      <c r="E5949" t="s">
        <v>1</v>
      </c>
    </row>
    <row r="5950" spans="1:5" x14ac:dyDescent="0.3">
      <c r="A5950" t="s">
        <v>12303</v>
      </c>
      <c r="B5950" t="s">
        <v>12304</v>
      </c>
      <c r="C5950" t="s">
        <v>456</v>
      </c>
      <c r="D5950" t="s">
        <v>12302</v>
      </c>
      <c r="E5950" t="s">
        <v>774</v>
      </c>
    </row>
    <row r="5951" spans="1:5" x14ac:dyDescent="0.3">
      <c r="A5951" t="s">
        <v>2969</v>
      </c>
      <c r="B5951" t="s">
        <v>252</v>
      </c>
      <c r="C5951" t="s">
        <v>461</v>
      </c>
      <c r="D5951" t="s">
        <v>12306</v>
      </c>
      <c r="E5951" t="s">
        <v>774</v>
      </c>
    </row>
    <row r="5952" spans="1:5" x14ac:dyDescent="0.3">
      <c r="A5952" t="s">
        <v>2768</v>
      </c>
      <c r="B5952" t="s">
        <v>12307</v>
      </c>
      <c r="C5952" t="s">
        <v>456</v>
      </c>
      <c r="D5952" t="s">
        <v>990</v>
      </c>
      <c r="E5952" t="s">
        <v>758</v>
      </c>
    </row>
    <row r="5953" spans="1:5" x14ac:dyDescent="0.3">
      <c r="A5953" t="s">
        <v>1612</v>
      </c>
      <c r="B5953" t="s">
        <v>1337</v>
      </c>
      <c r="C5953" t="s">
        <v>6327</v>
      </c>
      <c r="D5953" t="s">
        <v>11841</v>
      </c>
      <c r="E5953" t="s">
        <v>774</v>
      </c>
    </row>
    <row r="5954" spans="1:5" x14ac:dyDescent="0.3">
      <c r="A5954" t="s">
        <v>2947</v>
      </c>
      <c r="B5954" t="s">
        <v>5189</v>
      </c>
      <c r="C5954" t="s">
        <v>456</v>
      </c>
      <c r="D5954" t="s">
        <v>5188</v>
      </c>
      <c r="E5954" t="s">
        <v>743</v>
      </c>
    </row>
    <row r="5955" spans="1:5" x14ac:dyDescent="0.3">
      <c r="A5955" t="s">
        <v>131</v>
      </c>
      <c r="B5955" t="s">
        <v>5150</v>
      </c>
      <c r="C5955" t="s">
        <v>9218</v>
      </c>
      <c r="D5955" t="s">
        <v>12308</v>
      </c>
      <c r="E5955" t="s">
        <v>774</v>
      </c>
    </row>
    <row r="5956" spans="1:5" x14ac:dyDescent="0.3">
      <c r="A5956" t="s">
        <v>168</v>
      </c>
      <c r="B5956" t="s">
        <v>4968</v>
      </c>
      <c r="C5956" t="s">
        <v>12310</v>
      </c>
      <c r="D5956" t="s">
        <v>12309</v>
      </c>
      <c r="E5956" t="s">
        <v>774</v>
      </c>
    </row>
    <row r="5957" spans="1:5" x14ac:dyDescent="0.3">
      <c r="A5957" t="s">
        <v>12312</v>
      </c>
      <c r="B5957" t="s">
        <v>830</v>
      </c>
      <c r="C5957" t="s">
        <v>745</v>
      </c>
      <c r="D5957" t="s">
        <v>12311</v>
      </c>
      <c r="E5957" t="s">
        <v>774</v>
      </c>
    </row>
    <row r="5958" spans="1:5" x14ac:dyDescent="0.3">
      <c r="A5958" t="s">
        <v>10368</v>
      </c>
      <c r="B5958" t="s">
        <v>12315</v>
      </c>
      <c r="C5958" t="s">
        <v>12314</v>
      </c>
      <c r="D5958" t="s">
        <v>12313</v>
      </c>
      <c r="E5958" t="s">
        <v>774</v>
      </c>
    </row>
    <row r="5959" spans="1:5" x14ac:dyDescent="0.3">
      <c r="A5959" t="s">
        <v>100</v>
      </c>
      <c r="B5959" t="s">
        <v>5330</v>
      </c>
      <c r="C5959" t="s">
        <v>461</v>
      </c>
      <c r="D5959" t="s">
        <v>12316</v>
      </c>
      <c r="E5959" t="s">
        <v>774</v>
      </c>
    </row>
    <row r="5960" spans="1:5" x14ac:dyDescent="0.3">
      <c r="A5960" t="s">
        <v>12317</v>
      </c>
      <c r="B5960" t="s">
        <v>1298</v>
      </c>
      <c r="C5960" t="s">
        <v>862</v>
      </c>
      <c r="D5960" t="s">
        <v>768</v>
      </c>
      <c r="E5960" t="s">
        <v>1</v>
      </c>
    </row>
    <row r="5961" spans="1:5" x14ac:dyDescent="0.3">
      <c r="A5961" t="s">
        <v>3959</v>
      </c>
      <c r="B5961" t="s">
        <v>12320</v>
      </c>
      <c r="C5961" t="s">
        <v>12319</v>
      </c>
      <c r="D5961" t="s">
        <v>12318</v>
      </c>
      <c r="E5961" t="s">
        <v>774</v>
      </c>
    </row>
    <row r="5962" spans="1:5" x14ac:dyDescent="0.3">
      <c r="A5962" t="s">
        <v>12322</v>
      </c>
      <c r="B5962" t="s">
        <v>9776</v>
      </c>
      <c r="C5962" t="s">
        <v>6632</v>
      </c>
      <c r="D5962" t="s">
        <v>12321</v>
      </c>
      <c r="E5962" t="s">
        <v>774</v>
      </c>
    </row>
    <row r="5963" spans="1:5" x14ac:dyDescent="0.3">
      <c r="A5963" t="s">
        <v>112</v>
      </c>
      <c r="B5963" t="s">
        <v>12325</v>
      </c>
      <c r="C5963" t="s">
        <v>12324</v>
      </c>
      <c r="D5963" t="s">
        <v>12323</v>
      </c>
      <c r="E5963" t="s">
        <v>774</v>
      </c>
    </row>
    <row r="5964" spans="1:5" x14ac:dyDescent="0.3">
      <c r="A5964" t="s">
        <v>3992</v>
      </c>
      <c r="B5964" t="s">
        <v>12327</v>
      </c>
      <c r="C5964" t="s">
        <v>698</v>
      </c>
      <c r="D5964" t="s">
        <v>12326</v>
      </c>
      <c r="E5964" t="s">
        <v>774</v>
      </c>
    </row>
    <row r="5965" spans="1:5" x14ac:dyDescent="0.3">
      <c r="A5965" t="s">
        <v>131</v>
      </c>
      <c r="B5965" t="s">
        <v>7013</v>
      </c>
      <c r="C5965" t="s">
        <v>720</v>
      </c>
      <c r="D5965" t="s">
        <v>12328</v>
      </c>
      <c r="E5965" t="s">
        <v>774</v>
      </c>
    </row>
    <row r="5966" spans="1:5" x14ac:dyDescent="0.3">
      <c r="A5966" t="s">
        <v>12330</v>
      </c>
      <c r="B5966" t="s">
        <v>11761</v>
      </c>
      <c r="C5966" t="s">
        <v>698</v>
      </c>
      <c r="D5966" t="s">
        <v>11759</v>
      </c>
      <c r="E5966" t="s">
        <v>774</v>
      </c>
    </row>
    <row r="5967" spans="1:5" x14ac:dyDescent="0.3">
      <c r="A5967" t="s">
        <v>6766</v>
      </c>
      <c r="B5967" t="s">
        <v>12332</v>
      </c>
      <c r="C5967" t="s">
        <v>698</v>
      </c>
      <c r="D5967" t="s">
        <v>12331</v>
      </c>
      <c r="E5967" t="s">
        <v>774</v>
      </c>
    </row>
    <row r="5968" spans="1:5" x14ac:dyDescent="0.3">
      <c r="A5968" t="s">
        <v>864</v>
      </c>
      <c r="B5968" t="s">
        <v>400</v>
      </c>
      <c r="C5968" t="s">
        <v>6466</v>
      </c>
      <c r="D5968" t="s">
        <v>12333</v>
      </c>
      <c r="E5968" t="s">
        <v>774</v>
      </c>
    </row>
    <row r="5969" spans="1:5" x14ac:dyDescent="0.3">
      <c r="A5969" t="s">
        <v>1396</v>
      </c>
      <c r="B5969" t="s">
        <v>5646</v>
      </c>
      <c r="C5969" t="s">
        <v>457</v>
      </c>
      <c r="D5969" t="s">
        <v>12334</v>
      </c>
      <c r="E5969" t="s">
        <v>774</v>
      </c>
    </row>
    <row r="5970" spans="1:5" x14ac:dyDescent="0.3">
      <c r="A5970" t="s">
        <v>740</v>
      </c>
      <c r="B5970" t="s">
        <v>4918</v>
      </c>
      <c r="C5970" t="s">
        <v>456</v>
      </c>
      <c r="D5970" t="s">
        <v>3352</v>
      </c>
      <c r="E5970" t="s">
        <v>774</v>
      </c>
    </row>
    <row r="5971" spans="1:5" x14ac:dyDescent="0.3">
      <c r="A5971" t="s">
        <v>3219</v>
      </c>
      <c r="B5971" t="s">
        <v>12337</v>
      </c>
      <c r="C5971" t="s">
        <v>12336</v>
      </c>
      <c r="D5971" t="s">
        <v>12335</v>
      </c>
      <c r="E5971" t="s">
        <v>774</v>
      </c>
    </row>
    <row r="5972" spans="1:5" x14ac:dyDescent="0.3">
      <c r="A5972" t="s">
        <v>12338</v>
      </c>
      <c r="B5972" t="s">
        <v>1464</v>
      </c>
      <c r="C5972" t="s">
        <v>628</v>
      </c>
    </row>
    <row r="5973" spans="1:5" x14ac:dyDescent="0.3">
      <c r="A5973" t="s">
        <v>12339</v>
      </c>
      <c r="B5973" t="s">
        <v>2297</v>
      </c>
      <c r="C5973" t="s">
        <v>12340</v>
      </c>
      <c r="D5973" t="s">
        <v>1735</v>
      </c>
      <c r="E5973" t="s">
        <v>741</v>
      </c>
    </row>
    <row r="5974" spans="1:5" x14ac:dyDescent="0.3">
      <c r="A5974" t="s">
        <v>342</v>
      </c>
      <c r="B5974" t="s">
        <v>12342</v>
      </c>
      <c r="C5974" t="s">
        <v>12341</v>
      </c>
      <c r="D5974" t="s">
        <v>1500</v>
      </c>
      <c r="E5974" t="s">
        <v>741</v>
      </c>
    </row>
    <row r="5975" spans="1:5" x14ac:dyDescent="0.3">
      <c r="A5975" t="s">
        <v>1240</v>
      </c>
      <c r="B5975" t="s">
        <v>1432</v>
      </c>
      <c r="C5975" t="s">
        <v>12343</v>
      </c>
    </row>
    <row r="5976" spans="1:5" x14ac:dyDescent="0.3">
      <c r="A5976" t="s">
        <v>100</v>
      </c>
      <c r="B5976" t="s">
        <v>10879</v>
      </c>
      <c r="C5976" t="s">
        <v>12345</v>
      </c>
      <c r="D5976" t="s">
        <v>12344</v>
      </c>
      <c r="E5976" t="s">
        <v>774</v>
      </c>
    </row>
    <row r="5977" spans="1:5" x14ac:dyDescent="0.3">
      <c r="A5977" t="s">
        <v>12346</v>
      </c>
      <c r="B5977" t="s">
        <v>4752</v>
      </c>
      <c r="C5977" t="s">
        <v>698</v>
      </c>
      <c r="D5977" t="s">
        <v>5364</v>
      </c>
      <c r="E5977" t="s">
        <v>841</v>
      </c>
    </row>
    <row r="5978" spans="1:5" x14ac:dyDescent="0.3">
      <c r="A5978" t="s">
        <v>51</v>
      </c>
      <c r="B5978" t="s">
        <v>4714</v>
      </c>
      <c r="C5978" t="s">
        <v>7961</v>
      </c>
      <c r="D5978" t="s">
        <v>12347</v>
      </c>
      <c r="E5978" t="s">
        <v>774</v>
      </c>
    </row>
    <row r="5979" spans="1:5" x14ac:dyDescent="0.3">
      <c r="A5979" t="s">
        <v>132</v>
      </c>
      <c r="B5979" t="s">
        <v>12348</v>
      </c>
      <c r="C5979" t="s">
        <v>457</v>
      </c>
      <c r="D5979" t="s">
        <v>5459</v>
      </c>
      <c r="E5979" t="s">
        <v>774</v>
      </c>
    </row>
    <row r="5980" spans="1:5" x14ac:dyDescent="0.3">
      <c r="A5980" t="s">
        <v>331</v>
      </c>
      <c r="B5980" t="s">
        <v>4836</v>
      </c>
      <c r="C5980" t="s">
        <v>456</v>
      </c>
      <c r="D5980" t="s">
        <v>5467</v>
      </c>
      <c r="E5980" t="s">
        <v>741</v>
      </c>
    </row>
    <row r="5981" spans="1:5" x14ac:dyDescent="0.3">
      <c r="A5981" t="s">
        <v>12349</v>
      </c>
      <c r="B5981" t="s">
        <v>8241</v>
      </c>
      <c r="C5981" t="s">
        <v>455</v>
      </c>
      <c r="D5981" t="s">
        <v>11664</v>
      </c>
      <c r="E5981" t="s">
        <v>18</v>
      </c>
    </row>
    <row r="5982" spans="1:5" x14ac:dyDescent="0.3">
      <c r="A5982" t="s">
        <v>4045</v>
      </c>
      <c r="B5982" t="s">
        <v>1737</v>
      </c>
      <c r="C5982" t="s">
        <v>7965</v>
      </c>
      <c r="D5982" t="s">
        <v>12350</v>
      </c>
      <c r="E5982" t="s">
        <v>774</v>
      </c>
    </row>
    <row r="5983" spans="1:5" x14ac:dyDescent="0.3">
      <c r="A5983" t="s">
        <v>59</v>
      </c>
      <c r="B5983" t="s">
        <v>12353</v>
      </c>
      <c r="C5983" t="s">
        <v>12352</v>
      </c>
      <c r="D5983" t="s">
        <v>12351</v>
      </c>
      <c r="E5983" t="s">
        <v>774</v>
      </c>
    </row>
    <row r="5984" spans="1:5" x14ac:dyDescent="0.3">
      <c r="A5984" t="s">
        <v>1278</v>
      </c>
      <c r="B5984" t="s">
        <v>12356</v>
      </c>
      <c r="C5984" t="s">
        <v>12355</v>
      </c>
      <c r="D5984" t="s">
        <v>12354</v>
      </c>
      <c r="E5984" t="s">
        <v>774</v>
      </c>
    </row>
    <row r="5985" spans="1:5" x14ac:dyDescent="0.3">
      <c r="A5985" t="s">
        <v>131</v>
      </c>
      <c r="B5985" t="s">
        <v>4803</v>
      </c>
      <c r="C5985" t="s">
        <v>698</v>
      </c>
      <c r="D5985" t="s">
        <v>12357</v>
      </c>
      <c r="E5985" t="s">
        <v>774</v>
      </c>
    </row>
    <row r="5986" spans="1:5" x14ac:dyDescent="0.3">
      <c r="A5986" t="s">
        <v>370</v>
      </c>
      <c r="B5986" t="s">
        <v>12359</v>
      </c>
      <c r="C5986" t="s">
        <v>7064</v>
      </c>
      <c r="D5986" t="s">
        <v>12358</v>
      </c>
      <c r="E5986" t="s">
        <v>774</v>
      </c>
    </row>
    <row r="5987" spans="1:5" x14ac:dyDescent="0.3">
      <c r="A5987" t="s">
        <v>230</v>
      </c>
      <c r="B5987" t="s">
        <v>12361</v>
      </c>
      <c r="C5987" t="s">
        <v>698</v>
      </c>
      <c r="D5987" t="s">
        <v>12360</v>
      </c>
      <c r="E5987" t="s">
        <v>774</v>
      </c>
    </row>
    <row r="5988" spans="1:5" x14ac:dyDescent="0.3">
      <c r="A5988" t="s">
        <v>4697</v>
      </c>
      <c r="B5988" t="s">
        <v>12364</v>
      </c>
      <c r="C5988" t="s">
        <v>4645</v>
      </c>
      <c r="D5988" t="s">
        <v>12363</v>
      </c>
      <c r="E5988" t="s">
        <v>774</v>
      </c>
    </row>
    <row r="5989" spans="1:5" x14ac:dyDescent="0.3">
      <c r="A5989" t="s">
        <v>399</v>
      </c>
      <c r="B5989" t="s">
        <v>12367</v>
      </c>
      <c r="C5989" t="s">
        <v>12366</v>
      </c>
      <c r="D5989" t="s">
        <v>12365</v>
      </c>
      <c r="E5989" t="s">
        <v>774</v>
      </c>
    </row>
    <row r="5990" spans="1:5" x14ac:dyDescent="0.3">
      <c r="A5990" t="s">
        <v>2783</v>
      </c>
      <c r="B5990" t="s">
        <v>9594</v>
      </c>
      <c r="C5990" t="s">
        <v>3555</v>
      </c>
      <c r="D5990" t="s">
        <v>12368</v>
      </c>
      <c r="E5990" t="s">
        <v>18</v>
      </c>
    </row>
    <row r="5991" spans="1:5" x14ac:dyDescent="0.3">
      <c r="A5991" t="s">
        <v>1706</v>
      </c>
      <c r="B5991" t="s">
        <v>750</v>
      </c>
      <c r="C5991" t="s">
        <v>4102</v>
      </c>
      <c r="D5991" t="s">
        <v>12369</v>
      </c>
      <c r="E5991" t="s">
        <v>774</v>
      </c>
    </row>
    <row r="5992" spans="1:5" x14ac:dyDescent="0.3">
      <c r="A5992" t="s">
        <v>68</v>
      </c>
      <c r="B5992" t="s">
        <v>12372</v>
      </c>
      <c r="C5992" t="s">
        <v>12371</v>
      </c>
      <c r="D5992" t="s">
        <v>12370</v>
      </c>
      <c r="E5992" t="s">
        <v>774</v>
      </c>
    </row>
    <row r="5993" spans="1:5" x14ac:dyDescent="0.3">
      <c r="A5993" t="s">
        <v>11696</v>
      </c>
      <c r="B5993" t="s">
        <v>12374</v>
      </c>
      <c r="C5993" t="s">
        <v>456</v>
      </c>
      <c r="D5993" t="s">
        <v>12373</v>
      </c>
      <c r="E5993" t="s">
        <v>774</v>
      </c>
    </row>
    <row r="5994" spans="1:5" x14ac:dyDescent="0.3">
      <c r="A5994" t="s">
        <v>1133</v>
      </c>
      <c r="B5994" t="s">
        <v>12376</v>
      </c>
      <c r="C5994" t="s">
        <v>457</v>
      </c>
      <c r="D5994" t="s">
        <v>12375</v>
      </c>
      <c r="E5994" t="s">
        <v>774</v>
      </c>
    </row>
    <row r="5995" spans="1:5" x14ac:dyDescent="0.3">
      <c r="A5995" t="s">
        <v>860</v>
      </c>
      <c r="B5995" t="s">
        <v>3354</v>
      </c>
      <c r="C5995" t="s">
        <v>461</v>
      </c>
      <c r="D5995" t="s">
        <v>12377</v>
      </c>
      <c r="E5995" t="s">
        <v>774</v>
      </c>
    </row>
    <row r="5996" spans="1:5" x14ac:dyDescent="0.3">
      <c r="A5996" t="s">
        <v>12379</v>
      </c>
      <c r="B5996" t="s">
        <v>3065</v>
      </c>
      <c r="C5996" t="s">
        <v>698</v>
      </c>
      <c r="D5996" t="s">
        <v>12378</v>
      </c>
      <c r="E5996" t="s">
        <v>774</v>
      </c>
    </row>
    <row r="5997" spans="1:5" x14ac:dyDescent="0.3">
      <c r="A5997" t="s">
        <v>12380</v>
      </c>
      <c r="B5997" t="s">
        <v>12381</v>
      </c>
      <c r="C5997" t="s">
        <v>11589</v>
      </c>
      <c r="D5997" t="s">
        <v>11587</v>
      </c>
      <c r="E5997" t="s">
        <v>774</v>
      </c>
    </row>
    <row r="5998" spans="1:5" x14ac:dyDescent="0.3">
      <c r="A5998" t="s">
        <v>12383</v>
      </c>
      <c r="B5998" t="s">
        <v>12385</v>
      </c>
      <c r="C5998" t="s">
        <v>12384</v>
      </c>
      <c r="D5998" t="s">
        <v>12382</v>
      </c>
      <c r="E5998" t="s">
        <v>774</v>
      </c>
    </row>
    <row r="5999" spans="1:5" x14ac:dyDescent="0.3">
      <c r="A5999" t="s">
        <v>12387</v>
      </c>
      <c r="B5999" t="s">
        <v>12389</v>
      </c>
      <c r="C5999" t="s">
        <v>12388</v>
      </c>
      <c r="D5999" t="s">
        <v>12386</v>
      </c>
      <c r="E5999" t="s">
        <v>774</v>
      </c>
    </row>
    <row r="6000" spans="1:5" x14ac:dyDescent="0.3">
      <c r="A6000" t="s">
        <v>12391</v>
      </c>
      <c r="B6000" t="s">
        <v>2380</v>
      </c>
      <c r="C6000" t="s">
        <v>698</v>
      </c>
      <c r="D6000" t="s">
        <v>12390</v>
      </c>
      <c r="E6000" t="s">
        <v>774</v>
      </c>
    </row>
    <row r="6001" spans="1:5" x14ac:dyDescent="0.3">
      <c r="A6001" t="s">
        <v>4470</v>
      </c>
      <c r="B6001" t="s">
        <v>12392</v>
      </c>
      <c r="C6001" t="s">
        <v>698</v>
      </c>
      <c r="D6001" t="s">
        <v>6389</v>
      </c>
      <c r="E6001" t="s">
        <v>774</v>
      </c>
    </row>
    <row r="6002" spans="1:5" x14ac:dyDescent="0.3">
      <c r="A6002" t="s">
        <v>3614</v>
      </c>
      <c r="B6002" t="s">
        <v>7616</v>
      </c>
      <c r="C6002" t="s">
        <v>12394</v>
      </c>
      <c r="D6002" t="s">
        <v>12393</v>
      </c>
      <c r="E6002" t="s">
        <v>774</v>
      </c>
    </row>
    <row r="6003" spans="1:5" x14ac:dyDescent="0.3">
      <c r="A6003" t="s">
        <v>12395</v>
      </c>
      <c r="B6003" t="s">
        <v>12396</v>
      </c>
      <c r="C6003" t="s">
        <v>698</v>
      </c>
    </row>
    <row r="6004" spans="1:5" x14ac:dyDescent="0.3">
      <c r="A6004" t="s">
        <v>2516</v>
      </c>
      <c r="B6004" t="s">
        <v>12398</v>
      </c>
      <c r="C6004" t="s">
        <v>698</v>
      </c>
      <c r="D6004" t="s">
        <v>12397</v>
      </c>
      <c r="E6004" t="s">
        <v>841</v>
      </c>
    </row>
    <row r="6005" spans="1:5" x14ac:dyDescent="0.3">
      <c r="A6005" t="s">
        <v>138</v>
      </c>
      <c r="B6005" t="s">
        <v>7078</v>
      </c>
      <c r="C6005" t="s">
        <v>745</v>
      </c>
      <c r="D6005" t="s">
        <v>12399</v>
      </c>
      <c r="E6005" t="s">
        <v>774</v>
      </c>
    </row>
    <row r="6006" spans="1:5" x14ac:dyDescent="0.3">
      <c r="A6006" t="s">
        <v>445</v>
      </c>
      <c r="B6006" t="s">
        <v>12402</v>
      </c>
      <c r="C6006" t="s">
        <v>456</v>
      </c>
      <c r="D6006" t="s">
        <v>12401</v>
      </c>
      <c r="E6006" t="s">
        <v>774</v>
      </c>
    </row>
    <row r="6007" spans="1:5" x14ac:dyDescent="0.3">
      <c r="A6007" t="s">
        <v>11822</v>
      </c>
      <c r="B6007" t="s">
        <v>12403</v>
      </c>
      <c r="C6007" t="s">
        <v>455</v>
      </c>
      <c r="D6007" t="s">
        <v>11509</v>
      </c>
      <c r="E6007" t="s">
        <v>774</v>
      </c>
    </row>
    <row r="6008" spans="1:5" x14ac:dyDescent="0.3">
      <c r="A6008" t="s">
        <v>2807</v>
      </c>
      <c r="B6008" t="s">
        <v>171</v>
      </c>
      <c r="C6008" t="s">
        <v>12404</v>
      </c>
      <c r="D6008" t="s">
        <v>12400</v>
      </c>
      <c r="E6008" t="s">
        <v>774</v>
      </c>
    </row>
    <row r="6009" spans="1:5" x14ac:dyDescent="0.3">
      <c r="A6009" t="s">
        <v>3755</v>
      </c>
      <c r="B6009" t="s">
        <v>12406</v>
      </c>
      <c r="C6009" t="s">
        <v>456</v>
      </c>
      <c r="D6009" t="s">
        <v>12405</v>
      </c>
      <c r="E6009" t="s">
        <v>741</v>
      </c>
    </row>
    <row r="6010" spans="1:5" x14ac:dyDescent="0.3">
      <c r="A6010" t="s">
        <v>1617</v>
      </c>
      <c r="B6010" t="s">
        <v>12408</v>
      </c>
      <c r="C6010" t="s">
        <v>12407</v>
      </c>
      <c r="D6010" t="s">
        <v>11500</v>
      </c>
      <c r="E6010" t="s">
        <v>774</v>
      </c>
    </row>
    <row r="6011" spans="1:5" x14ac:dyDescent="0.3">
      <c r="A6011" t="s">
        <v>12409</v>
      </c>
      <c r="B6011" t="s">
        <v>171</v>
      </c>
      <c r="C6011" t="s">
        <v>698</v>
      </c>
      <c r="D6011" t="s">
        <v>11493</v>
      </c>
      <c r="E6011" t="s">
        <v>774</v>
      </c>
    </row>
    <row r="6012" spans="1:5" x14ac:dyDescent="0.3">
      <c r="A6012" t="s">
        <v>12411</v>
      </c>
      <c r="B6012" t="s">
        <v>6976</v>
      </c>
      <c r="C6012" t="s">
        <v>10080</v>
      </c>
      <c r="D6012" t="s">
        <v>12410</v>
      </c>
      <c r="E6012" t="s">
        <v>774</v>
      </c>
    </row>
    <row r="6013" spans="1:5" x14ac:dyDescent="0.3">
      <c r="A6013" t="s">
        <v>261</v>
      </c>
      <c r="B6013" t="s">
        <v>3259</v>
      </c>
      <c r="C6013" t="s">
        <v>698</v>
      </c>
      <c r="D6013" t="s">
        <v>12412</v>
      </c>
      <c r="E6013" t="s">
        <v>774</v>
      </c>
    </row>
    <row r="6014" spans="1:5" x14ac:dyDescent="0.3">
      <c r="A6014" t="s">
        <v>194</v>
      </c>
      <c r="B6014" t="s">
        <v>12415</v>
      </c>
      <c r="C6014" t="s">
        <v>12414</v>
      </c>
      <c r="D6014" t="s">
        <v>12413</v>
      </c>
      <c r="E6014" t="s">
        <v>774</v>
      </c>
    </row>
    <row r="6015" spans="1:5" x14ac:dyDescent="0.3">
      <c r="A6015" t="s">
        <v>1970</v>
      </c>
      <c r="B6015" t="s">
        <v>12417</v>
      </c>
      <c r="C6015" t="s">
        <v>11825</v>
      </c>
      <c r="D6015" t="s">
        <v>12416</v>
      </c>
      <c r="E6015" t="s">
        <v>774</v>
      </c>
    </row>
    <row r="6016" spans="1:5" x14ac:dyDescent="0.3">
      <c r="A6016" t="s">
        <v>2674</v>
      </c>
      <c r="B6016" t="s">
        <v>1351</v>
      </c>
      <c r="C6016" t="s">
        <v>456</v>
      </c>
      <c r="D6016" t="s">
        <v>3244</v>
      </c>
      <c r="E6016" t="s">
        <v>781</v>
      </c>
    </row>
    <row r="6017" spans="1:5" x14ac:dyDescent="0.3">
      <c r="A6017" t="s">
        <v>1297</v>
      </c>
      <c r="B6017" t="s">
        <v>12419</v>
      </c>
      <c r="C6017" t="s">
        <v>12418</v>
      </c>
    </row>
    <row r="6018" spans="1:5" x14ac:dyDescent="0.3">
      <c r="A6018" t="s">
        <v>123</v>
      </c>
      <c r="B6018" t="s">
        <v>828</v>
      </c>
      <c r="C6018" t="s">
        <v>7893</v>
      </c>
      <c r="D6018" t="s">
        <v>12420</v>
      </c>
      <c r="E6018" t="s">
        <v>774</v>
      </c>
    </row>
    <row r="6019" spans="1:5" x14ac:dyDescent="0.3">
      <c r="A6019" t="s">
        <v>5035</v>
      </c>
      <c r="B6019" t="s">
        <v>8320</v>
      </c>
      <c r="C6019" t="s">
        <v>698</v>
      </c>
      <c r="D6019" t="s">
        <v>1452</v>
      </c>
      <c r="E6019" t="s">
        <v>841</v>
      </c>
    </row>
    <row r="6020" spans="1:5" x14ac:dyDescent="0.3">
      <c r="A6020" t="s">
        <v>82</v>
      </c>
      <c r="B6020" t="s">
        <v>12423</v>
      </c>
      <c r="C6020" t="s">
        <v>12422</v>
      </c>
      <c r="D6020" t="s">
        <v>12421</v>
      </c>
      <c r="E6020" t="s">
        <v>774</v>
      </c>
    </row>
    <row r="6021" spans="1:5" x14ac:dyDescent="0.3">
      <c r="A6021" t="s">
        <v>10602</v>
      </c>
      <c r="B6021" t="s">
        <v>12425</v>
      </c>
      <c r="C6021" t="s">
        <v>461</v>
      </c>
      <c r="D6021" t="s">
        <v>12424</v>
      </c>
      <c r="E6021" t="s">
        <v>774</v>
      </c>
    </row>
    <row r="6022" spans="1:5" x14ac:dyDescent="0.3">
      <c r="A6022" t="s">
        <v>12427</v>
      </c>
      <c r="B6022" t="s">
        <v>1149</v>
      </c>
      <c r="C6022" t="s">
        <v>698</v>
      </c>
      <c r="D6022" t="s">
        <v>12426</v>
      </c>
      <c r="E6022" t="s">
        <v>774</v>
      </c>
    </row>
    <row r="6023" spans="1:5" x14ac:dyDescent="0.3">
      <c r="A6023" t="s">
        <v>224</v>
      </c>
      <c r="B6023" t="s">
        <v>287</v>
      </c>
      <c r="C6023" t="s">
        <v>12429</v>
      </c>
      <c r="D6023" t="s">
        <v>12428</v>
      </c>
      <c r="E6023" t="s">
        <v>781</v>
      </c>
    </row>
    <row r="6024" spans="1:5" x14ac:dyDescent="0.3">
      <c r="A6024" t="s">
        <v>1979</v>
      </c>
      <c r="B6024" t="s">
        <v>12431</v>
      </c>
      <c r="C6024" t="s">
        <v>12430</v>
      </c>
      <c r="D6024" t="s">
        <v>763</v>
      </c>
      <c r="E6024" t="s">
        <v>1</v>
      </c>
    </row>
    <row r="6025" spans="1:5" x14ac:dyDescent="0.3">
      <c r="A6025" t="s">
        <v>3074</v>
      </c>
      <c r="B6025" t="s">
        <v>12434</v>
      </c>
      <c r="C6025" t="s">
        <v>12433</v>
      </c>
      <c r="D6025" t="s">
        <v>12432</v>
      </c>
      <c r="E6025" t="s">
        <v>774</v>
      </c>
    </row>
    <row r="6026" spans="1:5" x14ac:dyDescent="0.3">
      <c r="A6026" t="s">
        <v>1197</v>
      </c>
      <c r="B6026" t="s">
        <v>12436</v>
      </c>
      <c r="C6026" t="s">
        <v>456</v>
      </c>
      <c r="D6026" t="s">
        <v>12435</v>
      </c>
      <c r="E6026" t="s">
        <v>774</v>
      </c>
    </row>
    <row r="6027" spans="1:5" x14ac:dyDescent="0.3">
      <c r="A6027" t="s">
        <v>12362</v>
      </c>
      <c r="B6027" t="s">
        <v>12287</v>
      </c>
      <c r="C6027" t="s">
        <v>12438</v>
      </c>
      <c r="D6027" t="s">
        <v>12437</v>
      </c>
      <c r="E6027" t="s">
        <v>774</v>
      </c>
    </row>
    <row r="6028" spans="1:5" x14ac:dyDescent="0.3">
      <c r="A6028" t="s">
        <v>12439</v>
      </c>
      <c r="B6028" t="s">
        <v>2955</v>
      </c>
      <c r="C6028" t="s">
        <v>456</v>
      </c>
    </row>
    <row r="6029" spans="1:5" x14ac:dyDescent="0.3">
      <c r="A6029" t="s">
        <v>12440</v>
      </c>
      <c r="B6029" t="s">
        <v>9381</v>
      </c>
      <c r="C6029" t="s">
        <v>456</v>
      </c>
      <c r="D6029" t="s">
        <v>11391</v>
      </c>
      <c r="E6029" t="s">
        <v>774</v>
      </c>
    </row>
    <row r="6030" spans="1:5" x14ac:dyDescent="0.3">
      <c r="A6030" t="s">
        <v>4819</v>
      </c>
      <c r="B6030" t="s">
        <v>3667</v>
      </c>
      <c r="C6030" t="s">
        <v>4318</v>
      </c>
      <c r="D6030" t="s">
        <v>12441</v>
      </c>
      <c r="E6030" t="s">
        <v>774</v>
      </c>
    </row>
    <row r="6031" spans="1:5" x14ac:dyDescent="0.3">
      <c r="A6031" t="s">
        <v>132</v>
      </c>
      <c r="B6031" t="s">
        <v>12442</v>
      </c>
      <c r="C6031" t="s">
        <v>7731</v>
      </c>
      <c r="D6031" t="s">
        <v>11380</v>
      </c>
      <c r="E6031" t="s">
        <v>774</v>
      </c>
    </row>
    <row r="6032" spans="1:5" x14ac:dyDescent="0.3">
      <c r="A6032" t="s">
        <v>66</v>
      </c>
      <c r="B6032" t="s">
        <v>12444</v>
      </c>
      <c r="C6032" t="s">
        <v>6466</v>
      </c>
      <c r="D6032" t="s">
        <v>12443</v>
      </c>
      <c r="E6032" t="s">
        <v>774</v>
      </c>
    </row>
    <row r="6033" spans="1:5" x14ac:dyDescent="0.3">
      <c r="A6033" t="s">
        <v>1124</v>
      </c>
      <c r="B6033" t="s">
        <v>12446</v>
      </c>
      <c r="C6033" t="s">
        <v>628</v>
      </c>
      <c r="D6033" t="s">
        <v>12445</v>
      </c>
      <c r="E6033" t="s">
        <v>774</v>
      </c>
    </row>
    <row r="6034" spans="1:5" x14ac:dyDescent="0.3">
      <c r="A6034" t="s">
        <v>195</v>
      </c>
      <c r="B6034" t="s">
        <v>12447</v>
      </c>
      <c r="C6034" t="s">
        <v>461</v>
      </c>
      <c r="D6034" t="s">
        <v>5140</v>
      </c>
      <c r="E6034" t="s">
        <v>18</v>
      </c>
    </row>
    <row r="6035" spans="1:5" x14ac:dyDescent="0.3">
      <c r="A6035" t="s">
        <v>5723</v>
      </c>
      <c r="B6035" t="s">
        <v>9678</v>
      </c>
      <c r="C6035" t="s">
        <v>456</v>
      </c>
      <c r="D6035" t="s">
        <v>12448</v>
      </c>
      <c r="E6035" t="s">
        <v>774</v>
      </c>
    </row>
    <row r="6036" spans="1:5" x14ac:dyDescent="0.3">
      <c r="A6036" t="s">
        <v>1578</v>
      </c>
      <c r="B6036" t="s">
        <v>12450</v>
      </c>
      <c r="C6036" t="s">
        <v>745</v>
      </c>
      <c r="D6036" t="s">
        <v>12449</v>
      </c>
      <c r="E6036" t="s">
        <v>761</v>
      </c>
    </row>
    <row r="6037" spans="1:5" x14ac:dyDescent="0.3">
      <c r="A6037" t="s">
        <v>14</v>
      </c>
      <c r="B6037" t="s">
        <v>12451</v>
      </c>
      <c r="C6037" t="s">
        <v>518</v>
      </c>
      <c r="D6037" t="s">
        <v>1070</v>
      </c>
      <c r="E6037" t="s">
        <v>1</v>
      </c>
    </row>
    <row r="6038" spans="1:5" x14ac:dyDescent="0.3">
      <c r="A6038" t="s">
        <v>331</v>
      </c>
      <c r="B6038" t="s">
        <v>12452</v>
      </c>
      <c r="C6038" t="s">
        <v>460</v>
      </c>
      <c r="D6038" t="s">
        <v>8044</v>
      </c>
      <c r="E6038" t="s">
        <v>75</v>
      </c>
    </row>
    <row r="6039" spans="1:5" x14ac:dyDescent="0.3">
      <c r="A6039" t="s">
        <v>211</v>
      </c>
      <c r="B6039" t="s">
        <v>12455</v>
      </c>
      <c r="C6039" t="s">
        <v>12454</v>
      </c>
      <c r="D6039" t="s">
        <v>12453</v>
      </c>
      <c r="E6039" t="s">
        <v>75</v>
      </c>
    </row>
    <row r="6040" spans="1:5" x14ac:dyDescent="0.3">
      <c r="A6040" t="s">
        <v>12456</v>
      </c>
      <c r="B6040" t="s">
        <v>12457</v>
      </c>
      <c r="C6040" t="s">
        <v>461</v>
      </c>
      <c r="D6040" t="s">
        <v>5568</v>
      </c>
      <c r="E6040" t="s">
        <v>781</v>
      </c>
    </row>
    <row r="6041" spans="1:5" x14ac:dyDescent="0.3">
      <c r="A6041" t="s">
        <v>4293</v>
      </c>
      <c r="B6041" t="s">
        <v>12458</v>
      </c>
      <c r="C6041" t="s">
        <v>759</v>
      </c>
      <c r="D6041" t="s">
        <v>6551</v>
      </c>
      <c r="E6041" t="s">
        <v>897</v>
      </c>
    </row>
    <row r="6042" spans="1:5" x14ac:dyDescent="0.3">
      <c r="A6042" t="s">
        <v>259</v>
      </c>
      <c r="B6042" t="s">
        <v>4157</v>
      </c>
      <c r="C6042" t="s">
        <v>2571</v>
      </c>
      <c r="D6042" t="s">
        <v>747</v>
      </c>
      <c r="E6042" t="s">
        <v>1</v>
      </c>
    </row>
    <row r="6043" spans="1:5" x14ac:dyDescent="0.3">
      <c r="A6043" t="s">
        <v>12459</v>
      </c>
      <c r="B6043" t="s">
        <v>5786</v>
      </c>
      <c r="C6043" t="s">
        <v>12460</v>
      </c>
    </row>
    <row r="6044" spans="1:5" x14ac:dyDescent="0.3">
      <c r="A6044" t="s">
        <v>1583</v>
      </c>
      <c r="B6044" t="s">
        <v>3822</v>
      </c>
      <c r="C6044" t="s">
        <v>460</v>
      </c>
      <c r="D6044" t="s">
        <v>7624</v>
      </c>
      <c r="E6044" t="s">
        <v>75</v>
      </c>
    </row>
    <row r="6045" spans="1:5" x14ac:dyDescent="0.3">
      <c r="A6045" t="s">
        <v>352</v>
      </c>
      <c r="B6045" t="s">
        <v>12461</v>
      </c>
      <c r="C6045" t="s">
        <v>467</v>
      </c>
      <c r="D6045" t="s">
        <v>8827</v>
      </c>
      <c r="E6045" t="s">
        <v>75</v>
      </c>
    </row>
    <row r="6046" spans="1:5" x14ac:dyDescent="0.3">
      <c r="A6046" t="s">
        <v>1558</v>
      </c>
      <c r="B6046" t="s">
        <v>12462</v>
      </c>
      <c r="C6046" t="s">
        <v>456</v>
      </c>
      <c r="D6046" t="s">
        <v>1000</v>
      </c>
      <c r="E6046" t="s">
        <v>741</v>
      </c>
    </row>
    <row r="6047" spans="1:5" x14ac:dyDescent="0.3">
      <c r="A6047" t="s">
        <v>184</v>
      </c>
      <c r="B6047" t="s">
        <v>12463</v>
      </c>
      <c r="C6047" t="s">
        <v>6466</v>
      </c>
      <c r="D6047" t="s">
        <v>9338</v>
      </c>
      <c r="E6047" t="s">
        <v>774</v>
      </c>
    </row>
    <row r="6048" spans="1:5" x14ac:dyDescent="0.3">
      <c r="A6048" t="s">
        <v>4226</v>
      </c>
      <c r="B6048" t="s">
        <v>992</v>
      </c>
      <c r="C6048" t="s">
        <v>12464</v>
      </c>
      <c r="D6048" t="s">
        <v>1246</v>
      </c>
      <c r="E6048" t="s">
        <v>1</v>
      </c>
    </row>
    <row r="6049" spans="1:5" x14ac:dyDescent="0.3">
      <c r="A6049" t="s">
        <v>12465</v>
      </c>
      <c r="B6049" t="s">
        <v>7088</v>
      </c>
      <c r="C6049" t="s">
        <v>698</v>
      </c>
    </row>
    <row r="6050" spans="1:5" x14ac:dyDescent="0.3">
      <c r="A6050" t="s">
        <v>3208</v>
      </c>
      <c r="B6050" t="s">
        <v>3170</v>
      </c>
      <c r="C6050" t="s">
        <v>12466</v>
      </c>
      <c r="D6050" t="s">
        <v>9766</v>
      </c>
      <c r="E6050" t="s">
        <v>75</v>
      </c>
    </row>
    <row r="6051" spans="1:5" x14ac:dyDescent="0.3">
      <c r="A6051" t="s">
        <v>129</v>
      </c>
      <c r="B6051" t="s">
        <v>4814</v>
      </c>
      <c r="C6051" t="s">
        <v>467</v>
      </c>
      <c r="D6051" t="s">
        <v>12467</v>
      </c>
      <c r="E6051" t="s">
        <v>75</v>
      </c>
    </row>
    <row r="6052" spans="1:5" x14ac:dyDescent="0.3">
      <c r="A6052" t="s">
        <v>1558</v>
      </c>
      <c r="B6052" t="s">
        <v>12462</v>
      </c>
      <c r="C6052" t="s">
        <v>456</v>
      </c>
      <c r="D6052" t="s">
        <v>1000</v>
      </c>
      <c r="E6052" t="s">
        <v>741</v>
      </c>
    </row>
    <row r="6053" spans="1:5" x14ac:dyDescent="0.3">
      <c r="A6053" t="s">
        <v>1414</v>
      </c>
      <c r="B6053" t="s">
        <v>12468</v>
      </c>
      <c r="C6053" t="s">
        <v>518</v>
      </c>
    </row>
    <row r="6054" spans="1:5" x14ac:dyDescent="0.3">
      <c r="A6054" t="s">
        <v>184</v>
      </c>
      <c r="B6054" t="s">
        <v>12463</v>
      </c>
      <c r="C6054" t="s">
        <v>6466</v>
      </c>
      <c r="D6054" t="s">
        <v>9338</v>
      </c>
      <c r="E6054" t="s">
        <v>774</v>
      </c>
    </row>
    <row r="6055" spans="1:5" x14ac:dyDescent="0.3">
      <c r="A6055" t="s">
        <v>251</v>
      </c>
      <c r="B6055" t="s">
        <v>6467</v>
      </c>
      <c r="C6055" t="s">
        <v>6466</v>
      </c>
      <c r="D6055" t="s">
        <v>6465</v>
      </c>
      <c r="E6055" t="s">
        <v>774</v>
      </c>
    </row>
    <row r="6056" spans="1:5" x14ac:dyDescent="0.3">
      <c r="A6056" t="s">
        <v>66</v>
      </c>
      <c r="B6056" t="s">
        <v>12469</v>
      </c>
      <c r="C6056" t="s">
        <v>461</v>
      </c>
      <c r="D6056" t="s">
        <v>1080</v>
      </c>
      <c r="E6056" t="s">
        <v>1</v>
      </c>
    </row>
    <row r="6057" spans="1:5" x14ac:dyDescent="0.3">
      <c r="A6057" t="s">
        <v>2312</v>
      </c>
      <c r="B6057" t="s">
        <v>12470</v>
      </c>
      <c r="C6057" t="s">
        <v>862</v>
      </c>
      <c r="D6057" t="s">
        <v>2173</v>
      </c>
      <c r="E6057" t="s">
        <v>2175</v>
      </c>
    </row>
    <row r="6058" spans="1:5" x14ac:dyDescent="0.3">
      <c r="A6058" t="s">
        <v>22</v>
      </c>
      <c r="B6058" t="s">
        <v>2771</v>
      </c>
      <c r="C6058" t="s">
        <v>461</v>
      </c>
      <c r="D6058" t="s">
        <v>12471</v>
      </c>
      <c r="E6058" t="s">
        <v>2175</v>
      </c>
    </row>
    <row r="6059" spans="1:5" x14ac:dyDescent="0.3">
      <c r="A6059" t="s">
        <v>3028</v>
      </c>
      <c r="B6059" t="s">
        <v>12473</v>
      </c>
      <c r="C6059" t="s">
        <v>459</v>
      </c>
    </row>
    <row r="6060" spans="1:5" x14ac:dyDescent="0.3">
      <c r="A6060" t="s">
        <v>772</v>
      </c>
      <c r="B6060" t="s">
        <v>252</v>
      </c>
      <c r="C6060" t="s">
        <v>12474</v>
      </c>
      <c r="D6060" t="s">
        <v>902</v>
      </c>
      <c r="E6060" t="s">
        <v>1</v>
      </c>
    </row>
    <row r="6061" spans="1:5" x14ac:dyDescent="0.3">
      <c r="A6061" t="s">
        <v>829</v>
      </c>
      <c r="B6061" t="s">
        <v>4505</v>
      </c>
      <c r="C6061" t="s">
        <v>12475</v>
      </c>
    </row>
    <row r="6062" spans="1:5" x14ac:dyDescent="0.3">
      <c r="A6062" t="s">
        <v>4871</v>
      </c>
      <c r="B6062" t="s">
        <v>12476</v>
      </c>
      <c r="C6062" t="s">
        <v>5581</v>
      </c>
      <c r="D6062" t="s">
        <v>930</v>
      </c>
      <c r="E6062" t="s">
        <v>1</v>
      </c>
    </row>
    <row r="6063" spans="1:5" x14ac:dyDescent="0.3">
      <c r="A6063" t="s">
        <v>12477</v>
      </c>
      <c r="B6063" t="s">
        <v>1293</v>
      </c>
      <c r="C6063" t="s">
        <v>12478</v>
      </c>
      <c r="D6063" t="s">
        <v>930</v>
      </c>
      <c r="E6063" t="s">
        <v>1</v>
      </c>
    </row>
    <row r="6064" spans="1:5" x14ac:dyDescent="0.3">
      <c r="A6064" t="s">
        <v>157</v>
      </c>
      <c r="B6064" t="s">
        <v>4912</v>
      </c>
      <c r="C6064" t="s">
        <v>698</v>
      </c>
      <c r="D6064" t="s">
        <v>943</v>
      </c>
      <c r="E6064" t="s">
        <v>1</v>
      </c>
    </row>
    <row r="6065" spans="1:5" x14ac:dyDescent="0.3">
      <c r="A6065" t="s">
        <v>44</v>
      </c>
      <c r="B6065" t="s">
        <v>12479</v>
      </c>
      <c r="C6065" t="s">
        <v>456</v>
      </c>
    </row>
    <row r="6066" spans="1:5" x14ac:dyDescent="0.3">
      <c r="A6066" t="s">
        <v>5880</v>
      </c>
      <c r="B6066" t="s">
        <v>12481</v>
      </c>
      <c r="C6066" t="s">
        <v>12480</v>
      </c>
    </row>
    <row r="6067" spans="1:5" x14ac:dyDescent="0.3">
      <c r="A6067" t="s">
        <v>3055</v>
      </c>
      <c r="B6067" t="s">
        <v>306</v>
      </c>
      <c r="C6067" t="s">
        <v>12482</v>
      </c>
      <c r="D6067" t="s">
        <v>2581</v>
      </c>
      <c r="E6067" t="s">
        <v>1</v>
      </c>
    </row>
    <row r="6068" spans="1:5" x14ac:dyDescent="0.3">
      <c r="A6068" t="s">
        <v>1026</v>
      </c>
      <c r="B6068" t="s">
        <v>12484</v>
      </c>
      <c r="C6068" t="s">
        <v>12483</v>
      </c>
      <c r="D6068" t="s">
        <v>2581</v>
      </c>
      <c r="E6068" t="s">
        <v>1</v>
      </c>
    </row>
    <row r="6069" spans="1:5" x14ac:dyDescent="0.3">
      <c r="A6069" t="s">
        <v>12485</v>
      </c>
      <c r="B6069" t="s">
        <v>12486</v>
      </c>
      <c r="C6069" t="s">
        <v>5265</v>
      </c>
      <c r="D6069" t="s">
        <v>1509</v>
      </c>
      <c r="E6069" t="s">
        <v>781</v>
      </c>
    </row>
    <row r="6070" spans="1:5" x14ac:dyDescent="0.3">
      <c r="A6070" t="s">
        <v>271</v>
      </c>
      <c r="B6070" t="s">
        <v>3331</v>
      </c>
      <c r="C6070" t="s">
        <v>12487</v>
      </c>
      <c r="D6070" t="s">
        <v>7071</v>
      </c>
      <c r="E6070" t="s">
        <v>1</v>
      </c>
    </row>
    <row r="6071" spans="1:5" x14ac:dyDescent="0.3">
      <c r="A6071" t="s">
        <v>898</v>
      </c>
      <c r="B6071" t="s">
        <v>11048</v>
      </c>
      <c r="C6071" t="s">
        <v>459</v>
      </c>
    </row>
    <row r="6072" spans="1:5" x14ac:dyDescent="0.3">
      <c r="A6072" t="s">
        <v>418</v>
      </c>
      <c r="B6072" t="s">
        <v>12489</v>
      </c>
      <c r="C6072" t="s">
        <v>12488</v>
      </c>
    </row>
    <row r="6073" spans="1:5" x14ac:dyDescent="0.3">
      <c r="A6073" t="s">
        <v>5951</v>
      </c>
      <c r="B6073" t="s">
        <v>12490</v>
      </c>
      <c r="C6073" t="s">
        <v>456</v>
      </c>
    </row>
    <row r="6074" spans="1:5" x14ac:dyDescent="0.3">
      <c r="A6074" t="s">
        <v>3705</v>
      </c>
      <c r="B6074" t="s">
        <v>5785</v>
      </c>
      <c r="C6074" t="s">
        <v>12491</v>
      </c>
    </row>
    <row r="6075" spans="1:5" x14ac:dyDescent="0.3">
      <c r="A6075" t="s">
        <v>4177</v>
      </c>
      <c r="B6075" t="s">
        <v>9300</v>
      </c>
      <c r="C6075" t="s">
        <v>456</v>
      </c>
    </row>
    <row r="6076" spans="1:5" x14ac:dyDescent="0.3">
      <c r="A6076" t="s">
        <v>3597</v>
      </c>
      <c r="B6076" t="s">
        <v>12492</v>
      </c>
      <c r="C6076" t="s">
        <v>456</v>
      </c>
    </row>
    <row r="6077" spans="1:5" x14ac:dyDescent="0.3">
      <c r="A6077" t="s">
        <v>100</v>
      </c>
      <c r="B6077" t="s">
        <v>12494</v>
      </c>
      <c r="C6077" t="s">
        <v>12493</v>
      </c>
    </row>
    <row r="6078" spans="1:5" x14ac:dyDescent="0.3">
      <c r="A6078" t="s">
        <v>3813</v>
      </c>
      <c r="B6078" t="s">
        <v>4744</v>
      </c>
      <c r="C6078" t="s">
        <v>456</v>
      </c>
      <c r="D6078" t="s">
        <v>753</v>
      </c>
      <c r="E6078" t="s">
        <v>743</v>
      </c>
    </row>
    <row r="6079" spans="1:5" x14ac:dyDescent="0.3">
      <c r="A6079" t="s">
        <v>179</v>
      </c>
      <c r="B6079" t="s">
        <v>817</v>
      </c>
      <c r="C6079" t="s">
        <v>455</v>
      </c>
      <c r="D6079" t="s">
        <v>2616</v>
      </c>
      <c r="E6079" t="s">
        <v>75</v>
      </c>
    </row>
    <row r="6080" spans="1:5" x14ac:dyDescent="0.3">
      <c r="A6080" t="s">
        <v>44</v>
      </c>
      <c r="B6080" t="s">
        <v>4011</v>
      </c>
      <c r="C6080" t="s">
        <v>12495</v>
      </c>
    </row>
    <row r="6081" spans="1:5" x14ac:dyDescent="0.3">
      <c r="A6081" t="s">
        <v>160</v>
      </c>
      <c r="B6081" t="s">
        <v>858</v>
      </c>
      <c r="C6081" t="s">
        <v>7619</v>
      </c>
    </row>
    <row r="6082" spans="1:5" x14ac:dyDescent="0.3">
      <c r="A6082" t="s">
        <v>2227</v>
      </c>
      <c r="B6082" t="s">
        <v>7804</v>
      </c>
      <c r="C6082" t="s">
        <v>862</v>
      </c>
    </row>
    <row r="6083" spans="1:5" x14ac:dyDescent="0.3">
      <c r="A6083" t="s">
        <v>3974</v>
      </c>
      <c r="B6083" t="s">
        <v>5730</v>
      </c>
      <c r="C6083" t="s">
        <v>456</v>
      </c>
      <c r="D6083" t="s">
        <v>6096</v>
      </c>
      <c r="E6083" t="s">
        <v>781</v>
      </c>
    </row>
    <row r="6084" spans="1:5" x14ac:dyDescent="0.3">
      <c r="A6084" t="s">
        <v>329</v>
      </c>
      <c r="B6084" t="s">
        <v>12497</v>
      </c>
      <c r="C6084" t="s">
        <v>467</v>
      </c>
      <c r="D6084" t="s">
        <v>12496</v>
      </c>
      <c r="E6084" t="s">
        <v>75</v>
      </c>
    </row>
    <row r="6085" spans="1:5" x14ac:dyDescent="0.3">
      <c r="A6085" t="s">
        <v>131</v>
      </c>
      <c r="B6085" t="s">
        <v>5690</v>
      </c>
      <c r="C6085" t="s">
        <v>455</v>
      </c>
      <c r="D6085" t="s">
        <v>2788</v>
      </c>
      <c r="E6085" t="s">
        <v>758</v>
      </c>
    </row>
    <row r="6086" spans="1:5" x14ac:dyDescent="0.3">
      <c r="A6086" t="s">
        <v>4107</v>
      </c>
      <c r="B6086" t="s">
        <v>12498</v>
      </c>
      <c r="C6086" t="s">
        <v>461</v>
      </c>
      <c r="D6086" t="s">
        <v>7811</v>
      </c>
      <c r="E6086" t="s">
        <v>75</v>
      </c>
    </row>
    <row r="6087" spans="1:5" x14ac:dyDescent="0.3">
      <c r="A6087" t="s">
        <v>41</v>
      </c>
      <c r="B6087" t="s">
        <v>11550</v>
      </c>
      <c r="C6087" t="s">
        <v>12499</v>
      </c>
      <c r="D6087" t="s">
        <v>902</v>
      </c>
      <c r="E6087" t="s">
        <v>1</v>
      </c>
    </row>
    <row r="6088" spans="1:5" x14ac:dyDescent="0.3">
      <c r="A6088" t="s">
        <v>298</v>
      </c>
      <c r="B6088" t="s">
        <v>11953</v>
      </c>
      <c r="C6088" t="s">
        <v>461</v>
      </c>
      <c r="D6088" t="s">
        <v>12500</v>
      </c>
      <c r="E6088" t="s">
        <v>75</v>
      </c>
    </row>
    <row r="6089" spans="1:5" x14ac:dyDescent="0.3">
      <c r="A6089" t="s">
        <v>157</v>
      </c>
      <c r="B6089" t="s">
        <v>5716</v>
      </c>
      <c r="C6089" t="s">
        <v>461</v>
      </c>
      <c r="D6089" t="s">
        <v>12501</v>
      </c>
      <c r="E6089" t="s">
        <v>758</v>
      </c>
    </row>
    <row r="6090" spans="1:5" x14ac:dyDescent="0.3">
      <c r="A6090" t="s">
        <v>12502</v>
      </c>
      <c r="B6090" t="s">
        <v>12503</v>
      </c>
      <c r="C6090" t="s">
        <v>862</v>
      </c>
      <c r="D6090" t="s">
        <v>751</v>
      </c>
      <c r="E6090" t="s">
        <v>1</v>
      </c>
    </row>
    <row r="6091" spans="1:5" x14ac:dyDescent="0.3">
      <c r="A6091" t="s">
        <v>132</v>
      </c>
      <c r="B6091" t="s">
        <v>11193</v>
      </c>
      <c r="C6091" t="s">
        <v>862</v>
      </c>
      <c r="D6091" t="s">
        <v>963</v>
      </c>
      <c r="E6091" t="s">
        <v>758</v>
      </c>
    </row>
    <row r="6092" spans="1:5" x14ac:dyDescent="0.3">
      <c r="A6092" t="s">
        <v>1580</v>
      </c>
      <c r="B6092" t="s">
        <v>1151</v>
      </c>
      <c r="C6092" t="s">
        <v>12504</v>
      </c>
      <c r="D6092" t="s">
        <v>1434</v>
      </c>
      <c r="E6092" t="s">
        <v>774</v>
      </c>
    </row>
    <row r="6093" spans="1:5" x14ac:dyDescent="0.3">
      <c r="A6093" t="s">
        <v>160</v>
      </c>
      <c r="B6093" t="s">
        <v>12506</v>
      </c>
      <c r="C6093" t="s">
        <v>12505</v>
      </c>
      <c r="D6093" t="s">
        <v>4275</v>
      </c>
      <c r="E6093" t="s">
        <v>75</v>
      </c>
    </row>
    <row r="6094" spans="1:5" x14ac:dyDescent="0.3">
      <c r="A6094" t="s">
        <v>195</v>
      </c>
      <c r="B6094" t="s">
        <v>3005</v>
      </c>
      <c r="C6094" t="s">
        <v>459</v>
      </c>
      <c r="D6094" t="s">
        <v>9811</v>
      </c>
      <c r="E6094" t="s">
        <v>75</v>
      </c>
    </row>
    <row r="6095" spans="1:5" x14ac:dyDescent="0.3">
      <c r="A6095" t="s">
        <v>8780</v>
      </c>
      <c r="B6095" t="s">
        <v>12508</v>
      </c>
      <c r="C6095" t="s">
        <v>457</v>
      </c>
      <c r="D6095" t="s">
        <v>5511</v>
      </c>
      <c r="E6095" t="s">
        <v>75</v>
      </c>
    </row>
    <row r="6096" spans="1:5" x14ac:dyDescent="0.3">
      <c r="A6096" t="s">
        <v>230</v>
      </c>
      <c r="B6096" t="s">
        <v>2614</v>
      </c>
      <c r="C6096" t="s">
        <v>6118</v>
      </c>
      <c r="D6096" t="s">
        <v>12507</v>
      </c>
      <c r="E6096" t="s">
        <v>75</v>
      </c>
    </row>
    <row r="6097" spans="1:5" x14ac:dyDescent="0.3">
      <c r="A6097" t="s">
        <v>331</v>
      </c>
      <c r="B6097" t="s">
        <v>12509</v>
      </c>
      <c r="C6097" t="s">
        <v>467</v>
      </c>
      <c r="D6097" t="s">
        <v>5246</v>
      </c>
      <c r="E6097" t="s">
        <v>2175</v>
      </c>
    </row>
    <row r="6098" spans="1:5" x14ac:dyDescent="0.3">
      <c r="A6098" t="s">
        <v>860</v>
      </c>
      <c r="B6098" t="s">
        <v>8379</v>
      </c>
      <c r="C6098" t="s">
        <v>862</v>
      </c>
      <c r="D6098" t="s">
        <v>4589</v>
      </c>
      <c r="E6098" t="s">
        <v>781</v>
      </c>
    </row>
    <row r="6099" spans="1:5" x14ac:dyDescent="0.3">
      <c r="A6099" t="s">
        <v>4698</v>
      </c>
      <c r="B6099" t="s">
        <v>6049</v>
      </c>
      <c r="C6099" t="s">
        <v>12510</v>
      </c>
      <c r="D6099" t="s">
        <v>763</v>
      </c>
      <c r="E6099" t="s">
        <v>1</v>
      </c>
    </row>
    <row r="6100" spans="1:5" x14ac:dyDescent="0.3">
      <c r="A6100" t="s">
        <v>56</v>
      </c>
      <c r="B6100" t="s">
        <v>11083</v>
      </c>
      <c r="C6100" t="s">
        <v>12512</v>
      </c>
      <c r="D6100" t="s">
        <v>12511</v>
      </c>
      <c r="E6100" t="s">
        <v>75</v>
      </c>
    </row>
    <row r="6101" spans="1:5" x14ac:dyDescent="0.3">
      <c r="A6101" t="s">
        <v>314</v>
      </c>
      <c r="B6101" t="s">
        <v>12514</v>
      </c>
      <c r="C6101" t="s">
        <v>12513</v>
      </c>
      <c r="D6101" t="s">
        <v>2718</v>
      </c>
      <c r="E6101" t="s">
        <v>781</v>
      </c>
    </row>
    <row r="6102" spans="1:5" x14ac:dyDescent="0.3">
      <c r="A6102" t="s">
        <v>999</v>
      </c>
      <c r="B6102" t="s">
        <v>78</v>
      </c>
      <c r="C6102" t="s">
        <v>12515</v>
      </c>
      <c r="D6102" t="s">
        <v>747</v>
      </c>
      <c r="E6102" t="s">
        <v>1</v>
      </c>
    </row>
    <row r="6103" spans="1:5" x14ac:dyDescent="0.3">
      <c r="A6103" t="s">
        <v>3248</v>
      </c>
      <c r="B6103" t="s">
        <v>12517</v>
      </c>
      <c r="C6103" t="s">
        <v>12516</v>
      </c>
    </row>
    <row r="6104" spans="1:5" x14ac:dyDescent="0.3">
      <c r="A6104" t="s">
        <v>826</v>
      </c>
      <c r="B6104" t="s">
        <v>1890</v>
      </c>
      <c r="C6104" t="s">
        <v>12518</v>
      </c>
      <c r="D6104" t="s">
        <v>754</v>
      </c>
      <c r="E6104" t="s">
        <v>741</v>
      </c>
    </row>
    <row r="6105" spans="1:5" x14ac:dyDescent="0.3">
      <c r="A6105" t="s">
        <v>1352</v>
      </c>
      <c r="B6105" t="s">
        <v>12520</v>
      </c>
      <c r="C6105" t="s">
        <v>12519</v>
      </c>
      <c r="D6105" t="s">
        <v>11897</v>
      </c>
      <c r="E6105" t="s">
        <v>758</v>
      </c>
    </row>
    <row r="6106" spans="1:5" x14ac:dyDescent="0.3">
      <c r="A6106" t="s">
        <v>224</v>
      </c>
      <c r="B6106" t="s">
        <v>12521</v>
      </c>
      <c r="C6106" t="s">
        <v>459</v>
      </c>
      <c r="D6106" t="s">
        <v>833</v>
      </c>
      <c r="E6106" t="s">
        <v>741</v>
      </c>
    </row>
    <row r="6107" spans="1:5" x14ac:dyDescent="0.3">
      <c r="A6107" t="s">
        <v>3049</v>
      </c>
      <c r="B6107" t="s">
        <v>3050</v>
      </c>
      <c r="C6107" t="s">
        <v>12522</v>
      </c>
      <c r="D6107" t="s">
        <v>833</v>
      </c>
      <c r="E6107" t="s">
        <v>741</v>
      </c>
    </row>
    <row r="6108" spans="1:5" x14ac:dyDescent="0.3">
      <c r="A6108" t="s">
        <v>60</v>
      </c>
      <c r="B6108" t="s">
        <v>12193</v>
      </c>
      <c r="C6108" t="s">
        <v>862</v>
      </c>
      <c r="D6108" t="s">
        <v>769</v>
      </c>
      <c r="E6108" t="s">
        <v>1</v>
      </c>
    </row>
    <row r="6109" spans="1:5" x14ac:dyDescent="0.3">
      <c r="A6109" t="s">
        <v>181</v>
      </c>
      <c r="B6109" t="s">
        <v>12524</v>
      </c>
      <c r="C6109" t="s">
        <v>12523</v>
      </c>
      <c r="D6109" t="s">
        <v>943</v>
      </c>
      <c r="E6109" t="s">
        <v>1</v>
      </c>
    </row>
    <row r="6110" spans="1:5" x14ac:dyDescent="0.3">
      <c r="A6110" t="s">
        <v>6814</v>
      </c>
      <c r="B6110" t="s">
        <v>1432</v>
      </c>
      <c r="C6110" t="s">
        <v>12525</v>
      </c>
      <c r="D6110" t="s">
        <v>768</v>
      </c>
      <c r="E6110" t="s">
        <v>1</v>
      </c>
    </row>
    <row r="6111" spans="1:5" x14ac:dyDescent="0.3">
      <c r="A6111" t="s">
        <v>3320</v>
      </c>
      <c r="B6111" t="s">
        <v>12526</v>
      </c>
      <c r="C6111" t="s">
        <v>457</v>
      </c>
      <c r="D6111" t="s">
        <v>1716</v>
      </c>
      <c r="E6111" t="s">
        <v>741</v>
      </c>
    </row>
    <row r="6112" spans="1:5" x14ac:dyDescent="0.3">
      <c r="A6112" t="s">
        <v>2890</v>
      </c>
      <c r="B6112" t="s">
        <v>5789</v>
      </c>
      <c r="C6112" t="s">
        <v>12527</v>
      </c>
      <c r="D6112" t="s">
        <v>1246</v>
      </c>
      <c r="E6112" t="s">
        <v>1</v>
      </c>
    </row>
    <row r="6113" spans="1:5" x14ac:dyDescent="0.3">
      <c r="A6113" t="s">
        <v>131</v>
      </c>
      <c r="B6113" t="s">
        <v>793</v>
      </c>
      <c r="C6113" t="s">
        <v>862</v>
      </c>
      <c r="D6113" t="s">
        <v>3759</v>
      </c>
      <c r="E6113" t="s">
        <v>1</v>
      </c>
    </row>
    <row r="6114" spans="1:5" x14ac:dyDescent="0.3">
      <c r="A6114" t="s">
        <v>4753</v>
      </c>
      <c r="B6114" t="s">
        <v>9990</v>
      </c>
      <c r="C6114" t="s">
        <v>698</v>
      </c>
      <c r="D6114" t="s">
        <v>12528</v>
      </c>
      <c r="E6114" t="s">
        <v>75</v>
      </c>
    </row>
    <row r="6115" spans="1:5" x14ac:dyDescent="0.3">
      <c r="A6115" t="s">
        <v>199</v>
      </c>
      <c r="B6115" t="s">
        <v>12529</v>
      </c>
      <c r="C6115" t="s">
        <v>862</v>
      </c>
      <c r="D6115" t="s">
        <v>3759</v>
      </c>
      <c r="E6115" t="s">
        <v>1</v>
      </c>
    </row>
    <row r="6116" spans="1:5" x14ac:dyDescent="0.3">
      <c r="A6116" t="s">
        <v>113</v>
      </c>
      <c r="B6116" t="s">
        <v>331</v>
      </c>
      <c r="C6116" t="s">
        <v>518</v>
      </c>
      <c r="D6116" t="s">
        <v>3759</v>
      </c>
      <c r="E6116" t="s">
        <v>1</v>
      </c>
    </row>
    <row r="6117" spans="1:5" x14ac:dyDescent="0.3">
      <c r="A6117" t="s">
        <v>1334</v>
      </c>
      <c r="B6117" t="s">
        <v>10040</v>
      </c>
      <c r="C6117" t="s">
        <v>12530</v>
      </c>
      <c r="D6117" t="s">
        <v>1716</v>
      </c>
      <c r="E6117" t="s">
        <v>741</v>
      </c>
    </row>
    <row r="6118" spans="1:5" x14ac:dyDescent="0.3">
      <c r="A6118" t="s">
        <v>11779</v>
      </c>
      <c r="B6118" t="s">
        <v>12531</v>
      </c>
      <c r="C6118" t="s">
        <v>518</v>
      </c>
      <c r="D6118" t="s">
        <v>763</v>
      </c>
      <c r="E6118" t="s">
        <v>1</v>
      </c>
    </row>
    <row r="6119" spans="1:5" x14ac:dyDescent="0.3">
      <c r="A6119" t="s">
        <v>179</v>
      </c>
      <c r="B6119" t="s">
        <v>876</v>
      </c>
      <c r="C6119" t="s">
        <v>12532</v>
      </c>
      <c r="D6119" t="s">
        <v>763</v>
      </c>
      <c r="E6119" t="s">
        <v>1</v>
      </c>
    </row>
    <row r="6120" spans="1:5" x14ac:dyDescent="0.3">
      <c r="A6120" t="s">
        <v>752</v>
      </c>
      <c r="B6120" t="s">
        <v>12533</v>
      </c>
      <c r="C6120" t="s">
        <v>862</v>
      </c>
      <c r="D6120" t="s">
        <v>763</v>
      </c>
      <c r="E6120" t="s">
        <v>1</v>
      </c>
    </row>
    <row r="6121" spans="1:5" x14ac:dyDescent="0.3">
      <c r="A6121" t="s">
        <v>938</v>
      </c>
      <c r="B6121" t="s">
        <v>12534</v>
      </c>
      <c r="C6121" t="s">
        <v>2571</v>
      </c>
      <c r="D6121" t="s">
        <v>763</v>
      </c>
      <c r="E6121" t="s">
        <v>1</v>
      </c>
    </row>
    <row r="6122" spans="1:5" x14ac:dyDescent="0.3">
      <c r="A6122" t="s">
        <v>5062</v>
      </c>
      <c r="B6122" t="s">
        <v>444</v>
      </c>
      <c r="C6122" t="s">
        <v>862</v>
      </c>
      <c r="D6122" t="s">
        <v>763</v>
      </c>
      <c r="E6122" t="s">
        <v>1</v>
      </c>
    </row>
    <row r="6123" spans="1:5" x14ac:dyDescent="0.3">
      <c r="A6123" t="s">
        <v>232</v>
      </c>
      <c r="B6123" t="s">
        <v>3363</v>
      </c>
      <c r="C6123" t="s">
        <v>862</v>
      </c>
      <c r="D6123" t="s">
        <v>763</v>
      </c>
      <c r="E6123" t="s">
        <v>1</v>
      </c>
    </row>
    <row r="6124" spans="1:5" x14ac:dyDescent="0.3">
      <c r="A6124" t="s">
        <v>2781</v>
      </c>
      <c r="B6124" t="s">
        <v>1202</v>
      </c>
      <c r="C6124" t="s">
        <v>12535</v>
      </c>
      <c r="D6124" t="s">
        <v>2444</v>
      </c>
      <c r="E6124" t="s">
        <v>741</v>
      </c>
    </row>
    <row r="6125" spans="1:5" x14ac:dyDescent="0.3">
      <c r="A6125" t="s">
        <v>3130</v>
      </c>
      <c r="B6125" t="s">
        <v>12537</v>
      </c>
      <c r="C6125" t="s">
        <v>12536</v>
      </c>
      <c r="D6125" t="s">
        <v>763</v>
      </c>
      <c r="E6125" t="s">
        <v>1</v>
      </c>
    </row>
    <row r="6126" spans="1:5" x14ac:dyDescent="0.3">
      <c r="A6126" t="s">
        <v>2262</v>
      </c>
      <c r="B6126" t="s">
        <v>12538</v>
      </c>
      <c r="C6126" t="s">
        <v>862</v>
      </c>
      <c r="D6126" t="s">
        <v>909</v>
      </c>
      <c r="E6126" t="s">
        <v>741</v>
      </c>
    </row>
    <row r="6127" spans="1:5" x14ac:dyDescent="0.3">
      <c r="A6127" t="s">
        <v>8860</v>
      </c>
      <c r="B6127" t="s">
        <v>6109</v>
      </c>
      <c r="C6127" t="s">
        <v>456</v>
      </c>
      <c r="D6127" t="s">
        <v>906</v>
      </c>
      <c r="E6127" t="s">
        <v>1</v>
      </c>
    </row>
    <row r="6128" spans="1:5" x14ac:dyDescent="0.3">
      <c r="A6128" t="s">
        <v>3349</v>
      </c>
      <c r="B6128" t="s">
        <v>3350</v>
      </c>
      <c r="C6128" t="s">
        <v>12539</v>
      </c>
      <c r="D6128" t="s">
        <v>906</v>
      </c>
      <c r="E6128" t="s">
        <v>1</v>
      </c>
    </row>
    <row r="6129" spans="1:5" x14ac:dyDescent="0.3">
      <c r="A6129" t="s">
        <v>130</v>
      </c>
      <c r="B6129" t="s">
        <v>12540</v>
      </c>
      <c r="C6129" t="s">
        <v>9955</v>
      </c>
      <c r="D6129" t="s">
        <v>906</v>
      </c>
      <c r="E6129" t="s">
        <v>1</v>
      </c>
    </row>
    <row r="6130" spans="1:5" x14ac:dyDescent="0.3">
      <c r="A6130" t="s">
        <v>1304</v>
      </c>
      <c r="B6130" t="s">
        <v>2978</v>
      </c>
      <c r="C6130" t="s">
        <v>12541</v>
      </c>
      <c r="D6130" t="s">
        <v>768</v>
      </c>
      <c r="E6130" t="s">
        <v>1</v>
      </c>
    </row>
    <row r="6131" spans="1:5" x14ac:dyDescent="0.3">
      <c r="A6131" t="s">
        <v>195</v>
      </c>
      <c r="B6131" t="s">
        <v>12542</v>
      </c>
      <c r="C6131" t="s">
        <v>2571</v>
      </c>
      <c r="D6131" t="s">
        <v>906</v>
      </c>
      <c r="E6131" t="s">
        <v>1</v>
      </c>
    </row>
    <row r="6132" spans="1:5" x14ac:dyDescent="0.3">
      <c r="A6132" t="s">
        <v>182</v>
      </c>
      <c r="B6132" t="s">
        <v>9832</v>
      </c>
      <c r="C6132" t="s">
        <v>862</v>
      </c>
      <c r="D6132" t="s">
        <v>906</v>
      </c>
      <c r="E6132" t="s">
        <v>1</v>
      </c>
    </row>
    <row r="6133" spans="1:5" x14ac:dyDescent="0.3">
      <c r="A6133" t="s">
        <v>230</v>
      </c>
      <c r="B6133" t="s">
        <v>3885</v>
      </c>
      <c r="C6133" t="s">
        <v>12543</v>
      </c>
      <c r="D6133" t="s">
        <v>739</v>
      </c>
      <c r="E6133" t="s">
        <v>741</v>
      </c>
    </row>
    <row r="6134" spans="1:5" x14ac:dyDescent="0.3">
      <c r="A6134" t="s">
        <v>860</v>
      </c>
      <c r="B6134" t="s">
        <v>12544</v>
      </c>
      <c r="C6134" t="s">
        <v>459</v>
      </c>
      <c r="D6134" t="s">
        <v>739</v>
      </c>
      <c r="E6134" t="s">
        <v>741</v>
      </c>
    </row>
    <row r="6135" spans="1:5" x14ac:dyDescent="0.3">
      <c r="A6135" t="s">
        <v>4306</v>
      </c>
      <c r="B6135" t="s">
        <v>152</v>
      </c>
      <c r="C6135" t="s">
        <v>698</v>
      </c>
      <c r="D6135" t="s">
        <v>12545</v>
      </c>
      <c r="E6135" t="s">
        <v>75</v>
      </c>
    </row>
    <row r="6136" spans="1:5" x14ac:dyDescent="0.3">
      <c r="A6136" t="s">
        <v>102</v>
      </c>
      <c r="B6136" t="s">
        <v>434</v>
      </c>
      <c r="C6136" t="s">
        <v>628</v>
      </c>
      <c r="D6136" t="s">
        <v>2616</v>
      </c>
      <c r="E6136" t="s">
        <v>75</v>
      </c>
    </row>
    <row r="6137" spans="1:5" x14ac:dyDescent="0.3">
      <c r="A6137" t="s">
        <v>864</v>
      </c>
      <c r="B6137" t="s">
        <v>12547</v>
      </c>
      <c r="C6137" t="s">
        <v>862</v>
      </c>
      <c r="D6137" t="s">
        <v>12546</v>
      </c>
      <c r="E6137" t="s">
        <v>774</v>
      </c>
    </row>
    <row r="6138" spans="1:5" x14ac:dyDescent="0.3">
      <c r="A6138" t="s">
        <v>150</v>
      </c>
      <c r="B6138" t="s">
        <v>12152</v>
      </c>
      <c r="C6138" t="s">
        <v>862</v>
      </c>
      <c r="D6138" t="s">
        <v>919</v>
      </c>
      <c r="E6138" t="s">
        <v>1</v>
      </c>
    </row>
    <row r="6139" spans="1:5" x14ac:dyDescent="0.3">
      <c r="A6139" t="s">
        <v>2143</v>
      </c>
      <c r="B6139" t="s">
        <v>210</v>
      </c>
      <c r="C6139" t="s">
        <v>3299</v>
      </c>
      <c r="D6139" t="s">
        <v>8107</v>
      </c>
      <c r="E6139" t="s">
        <v>75</v>
      </c>
    </row>
    <row r="6140" spans="1:5" x14ac:dyDescent="0.3">
      <c r="A6140" t="s">
        <v>130</v>
      </c>
      <c r="B6140" t="s">
        <v>12550</v>
      </c>
      <c r="C6140" t="s">
        <v>12549</v>
      </c>
      <c r="D6140" t="s">
        <v>12548</v>
      </c>
      <c r="E6140" t="s">
        <v>75</v>
      </c>
    </row>
    <row r="6141" spans="1:5" x14ac:dyDescent="0.3">
      <c r="A6141" t="s">
        <v>251</v>
      </c>
      <c r="B6141" t="s">
        <v>4839</v>
      </c>
      <c r="C6141" t="s">
        <v>12551</v>
      </c>
      <c r="D6141" t="s">
        <v>1509</v>
      </c>
      <c r="E6141" t="s">
        <v>781</v>
      </c>
    </row>
    <row r="6142" spans="1:5" x14ac:dyDescent="0.3">
      <c r="A6142" t="s">
        <v>1569</v>
      </c>
      <c r="B6142" t="s">
        <v>3966</v>
      </c>
      <c r="C6142" t="s">
        <v>467</v>
      </c>
      <c r="D6142" t="s">
        <v>5071</v>
      </c>
      <c r="E6142" t="s">
        <v>774</v>
      </c>
    </row>
    <row r="6143" spans="1:5" x14ac:dyDescent="0.3">
      <c r="A6143" t="s">
        <v>150</v>
      </c>
      <c r="B6143" t="s">
        <v>12329</v>
      </c>
      <c r="C6143" t="s">
        <v>5254</v>
      </c>
      <c r="D6143" t="s">
        <v>9518</v>
      </c>
      <c r="E6143" t="s">
        <v>743</v>
      </c>
    </row>
    <row r="6144" spans="1:5" x14ac:dyDescent="0.3">
      <c r="A6144" t="s">
        <v>305</v>
      </c>
      <c r="B6144" t="s">
        <v>12553</v>
      </c>
      <c r="C6144" t="s">
        <v>12552</v>
      </c>
      <c r="D6144" t="s">
        <v>5156</v>
      </c>
      <c r="E6144" t="s">
        <v>18</v>
      </c>
    </row>
    <row r="6145" spans="1:5" x14ac:dyDescent="0.3">
      <c r="A6145" t="s">
        <v>157</v>
      </c>
      <c r="B6145" t="s">
        <v>5312</v>
      </c>
      <c r="C6145" t="s">
        <v>12554</v>
      </c>
      <c r="D6145" t="s">
        <v>1940</v>
      </c>
      <c r="E6145" t="s">
        <v>743</v>
      </c>
    </row>
    <row r="6146" spans="1:5" x14ac:dyDescent="0.3">
      <c r="A6146" t="s">
        <v>1479</v>
      </c>
      <c r="B6146" t="s">
        <v>12556</v>
      </c>
      <c r="C6146" t="s">
        <v>12555</v>
      </c>
      <c r="D6146" t="s">
        <v>4379</v>
      </c>
      <c r="E6146" t="s">
        <v>841</v>
      </c>
    </row>
    <row r="6147" spans="1:5" x14ac:dyDescent="0.3">
      <c r="A6147" t="s">
        <v>1515</v>
      </c>
      <c r="B6147" t="s">
        <v>3809</v>
      </c>
      <c r="C6147" t="s">
        <v>459</v>
      </c>
      <c r="D6147" t="s">
        <v>5563</v>
      </c>
      <c r="E6147" t="s">
        <v>741</v>
      </c>
    </row>
    <row r="6148" spans="1:5" x14ac:dyDescent="0.3">
      <c r="A6148" t="s">
        <v>220</v>
      </c>
      <c r="B6148" t="s">
        <v>3321</v>
      </c>
      <c r="C6148" t="s">
        <v>12557</v>
      </c>
      <c r="D6148" t="s">
        <v>1408</v>
      </c>
      <c r="E6148" t="s">
        <v>1</v>
      </c>
    </row>
    <row r="6149" spans="1:5" x14ac:dyDescent="0.3">
      <c r="A6149" t="s">
        <v>1386</v>
      </c>
      <c r="B6149" t="s">
        <v>12558</v>
      </c>
      <c r="C6149" t="s">
        <v>3109</v>
      </c>
      <c r="D6149" t="s">
        <v>754</v>
      </c>
      <c r="E6149" t="s">
        <v>741</v>
      </c>
    </row>
    <row r="6150" spans="1:5" x14ac:dyDescent="0.3">
      <c r="A6150" t="s">
        <v>50</v>
      </c>
      <c r="B6150" t="s">
        <v>5272</v>
      </c>
      <c r="C6150" t="s">
        <v>459</v>
      </c>
      <c r="D6150" t="s">
        <v>5872</v>
      </c>
      <c r="E6150" t="s">
        <v>18</v>
      </c>
    </row>
    <row r="6151" spans="1:5" x14ac:dyDescent="0.3">
      <c r="A6151" t="s">
        <v>41</v>
      </c>
      <c r="B6151" t="s">
        <v>8411</v>
      </c>
      <c r="C6151" t="s">
        <v>518</v>
      </c>
      <c r="D6151" t="s">
        <v>5935</v>
      </c>
      <c r="E6151" t="s">
        <v>743</v>
      </c>
    </row>
    <row r="6152" spans="1:5" x14ac:dyDescent="0.3">
      <c r="A6152" t="s">
        <v>347</v>
      </c>
      <c r="B6152" t="s">
        <v>9355</v>
      </c>
      <c r="C6152" t="s">
        <v>4837</v>
      </c>
      <c r="D6152" t="s">
        <v>1919</v>
      </c>
      <c r="E6152" t="s">
        <v>781</v>
      </c>
    </row>
    <row r="6153" spans="1:5" x14ac:dyDescent="0.3">
      <c r="A6153" t="s">
        <v>764</v>
      </c>
      <c r="B6153" t="s">
        <v>171</v>
      </c>
      <c r="C6153" t="s">
        <v>12559</v>
      </c>
      <c r="D6153" t="s">
        <v>12305</v>
      </c>
      <c r="E6153" t="s">
        <v>774</v>
      </c>
    </row>
    <row r="6154" spans="1:5" x14ac:dyDescent="0.3">
      <c r="A6154" t="s">
        <v>1013</v>
      </c>
      <c r="B6154" t="s">
        <v>12560</v>
      </c>
      <c r="C6154" t="s">
        <v>2571</v>
      </c>
      <c r="D6154" t="s">
        <v>2427</v>
      </c>
      <c r="E6154" t="s">
        <v>741</v>
      </c>
    </row>
    <row r="6155" spans="1:5" x14ac:dyDescent="0.3">
      <c r="A6155" t="s">
        <v>7536</v>
      </c>
      <c r="B6155" t="s">
        <v>12561</v>
      </c>
      <c r="C6155" t="s">
        <v>461</v>
      </c>
      <c r="D6155" t="s">
        <v>5467</v>
      </c>
      <c r="E6155" t="s">
        <v>741</v>
      </c>
    </row>
    <row r="6156" spans="1:5" x14ac:dyDescent="0.3">
      <c r="A6156" t="s">
        <v>126</v>
      </c>
      <c r="B6156" t="s">
        <v>127</v>
      </c>
      <c r="C6156" t="s">
        <v>128</v>
      </c>
      <c r="D6156" t="s">
        <v>768</v>
      </c>
      <c r="E6156" t="s">
        <v>1</v>
      </c>
    </row>
    <row r="6157" spans="1:5" x14ac:dyDescent="0.3">
      <c r="A6157" t="s">
        <v>419</v>
      </c>
      <c r="B6157" t="s">
        <v>116</v>
      </c>
      <c r="C6157" t="s">
        <v>12566</v>
      </c>
      <c r="D6157" t="s">
        <v>12565</v>
      </c>
      <c r="E6157" t="s">
        <v>2175</v>
      </c>
    </row>
    <row r="6158" spans="1:5" x14ac:dyDescent="0.3">
      <c r="A6158" t="s">
        <v>116</v>
      </c>
      <c r="B6158" t="s">
        <v>4712</v>
      </c>
      <c r="C6158" t="s">
        <v>698</v>
      </c>
      <c r="D6158" t="s">
        <v>3607</v>
      </c>
      <c r="E6158" t="s">
        <v>758</v>
      </c>
    </row>
    <row r="6159" spans="1:5" x14ac:dyDescent="0.3">
      <c r="A6159" t="s">
        <v>189</v>
      </c>
      <c r="B6159" t="s">
        <v>12568</v>
      </c>
      <c r="C6159" t="s">
        <v>12567</v>
      </c>
      <c r="D6159" t="s">
        <v>943</v>
      </c>
      <c r="E6159" t="s">
        <v>1</v>
      </c>
    </row>
    <row r="6160" spans="1:5" x14ac:dyDescent="0.3">
      <c r="A6160" t="s">
        <v>12569</v>
      </c>
      <c r="B6160" t="s">
        <v>12570</v>
      </c>
      <c r="C6160" t="s">
        <v>518</v>
      </c>
      <c r="D6160" t="s">
        <v>763</v>
      </c>
      <c r="E6160" t="s">
        <v>1</v>
      </c>
    </row>
    <row r="6161" spans="1:5" x14ac:dyDescent="0.3">
      <c r="A6161" t="s">
        <v>264</v>
      </c>
      <c r="B6161" t="s">
        <v>12573</v>
      </c>
      <c r="C6161" t="s">
        <v>12572</v>
      </c>
      <c r="D6161" t="s">
        <v>12571</v>
      </c>
      <c r="E6161" t="s">
        <v>841</v>
      </c>
    </row>
    <row r="6162" spans="1:5" x14ac:dyDescent="0.3">
      <c r="A6162" t="s">
        <v>12574</v>
      </c>
      <c r="B6162" t="s">
        <v>12576</v>
      </c>
      <c r="C6162" t="s">
        <v>12575</v>
      </c>
      <c r="D6162" t="s">
        <v>1940</v>
      </c>
      <c r="E6162" t="s">
        <v>743</v>
      </c>
    </row>
    <row r="6163" spans="1:5" x14ac:dyDescent="0.3">
      <c r="A6163" t="s">
        <v>976</v>
      </c>
      <c r="B6163" t="s">
        <v>12578</v>
      </c>
      <c r="C6163" t="s">
        <v>12577</v>
      </c>
    </row>
    <row r="6164" spans="1:5" x14ac:dyDescent="0.3">
      <c r="A6164" t="s">
        <v>3453</v>
      </c>
      <c r="B6164" t="s">
        <v>12580</v>
      </c>
      <c r="C6164" t="s">
        <v>698</v>
      </c>
      <c r="D6164" t="s">
        <v>12579</v>
      </c>
      <c r="E6164" t="s">
        <v>897</v>
      </c>
    </row>
    <row r="6165" spans="1:5" x14ac:dyDescent="0.3">
      <c r="A6165" t="s">
        <v>5461</v>
      </c>
      <c r="B6165" t="s">
        <v>8478</v>
      </c>
      <c r="C6165" t="s">
        <v>459</v>
      </c>
      <c r="D6165" t="s">
        <v>12581</v>
      </c>
      <c r="E6165" t="s">
        <v>2175</v>
      </c>
    </row>
    <row r="6166" spans="1:5" x14ac:dyDescent="0.3">
      <c r="A6166" t="s">
        <v>190</v>
      </c>
      <c r="B6166" t="s">
        <v>12583</v>
      </c>
      <c r="C6166" t="s">
        <v>12582</v>
      </c>
      <c r="D6166" t="s">
        <v>5140</v>
      </c>
      <c r="E6166" t="s">
        <v>18</v>
      </c>
    </row>
    <row r="6167" spans="1:5" x14ac:dyDescent="0.3">
      <c r="A6167" t="s">
        <v>132</v>
      </c>
      <c r="B6167" t="s">
        <v>12584</v>
      </c>
      <c r="C6167" t="s">
        <v>628</v>
      </c>
      <c r="D6167" t="s">
        <v>523</v>
      </c>
      <c r="E6167" t="s">
        <v>761</v>
      </c>
    </row>
    <row r="6168" spans="1:5" x14ac:dyDescent="0.3">
      <c r="A6168" t="s">
        <v>116</v>
      </c>
      <c r="B6168" t="s">
        <v>5598</v>
      </c>
      <c r="C6168" t="s">
        <v>12585</v>
      </c>
      <c r="D6168" t="s">
        <v>3221</v>
      </c>
      <c r="E6168" t="s">
        <v>774</v>
      </c>
    </row>
    <row r="6169" spans="1:5" x14ac:dyDescent="0.3">
      <c r="A6169" t="s">
        <v>3657</v>
      </c>
      <c r="B6169" t="s">
        <v>9863</v>
      </c>
      <c r="C6169" t="s">
        <v>467</v>
      </c>
      <c r="D6169" t="s">
        <v>9862</v>
      </c>
      <c r="E6169" t="s">
        <v>75</v>
      </c>
    </row>
    <row r="6170" spans="1:5" x14ac:dyDescent="0.3">
      <c r="A6170" t="s">
        <v>1074</v>
      </c>
      <c r="B6170" t="s">
        <v>12587</v>
      </c>
      <c r="C6170" t="s">
        <v>12586</v>
      </c>
      <c r="D6170" t="s">
        <v>1408</v>
      </c>
      <c r="E6170" t="s">
        <v>1</v>
      </c>
    </row>
    <row r="6171" spans="1:5" x14ac:dyDescent="0.3">
      <c r="A6171" t="s">
        <v>12588</v>
      </c>
      <c r="B6171" t="s">
        <v>12589</v>
      </c>
      <c r="C6171" t="s">
        <v>459</v>
      </c>
      <c r="D6171" t="s">
        <v>5796</v>
      </c>
      <c r="E6171" t="s">
        <v>2175</v>
      </c>
    </row>
    <row r="6172" spans="1:5" x14ac:dyDescent="0.3">
      <c r="A6172" t="s">
        <v>5958</v>
      </c>
      <c r="B6172" t="s">
        <v>5285</v>
      </c>
      <c r="C6172" t="s">
        <v>456</v>
      </c>
    </row>
    <row r="6173" spans="1:5" x14ac:dyDescent="0.3">
      <c r="A6173" t="s">
        <v>3336</v>
      </c>
      <c r="B6173" t="s">
        <v>12590</v>
      </c>
      <c r="C6173" t="s">
        <v>459</v>
      </c>
      <c r="D6173" t="s">
        <v>5990</v>
      </c>
      <c r="E6173" t="s">
        <v>75</v>
      </c>
    </row>
    <row r="6174" spans="1:5" x14ac:dyDescent="0.3">
      <c r="A6174" t="s">
        <v>56</v>
      </c>
      <c r="B6174" t="s">
        <v>5110</v>
      </c>
      <c r="C6174" t="s">
        <v>12591</v>
      </c>
      <c r="D6174" t="s">
        <v>2718</v>
      </c>
      <c r="E6174" t="s">
        <v>781</v>
      </c>
    </row>
    <row r="6175" spans="1:5" x14ac:dyDescent="0.3">
      <c r="A6175" t="s">
        <v>1422</v>
      </c>
      <c r="B6175" t="s">
        <v>12592</v>
      </c>
      <c r="C6175" t="s">
        <v>862</v>
      </c>
      <c r="D6175" t="s">
        <v>968</v>
      </c>
      <c r="E6175" t="s">
        <v>781</v>
      </c>
    </row>
    <row r="6176" spans="1:5" x14ac:dyDescent="0.3">
      <c r="A6176" t="s">
        <v>224</v>
      </c>
      <c r="B6176" t="s">
        <v>4035</v>
      </c>
      <c r="C6176" t="s">
        <v>459</v>
      </c>
      <c r="D6176" t="s">
        <v>1076</v>
      </c>
      <c r="E6176" t="s">
        <v>897</v>
      </c>
    </row>
    <row r="6177" spans="1:5" x14ac:dyDescent="0.3">
      <c r="A6177" t="s">
        <v>851</v>
      </c>
      <c r="B6177" t="s">
        <v>8933</v>
      </c>
      <c r="C6177" t="s">
        <v>12593</v>
      </c>
      <c r="D6177" t="s">
        <v>9864</v>
      </c>
      <c r="E6177" t="s">
        <v>75</v>
      </c>
    </row>
    <row r="6178" spans="1:5" x14ac:dyDescent="0.3">
      <c r="A6178" t="s">
        <v>12594</v>
      </c>
      <c r="B6178" t="s">
        <v>2726</v>
      </c>
      <c r="C6178" t="s">
        <v>862</v>
      </c>
      <c r="D6178" t="s">
        <v>919</v>
      </c>
      <c r="E6178" t="s">
        <v>1</v>
      </c>
    </row>
    <row r="6179" spans="1:5" x14ac:dyDescent="0.3">
      <c r="A6179" t="s">
        <v>44</v>
      </c>
      <c r="B6179" t="s">
        <v>12596</v>
      </c>
      <c r="C6179" t="s">
        <v>12595</v>
      </c>
      <c r="D6179" t="s">
        <v>883</v>
      </c>
      <c r="E6179" t="s">
        <v>1</v>
      </c>
    </row>
    <row r="6180" spans="1:5" x14ac:dyDescent="0.3">
      <c r="A6180" t="s">
        <v>195</v>
      </c>
      <c r="B6180" t="s">
        <v>2551</v>
      </c>
      <c r="C6180" t="s">
        <v>12598</v>
      </c>
      <c r="D6180" t="s">
        <v>12597</v>
      </c>
      <c r="E6180" t="s">
        <v>75</v>
      </c>
    </row>
    <row r="6181" spans="1:5" x14ac:dyDescent="0.3">
      <c r="A6181" t="s">
        <v>262</v>
      </c>
      <c r="B6181" t="s">
        <v>3545</v>
      </c>
      <c r="C6181" t="s">
        <v>698</v>
      </c>
      <c r="D6181" t="s">
        <v>2615</v>
      </c>
      <c r="E6181" t="s">
        <v>758</v>
      </c>
    </row>
    <row r="6182" spans="1:5" x14ac:dyDescent="0.3">
      <c r="A6182" t="s">
        <v>1376</v>
      </c>
      <c r="B6182" t="s">
        <v>12600</v>
      </c>
      <c r="C6182" t="s">
        <v>12599</v>
      </c>
      <c r="D6182" t="s">
        <v>9865</v>
      </c>
      <c r="E6182" t="s">
        <v>75</v>
      </c>
    </row>
    <row r="6183" spans="1:5" x14ac:dyDescent="0.3">
      <c r="A6183" t="s">
        <v>12601</v>
      </c>
      <c r="B6183" t="s">
        <v>171</v>
      </c>
      <c r="C6183" t="s">
        <v>862</v>
      </c>
      <c r="D6183" t="s">
        <v>919</v>
      </c>
      <c r="E6183" t="s">
        <v>1</v>
      </c>
    </row>
    <row r="6184" spans="1:5" x14ac:dyDescent="0.3">
      <c r="A6184" t="s">
        <v>8328</v>
      </c>
      <c r="B6184" t="s">
        <v>4405</v>
      </c>
      <c r="C6184" t="s">
        <v>456</v>
      </c>
      <c r="D6184" t="s">
        <v>11082</v>
      </c>
      <c r="E6184" t="s">
        <v>758</v>
      </c>
    </row>
    <row r="6185" spans="1:5" x14ac:dyDescent="0.3">
      <c r="A6185" t="s">
        <v>4145</v>
      </c>
      <c r="B6185" t="s">
        <v>12603</v>
      </c>
      <c r="C6185" t="s">
        <v>12602</v>
      </c>
      <c r="D6185" t="s">
        <v>12564</v>
      </c>
      <c r="E6185" t="s">
        <v>75</v>
      </c>
    </row>
    <row r="6186" spans="1:5" x14ac:dyDescent="0.3">
      <c r="A6186" t="s">
        <v>206</v>
      </c>
      <c r="B6186" t="s">
        <v>131</v>
      </c>
      <c r="C6186" t="s">
        <v>862</v>
      </c>
      <c r="D6186" t="s">
        <v>895</v>
      </c>
      <c r="E6186" t="s">
        <v>897</v>
      </c>
    </row>
    <row r="6187" spans="1:5" x14ac:dyDescent="0.3">
      <c r="A6187" t="s">
        <v>12605</v>
      </c>
      <c r="B6187" t="s">
        <v>12607</v>
      </c>
      <c r="C6187" t="s">
        <v>12606</v>
      </c>
      <c r="D6187" t="s">
        <v>12604</v>
      </c>
      <c r="E6187" t="s">
        <v>774</v>
      </c>
    </row>
    <row r="6188" spans="1:5" x14ac:dyDescent="0.3">
      <c r="A6188" t="s">
        <v>347</v>
      </c>
      <c r="B6188" t="s">
        <v>989</v>
      </c>
      <c r="C6188" t="s">
        <v>862</v>
      </c>
      <c r="D6188" t="s">
        <v>919</v>
      </c>
      <c r="E6188" t="s">
        <v>1</v>
      </c>
    </row>
    <row r="6189" spans="1:5" x14ac:dyDescent="0.3">
      <c r="A6189" t="s">
        <v>1031</v>
      </c>
      <c r="B6189" t="s">
        <v>12608</v>
      </c>
      <c r="C6189" t="s">
        <v>460</v>
      </c>
      <c r="D6189" t="s">
        <v>4375</v>
      </c>
      <c r="E6189" t="s">
        <v>761</v>
      </c>
    </row>
    <row r="6190" spans="1:5" x14ac:dyDescent="0.3">
      <c r="A6190" t="s">
        <v>190</v>
      </c>
      <c r="B6190" t="s">
        <v>3752</v>
      </c>
      <c r="C6190" t="s">
        <v>457</v>
      </c>
      <c r="D6190" t="s">
        <v>7842</v>
      </c>
      <c r="E6190" t="s">
        <v>75</v>
      </c>
    </row>
    <row r="6191" spans="1:5" x14ac:dyDescent="0.3">
      <c r="A6191" t="s">
        <v>3074</v>
      </c>
      <c r="B6191" t="s">
        <v>12610</v>
      </c>
      <c r="C6191" t="s">
        <v>12609</v>
      </c>
      <c r="D6191" t="s">
        <v>1626</v>
      </c>
      <c r="E6191" t="s">
        <v>774</v>
      </c>
    </row>
    <row r="6192" spans="1:5" x14ac:dyDescent="0.3">
      <c r="A6192" t="s">
        <v>82</v>
      </c>
      <c r="B6192" t="s">
        <v>12613</v>
      </c>
      <c r="C6192" t="s">
        <v>12612</v>
      </c>
      <c r="D6192" t="s">
        <v>12611</v>
      </c>
      <c r="E6192" t="s">
        <v>774</v>
      </c>
    </row>
    <row r="6193" spans="1:5" x14ac:dyDescent="0.3">
      <c r="A6193" t="s">
        <v>3288</v>
      </c>
      <c r="B6193" t="s">
        <v>4321</v>
      </c>
      <c r="C6193" t="s">
        <v>467</v>
      </c>
      <c r="D6193" t="s">
        <v>8476</v>
      </c>
      <c r="E6193" t="s">
        <v>75</v>
      </c>
    </row>
    <row r="6194" spans="1:5" x14ac:dyDescent="0.3">
      <c r="A6194" t="s">
        <v>826</v>
      </c>
      <c r="B6194" t="s">
        <v>6504</v>
      </c>
      <c r="C6194" t="s">
        <v>628</v>
      </c>
      <c r="D6194" t="s">
        <v>3759</v>
      </c>
      <c r="E6194" t="s">
        <v>1</v>
      </c>
    </row>
    <row r="6195" spans="1:5" x14ac:dyDescent="0.3">
      <c r="A6195" t="s">
        <v>150</v>
      </c>
      <c r="B6195" t="s">
        <v>12614</v>
      </c>
      <c r="C6195" t="s">
        <v>862</v>
      </c>
      <c r="D6195" t="s">
        <v>3759</v>
      </c>
      <c r="E6195" t="s">
        <v>1</v>
      </c>
    </row>
    <row r="6196" spans="1:5" x14ac:dyDescent="0.3">
      <c r="A6196" t="s">
        <v>181</v>
      </c>
      <c r="B6196" t="s">
        <v>12615</v>
      </c>
      <c r="C6196" t="s">
        <v>518</v>
      </c>
      <c r="D6196" t="s">
        <v>3759</v>
      </c>
      <c r="E6196" t="s">
        <v>1</v>
      </c>
    </row>
    <row r="6197" spans="1:5" x14ac:dyDescent="0.3">
      <c r="A6197" t="s">
        <v>2160</v>
      </c>
      <c r="B6197" t="s">
        <v>6363</v>
      </c>
      <c r="C6197" t="s">
        <v>12616</v>
      </c>
      <c r="D6197" t="s">
        <v>763</v>
      </c>
      <c r="E6197" t="s">
        <v>1</v>
      </c>
    </row>
    <row r="6198" spans="1:5" x14ac:dyDescent="0.3">
      <c r="A6198" t="s">
        <v>860</v>
      </c>
      <c r="B6198" t="s">
        <v>12618</v>
      </c>
      <c r="C6198" t="s">
        <v>12617</v>
      </c>
      <c r="D6198" t="s">
        <v>2171</v>
      </c>
      <c r="E6198" t="s">
        <v>741</v>
      </c>
    </row>
    <row r="6199" spans="1:5" x14ac:dyDescent="0.3">
      <c r="A6199" t="s">
        <v>177</v>
      </c>
      <c r="B6199" t="s">
        <v>405</v>
      </c>
      <c r="C6199" t="s">
        <v>406</v>
      </c>
      <c r="D6199" t="s">
        <v>2755</v>
      </c>
      <c r="E6199" t="s">
        <v>743</v>
      </c>
    </row>
    <row r="6200" spans="1:5" x14ac:dyDescent="0.3">
      <c r="A6200" t="s">
        <v>44</v>
      </c>
      <c r="B6200" t="s">
        <v>5909</v>
      </c>
      <c r="C6200" t="s">
        <v>467</v>
      </c>
      <c r="D6200" t="s">
        <v>6939</v>
      </c>
      <c r="E6200" t="s">
        <v>75</v>
      </c>
    </row>
    <row r="6201" spans="1:5" x14ac:dyDescent="0.3">
      <c r="A6201" t="s">
        <v>190</v>
      </c>
      <c r="B6201" t="s">
        <v>12620</v>
      </c>
      <c r="C6201" t="s">
        <v>467</v>
      </c>
      <c r="D6201" t="s">
        <v>12619</v>
      </c>
      <c r="E6201" t="s">
        <v>75</v>
      </c>
    </row>
    <row r="6202" spans="1:5" x14ac:dyDescent="0.3">
      <c r="A6202" t="s">
        <v>41</v>
      </c>
      <c r="B6202" t="s">
        <v>2144</v>
      </c>
      <c r="C6202" t="s">
        <v>12621</v>
      </c>
      <c r="D6202" t="s">
        <v>12563</v>
      </c>
      <c r="E6202" t="s">
        <v>897</v>
      </c>
    </row>
    <row r="6203" spans="1:5" x14ac:dyDescent="0.3">
      <c r="A6203" t="s">
        <v>1213</v>
      </c>
      <c r="B6203" t="s">
        <v>12624</v>
      </c>
      <c r="C6203" t="s">
        <v>12623</v>
      </c>
      <c r="D6203" t="s">
        <v>12622</v>
      </c>
      <c r="E6203" t="s">
        <v>75</v>
      </c>
    </row>
    <row r="6204" spans="1:5" x14ac:dyDescent="0.3">
      <c r="A6204" t="s">
        <v>12625</v>
      </c>
      <c r="B6204" t="s">
        <v>12627</v>
      </c>
      <c r="C6204" t="s">
        <v>12626</v>
      </c>
      <c r="D6204" t="s">
        <v>763</v>
      </c>
      <c r="E6204" t="s">
        <v>1</v>
      </c>
    </row>
    <row r="6205" spans="1:5" x14ac:dyDescent="0.3">
      <c r="A6205" t="s">
        <v>298</v>
      </c>
      <c r="B6205" t="s">
        <v>12629</v>
      </c>
      <c r="C6205" t="s">
        <v>12628</v>
      </c>
      <c r="D6205" t="s">
        <v>10776</v>
      </c>
      <c r="E6205" t="s">
        <v>75</v>
      </c>
    </row>
    <row r="6206" spans="1:5" x14ac:dyDescent="0.3">
      <c r="A6206" t="s">
        <v>399</v>
      </c>
      <c r="B6206" t="s">
        <v>12630</v>
      </c>
      <c r="C6206" t="s">
        <v>459</v>
      </c>
    </row>
    <row r="6207" spans="1:5" x14ac:dyDescent="0.3">
      <c r="A6207" t="s">
        <v>5599</v>
      </c>
      <c r="B6207" t="s">
        <v>12632</v>
      </c>
      <c r="C6207" t="s">
        <v>12631</v>
      </c>
      <c r="D6207" t="s">
        <v>8476</v>
      </c>
      <c r="E6207" t="s">
        <v>75</v>
      </c>
    </row>
    <row r="6208" spans="1:5" x14ac:dyDescent="0.3">
      <c r="A6208" t="s">
        <v>3235</v>
      </c>
      <c r="B6208" t="s">
        <v>4158</v>
      </c>
      <c r="C6208" t="s">
        <v>457</v>
      </c>
      <c r="D6208" t="s">
        <v>12633</v>
      </c>
      <c r="E6208" t="s">
        <v>761</v>
      </c>
    </row>
    <row r="6209" spans="1:5" x14ac:dyDescent="0.3">
      <c r="A6209" t="s">
        <v>190</v>
      </c>
      <c r="B6209" t="s">
        <v>12635</v>
      </c>
      <c r="C6209" t="s">
        <v>12634</v>
      </c>
      <c r="D6209" t="s">
        <v>763</v>
      </c>
      <c r="E6209" t="s">
        <v>1</v>
      </c>
    </row>
    <row r="6210" spans="1:5" x14ac:dyDescent="0.3">
      <c r="A6210" t="s">
        <v>27</v>
      </c>
      <c r="B6210" t="s">
        <v>5438</v>
      </c>
      <c r="C6210" t="s">
        <v>518</v>
      </c>
      <c r="D6210" t="s">
        <v>2884</v>
      </c>
      <c r="E6210" t="s">
        <v>774</v>
      </c>
    </row>
    <row r="6211" spans="1:5" x14ac:dyDescent="0.3">
      <c r="A6211" t="s">
        <v>1304</v>
      </c>
      <c r="B6211" t="s">
        <v>255</v>
      </c>
      <c r="C6211" t="s">
        <v>12636</v>
      </c>
      <c r="D6211" t="s">
        <v>754</v>
      </c>
      <c r="E6211" t="s">
        <v>741</v>
      </c>
    </row>
    <row r="6212" spans="1:5" x14ac:dyDescent="0.3">
      <c r="A6212" t="s">
        <v>8154</v>
      </c>
      <c r="B6212" t="s">
        <v>12638</v>
      </c>
      <c r="C6212" t="s">
        <v>12637</v>
      </c>
      <c r="D6212" t="s">
        <v>763</v>
      </c>
      <c r="E6212" t="s">
        <v>1</v>
      </c>
    </row>
    <row r="6213" spans="1:5" x14ac:dyDescent="0.3">
      <c r="A6213" t="s">
        <v>1569</v>
      </c>
      <c r="B6213" t="s">
        <v>12640</v>
      </c>
      <c r="C6213" t="s">
        <v>457</v>
      </c>
      <c r="D6213" t="s">
        <v>12639</v>
      </c>
      <c r="E6213" t="s">
        <v>75</v>
      </c>
    </row>
    <row r="6214" spans="1:5" x14ac:dyDescent="0.3">
      <c r="A6214" t="s">
        <v>12641</v>
      </c>
      <c r="B6214" t="s">
        <v>12643</v>
      </c>
      <c r="C6214" t="s">
        <v>12642</v>
      </c>
    </row>
    <row r="6215" spans="1:5" x14ac:dyDescent="0.3">
      <c r="A6215" t="s">
        <v>150</v>
      </c>
      <c r="B6215" t="s">
        <v>287</v>
      </c>
      <c r="C6215" t="s">
        <v>461</v>
      </c>
      <c r="D6215" t="s">
        <v>6954</v>
      </c>
      <c r="E6215" t="s">
        <v>75</v>
      </c>
    </row>
    <row r="6216" spans="1:5" x14ac:dyDescent="0.3">
      <c r="A6216" t="s">
        <v>89</v>
      </c>
      <c r="B6216" t="s">
        <v>12645</v>
      </c>
      <c r="C6216" t="s">
        <v>461</v>
      </c>
      <c r="D6216" t="s">
        <v>12644</v>
      </c>
      <c r="E6216" t="s">
        <v>75</v>
      </c>
    </row>
    <row r="6217" spans="1:5" x14ac:dyDescent="0.3">
      <c r="A6217" t="s">
        <v>219</v>
      </c>
      <c r="B6217" t="s">
        <v>2826</v>
      </c>
      <c r="C6217" t="s">
        <v>12646</v>
      </c>
      <c r="D6217" t="s">
        <v>763</v>
      </c>
      <c r="E6217" t="s">
        <v>1</v>
      </c>
    </row>
    <row r="6218" spans="1:5" x14ac:dyDescent="0.3">
      <c r="A6218" t="s">
        <v>12647</v>
      </c>
      <c r="B6218" t="s">
        <v>221</v>
      </c>
      <c r="C6218" t="s">
        <v>467</v>
      </c>
      <c r="D6218" t="s">
        <v>6955</v>
      </c>
      <c r="E6218" t="s">
        <v>75</v>
      </c>
    </row>
    <row r="6219" spans="1:5" x14ac:dyDescent="0.3">
      <c r="A6219" t="s">
        <v>29</v>
      </c>
      <c r="B6219" t="s">
        <v>12650</v>
      </c>
      <c r="C6219" t="s">
        <v>12649</v>
      </c>
      <c r="D6219" t="s">
        <v>12648</v>
      </c>
      <c r="E6219" t="s">
        <v>75</v>
      </c>
    </row>
    <row r="6220" spans="1:5" x14ac:dyDescent="0.3">
      <c r="A6220" t="s">
        <v>2881</v>
      </c>
      <c r="B6220" t="s">
        <v>4661</v>
      </c>
      <c r="C6220" t="s">
        <v>518</v>
      </c>
      <c r="D6220" t="s">
        <v>739</v>
      </c>
      <c r="E6220" t="s">
        <v>741</v>
      </c>
    </row>
    <row r="6221" spans="1:5" x14ac:dyDescent="0.3">
      <c r="A6221" t="s">
        <v>12651</v>
      </c>
      <c r="B6221" t="s">
        <v>414</v>
      </c>
      <c r="C6221" t="s">
        <v>12652</v>
      </c>
      <c r="D6221" t="s">
        <v>1509</v>
      </c>
      <c r="E6221" t="s">
        <v>781</v>
      </c>
    </row>
    <row r="6222" spans="1:5" x14ac:dyDescent="0.3">
      <c r="A6222" t="s">
        <v>1793</v>
      </c>
      <c r="B6222" t="s">
        <v>12653</v>
      </c>
      <c r="C6222" t="s">
        <v>456</v>
      </c>
      <c r="D6222" t="s">
        <v>906</v>
      </c>
      <c r="E6222" t="s">
        <v>1</v>
      </c>
    </row>
    <row r="6223" spans="1:5" x14ac:dyDescent="0.3">
      <c r="A6223" t="s">
        <v>182</v>
      </c>
      <c r="B6223" t="s">
        <v>7007</v>
      </c>
      <c r="C6223" t="s">
        <v>12654</v>
      </c>
      <c r="D6223" t="s">
        <v>3710</v>
      </c>
      <c r="E6223" t="s">
        <v>761</v>
      </c>
    </row>
    <row r="6224" spans="1:5" x14ac:dyDescent="0.3">
      <c r="A6224" t="s">
        <v>3951</v>
      </c>
      <c r="B6224" t="s">
        <v>12655</v>
      </c>
      <c r="C6224" t="s">
        <v>518</v>
      </c>
      <c r="D6224" t="s">
        <v>739</v>
      </c>
      <c r="E6224" t="s">
        <v>741</v>
      </c>
    </row>
    <row r="6225" spans="1:5" x14ac:dyDescent="0.3">
      <c r="A6225" t="s">
        <v>12656</v>
      </c>
      <c r="B6225" t="s">
        <v>12657</v>
      </c>
      <c r="C6225" t="s">
        <v>3454</v>
      </c>
      <c r="D6225" t="s">
        <v>1408</v>
      </c>
      <c r="E6225" t="s">
        <v>1</v>
      </c>
    </row>
    <row r="6226" spans="1:5" x14ac:dyDescent="0.3">
      <c r="A6226" t="s">
        <v>864</v>
      </c>
      <c r="B6226" t="s">
        <v>12659</v>
      </c>
      <c r="C6226" t="s">
        <v>461</v>
      </c>
      <c r="D6226" t="s">
        <v>12658</v>
      </c>
      <c r="E6226" t="s">
        <v>75</v>
      </c>
    </row>
    <row r="6227" spans="1:5" x14ac:dyDescent="0.3">
      <c r="A6227" t="s">
        <v>3023</v>
      </c>
      <c r="B6227" t="s">
        <v>3024</v>
      </c>
      <c r="C6227" t="s">
        <v>461</v>
      </c>
      <c r="D6227" t="s">
        <v>12660</v>
      </c>
      <c r="E6227" t="s">
        <v>75</v>
      </c>
    </row>
    <row r="6228" spans="1:5" x14ac:dyDescent="0.3">
      <c r="A6228" t="s">
        <v>12661</v>
      </c>
      <c r="B6228" t="s">
        <v>7162</v>
      </c>
      <c r="C6228" t="s">
        <v>862</v>
      </c>
      <c r="D6228" t="s">
        <v>739</v>
      </c>
      <c r="E6228" t="s">
        <v>741</v>
      </c>
    </row>
    <row r="6229" spans="1:5" x14ac:dyDescent="0.3">
      <c r="A6229" t="s">
        <v>4317</v>
      </c>
      <c r="B6229" t="s">
        <v>12664</v>
      </c>
      <c r="C6229" t="s">
        <v>461</v>
      </c>
      <c r="D6229" t="s">
        <v>12663</v>
      </c>
      <c r="E6229" t="s">
        <v>75</v>
      </c>
    </row>
    <row r="6230" spans="1:5" x14ac:dyDescent="0.3">
      <c r="A6230" t="s">
        <v>167</v>
      </c>
      <c r="B6230" t="s">
        <v>5429</v>
      </c>
      <c r="C6230" t="s">
        <v>12665</v>
      </c>
      <c r="D6230" t="s">
        <v>1716</v>
      </c>
      <c r="E6230" t="s">
        <v>741</v>
      </c>
    </row>
    <row r="6231" spans="1:5" x14ac:dyDescent="0.3">
      <c r="A6231" t="s">
        <v>150</v>
      </c>
      <c r="B6231" t="s">
        <v>3820</v>
      </c>
      <c r="C6231" t="s">
        <v>5610</v>
      </c>
      <c r="D6231" t="s">
        <v>770</v>
      </c>
      <c r="E6231" t="s">
        <v>758</v>
      </c>
    </row>
    <row r="6232" spans="1:5" x14ac:dyDescent="0.3">
      <c r="A6232" t="s">
        <v>767</v>
      </c>
      <c r="B6232" t="s">
        <v>12667</v>
      </c>
      <c r="C6232" t="s">
        <v>12666</v>
      </c>
      <c r="D6232" t="s">
        <v>751</v>
      </c>
      <c r="E6232" t="s">
        <v>1</v>
      </c>
    </row>
    <row r="6233" spans="1:5" x14ac:dyDescent="0.3">
      <c r="A6233" t="s">
        <v>313</v>
      </c>
      <c r="B6233" t="s">
        <v>9645</v>
      </c>
      <c r="C6233" t="s">
        <v>467</v>
      </c>
      <c r="D6233" t="s">
        <v>6971</v>
      </c>
      <c r="E6233" t="s">
        <v>75</v>
      </c>
    </row>
    <row r="6234" spans="1:5" x14ac:dyDescent="0.3">
      <c r="A6234" t="s">
        <v>2373</v>
      </c>
      <c r="B6234" t="s">
        <v>12668</v>
      </c>
      <c r="C6234" t="s">
        <v>862</v>
      </c>
      <c r="D6234" t="s">
        <v>751</v>
      </c>
      <c r="E6234" t="s">
        <v>1</v>
      </c>
    </row>
    <row r="6235" spans="1:5" x14ac:dyDescent="0.3">
      <c r="A6235" t="s">
        <v>224</v>
      </c>
      <c r="B6235" t="s">
        <v>12670</v>
      </c>
      <c r="C6235" t="s">
        <v>12669</v>
      </c>
    </row>
    <row r="6236" spans="1:5" x14ac:dyDescent="0.3">
      <c r="A6236" t="s">
        <v>1008</v>
      </c>
      <c r="B6236" t="s">
        <v>12671</v>
      </c>
      <c r="C6236" t="s">
        <v>862</v>
      </c>
      <c r="D6236" t="s">
        <v>739</v>
      </c>
      <c r="E6236" t="s">
        <v>741</v>
      </c>
    </row>
    <row r="6237" spans="1:5" x14ac:dyDescent="0.3">
      <c r="A6237" t="s">
        <v>1555</v>
      </c>
      <c r="B6237" t="s">
        <v>2351</v>
      </c>
      <c r="C6237" t="s">
        <v>2571</v>
      </c>
      <c r="D6237" t="s">
        <v>763</v>
      </c>
      <c r="E6237" t="s">
        <v>1</v>
      </c>
    </row>
    <row r="6238" spans="1:5" x14ac:dyDescent="0.3">
      <c r="A6238" t="s">
        <v>100</v>
      </c>
      <c r="B6238" t="s">
        <v>12672</v>
      </c>
      <c r="C6238" t="s">
        <v>862</v>
      </c>
      <c r="D6238" t="s">
        <v>751</v>
      </c>
      <c r="E6238" t="s">
        <v>1</v>
      </c>
    </row>
    <row r="6239" spans="1:5" x14ac:dyDescent="0.3">
      <c r="A6239" t="s">
        <v>12673</v>
      </c>
      <c r="B6239" t="s">
        <v>4613</v>
      </c>
      <c r="C6239" t="s">
        <v>862</v>
      </c>
      <c r="D6239" t="s">
        <v>981</v>
      </c>
      <c r="E6239" t="s">
        <v>761</v>
      </c>
    </row>
    <row r="6240" spans="1:5" x14ac:dyDescent="0.3">
      <c r="A6240" t="s">
        <v>153</v>
      </c>
      <c r="B6240" t="s">
        <v>5285</v>
      </c>
      <c r="C6240" t="s">
        <v>12674</v>
      </c>
      <c r="D6240" t="s">
        <v>751</v>
      </c>
      <c r="E6240" t="s">
        <v>1</v>
      </c>
    </row>
    <row r="6241" spans="1:5" x14ac:dyDescent="0.3">
      <c r="A6241" t="s">
        <v>329</v>
      </c>
      <c r="B6241" t="s">
        <v>2603</v>
      </c>
      <c r="C6241" t="s">
        <v>628</v>
      </c>
      <c r="D6241" t="s">
        <v>8842</v>
      </c>
      <c r="E6241" t="s">
        <v>75</v>
      </c>
    </row>
    <row r="6242" spans="1:5" x14ac:dyDescent="0.3">
      <c r="A6242" t="s">
        <v>12675</v>
      </c>
      <c r="B6242" t="s">
        <v>1184</v>
      </c>
      <c r="C6242" t="s">
        <v>12676</v>
      </c>
      <c r="D6242" t="s">
        <v>751</v>
      </c>
      <c r="E6242" t="s">
        <v>1</v>
      </c>
    </row>
    <row r="6243" spans="1:5" x14ac:dyDescent="0.3">
      <c r="A6243" t="s">
        <v>6987</v>
      </c>
      <c r="B6243" t="s">
        <v>12677</v>
      </c>
      <c r="C6243" t="s">
        <v>461</v>
      </c>
      <c r="D6243" t="s">
        <v>6987</v>
      </c>
      <c r="E6243" t="s">
        <v>75</v>
      </c>
    </row>
    <row r="6244" spans="1:5" x14ac:dyDescent="0.3">
      <c r="A6244" t="s">
        <v>190</v>
      </c>
      <c r="B6244" t="s">
        <v>950</v>
      </c>
      <c r="C6244" t="s">
        <v>862</v>
      </c>
      <c r="D6244" t="s">
        <v>751</v>
      </c>
      <c r="E6244" t="s">
        <v>1</v>
      </c>
    </row>
    <row r="6245" spans="1:5" x14ac:dyDescent="0.3">
      <c r="A6245" t="s">
        <v>2833</v>
      </c>
      <c r="B6245" t="s">
        <v>1204</v>
      </c>
      <c r="C6245" t="s">
        <v>12678</v>
      </c>
      <c r="D6245" t="s">
        <v>6183</v>
      </c>
      <c r="E6245" t="s">
        <v>774</v>
      </c>
    </row>
    <row r="6246" spans="1:5" x14ac:dyDescent="0.3">
      <c r="A6246" t="s">
        <v>12215</v>
      </c>
      <c r="B6246" t="s">
        <v>12679</v>
      </c>
      <c r="C6246" t="s">
        <v>862</v>
      </c>
      <c r="D6246" t="s">
        <v>751</v>
      </c>
      <c r="E6246" t="s">
        <v>1</v>
      </c>
    </row>
    <row r="6247" spans="1:5" x14ac:dyDescent="0.3">
      <c r="A6247" t="s">
        <v>160</v>
      </c>
      <c r="B6247" t="s">
        <v>6103</v>
      </c>
      <c r="C6247" t="s">
        <v>461</v>
      </c>
      <c r="D6247" t="s">
        <v>9093</v>
      </c>
      <c r="E6247" t="s">
        <v>75</v>
      </c>
    </row>
    <row r="6248" spans="1:5" x14ac:dyDescent="0.3">
      <c r="A6248" t="s">
        <v>342</v>
      </c>
      <c r="B6248" t="s">
        <v>12680</v>
      </c>
      <c r="C6248" t="s">
        <v>460</v>
      </c>
      <c r="D6248" t="s">
        <v>8126</v>
      </c>
      <c r="E6248" t="s">
        <v>75</v>
      </c>
    </row>
    <row r="6249" spans="1:5" x14ac:dyDescent="0.3">
      <c r="A6249" t="s">
        <v>7804</v>
      </c>
      <c r="B6249" t="s">
        <v>12682</v>
      </c>
      <c r="C6249" t="s">
        <v>12681</v>
      </c>
      <c r="D6249" t="s">
        <v>4238</v>
      </c>
      <c r="E6249" t="s">
        <v>75</v>
      </c>
    </row>
    <row r="6250" spans="1:5" x14ac:dyDescent="0.3">
      <c r="A6250" t="s">
        <v>857</v>
      </c>
      <c r="B6250" t="s">
        <v>1420</v>
      </c>
      <c r="C6250" t="s">
        <v>12683</v>
      </c>
      <c r="D6250" t="s">
        <v>751</v>
      </c>
      <c r="E6250" t="s">
        <v>1</v>
      </c>
    </row>
    <row r="6251" spans="1:5" x14ac:dyDescent="0.3">
      <c r="A6251" t="s">
        <v>68</v>
      </c>
      <c r="B6251" t="s">
        <v>1441</v>
      </c>
      <c r="C6251" t="s">
        <v>460</v>
      </c>
      <c r="D6251" t="s">
        <v>12684</v>
      </c>
      <c r="E6251" t="s">
        <v>75</v>
      </c>
    </row>
    <row r="6252" spans="1:5" x14ac:dyDescent="0.3">
      <c r="A6252" t="s">
        <v>219</v>
      </c>
      <c r="B6252" t="s">
        <v>292</v>
      </c>
      <c r="C6252" t="s">
        <v>293</v>
      </c>
      <c r="D6252" t="s">
        <v>751</v>
      </c>
      <c r="E6252" t="s">
        <v>1</v>
      </c>
    </row>
    <row r="6253" spans="1:5" x14ac:dyDescent="0.3">
      <c r="A6253" t="s">
        <v>12685</v>
      </c>
      <c r="B6253" t="s">
        <v>12686</v>
      </c>
      <c r="C6253" t="s">
        <v>467</v>
      </c>
      <c r="D6253" t="s">
        <v>6999</v>
      </c>
      <c r="E6253" t="s">
        <v>75</v>
      </c>
    </row>
    <row r="6254" spans="1:5" x14ac:dyDescent="0.3">
      <c r="A6254" t="s">
        <v>100</v>
      </c>
      <c r="B6254" t="s">
        <v>12687</v>
      </c>
      <c r="C6254" t="s">
        <v>862</v>
      </c>
      <c r="D6254" t="s">
        <v>751</v>
      </c>
      <c r="E6254" t="s">
        <v>1</v>
      </c>
    </row>
    <row r="6255" spans="1:5" x14ac:dyDescent="0.3">
      <c r="A6255" t="s">
        <v>12688</v>
      </c>
      <c r="B6255" t="s">
        <v>11980</v>
      </c>
      <c r="C6255" t="s">
        <v>12689</v>
      </c>
      <c r="D6255" t="s">
        <v>751</v>
      </c>
      <c r="E6255" t="s">
        <v>1</v>
      </c>
    </row>
    <row r="6256" spans="1:5" x14ac:dyDescent="0.3">
      <c r="A6256" t="s">
        <v>92</v>
      </c>
      <c r="B6256" t="s">
        <v>3038</v>
      </c>
      <c r="C6256" t="s">
        <v>12690</v>
      </c>
      <c r="D6256" t="s">
        <v>769</v>
      </c>
      <c r="E6256" t="s">
        <v>1</v>
      </c>
    </row>
    <row r="6257" spans="1:5" x14ac:dyDescent="0.3">
      <c r="A6257" t="s">
        <v>1243</v>
      </c>
      <c r="B6257" t="s">
        <v>12693</v>
      </c>
      <c r="C6257" t="s">
        <v>12692</v>
      </c>
    </row>
    <row r="6258" spans="1:5" x14ac:dyDescent="0.3">
      <c r="A6258" t="s">
        <v>411</v>
      </c>
      <c r="B6258" t="s">
        <v>7469</v>
      </c>
      <c r="C6258" t="s">
        <v>862</v>
      </c>
      <c r="D6258" t="s">
        <v>975</v>
      </c>
      <c r="E6258" t="s">
        <v>741</v>
      </c>
    </row>
    <row r="6259" spans="1:5" x14ac:dyDescent="0.3">
      <c r="A6259" t="s">
        <v>1620</v>
      </c>
      <c r="B6259" t="s">
        <v>10417</v>
      </c>
      <c r="C6259" t="s">
        <v>12695</v>
      </c>
      <c r="D6259" t="s">
        <v>12694</v>
      </c>
      <c r="E6259" t="s">
        <v>75</v>
      </c>
    </row>
    <row r="6260" spans="1:5" x14ac:dyDescent="0.3">
      <c r="A6260" t="s">
        <v>190</v>
      </c>
      <c r="B6260" t="s">
        <v>4676</v>
      </c>
      <c r="C6260" t="s">
        <v>460</v>
      </c>
      <c r="D6260" t="s">
        <v>10729</v>
      </c>
      <c r="E6260" t="s">
        <v>75</v>
      </c>
    </row>
    <row r="6261" spans="1:5" x14ac:dyDescent="0.3">
      <c r="A6261" t="s">
        <v>166</v>
      </c>
      <c r="B6261" t="s">
        <v>12696</v>
      </c>
      <c r="C6261" t="s">
        <v>459</v>
      </c>
      <c r="D6261" t="s">
        <v>11291</v>
      </c>
      <c r="E6261" t="s">
        <v>75</v>
      </c>
    </row>
    <row r="6262" spans="1:5" x14ac:dyDescent="0.3">
      <c r="A6262" t="s">
        <v>44</v>
      </c>
      <c r="B6262" t="s">
        <v>5079</v>
      </c>
      <c r="C6262" t="s">
        <v>461</v>
      </c>
      <c r="D6262" t="s">
        <v>1033</v>
      </c>
      <c r="E6262" t="s">
        <v>774</v>
      </c>
    </row>
    <row r="6263" spans="1:5" x14ac:dyDescent="0.3">
      <c r="A6263" t="s">
        <v>220</v>
      </c>
      <c r="B6263" t="s">
        <v>12698</v>
      </c>
      <c r="C6263" t="s">
        <v>12697</v>
      </c>
      <c r="D6263" t="s">
        <v>902</v>
      </c>
      <c r="E6263" t="s">
        <v>1</v>
      </c>
    </row>
    <row r="6264" spans="1:5" x14ac:dyDescent="0.3">
      <c r="A6264" t="s">
        <v>12699</v>
      </c>
      <c r="B6264" t="s">
        <v>1419</v>
      </c>
      <c r="C6264" t="s">
        <v>12700</v>
      </c>
      <c r="D6264" t="s">
        <v>6292</v>
      </c>
      <c r="E6264" t="s">
        <v>75</v>
      </c>
    </row>
    <row r="6265" spans="1:5" x14ac:dyDescent="0.3">
      <c r="A6265" t="s">
        <v>3981</v>
      </c>
      <c r="B6265" t="s">
        <v>1199</v>
      </c>
      <c r="C6265" t="s">
        <v>12701</v>
      </c>
      <c r="D6265" t="s">
        <v>768</v>
      </c>
      <c r="E6265" t="s">
        <v>1</v>
      </c>
    </row>
    <row r="6266" spans="1:5" x14ac:dyDescent="0.3">
      <c r="A6266" t="s">
        <v>4143</v>
      </c>
      <c r="B6266" t="s">
        <v>1298</v>
      </c>
      <c r="C6266" t="s">
        <v>11825</v>
      </c>
      <c r="D6266" t="s">
        <v>12702</v>
      </c>
      <c r="E6266" t="s">
        <v>774</v>
      </c>
    </row>
    <row r="6267" spans="1:5" x14ac:dyDescent="0.3">
      <c r="A6267" t="s">
        <v>179</v>
      </c>
      <c r="B6267" t="s">
        <v>5031</v>
      </c>
      <c r="C6267" t="s">
        <v>12703</v>
      </c>
      <c r="D6267" t="s">
        <v>2812</v>
      </c>
      <c r="E6267" t="s">
        <v>761</v>
      </c>
    </row>
    <row r="6268" spans="1:5" x14ac:dyDescent="0.3">
      <c r="A6268" t="s">
        <v>11369</v>
      </c>
      <c r="B6268" t="s">
        <v>12705</v>
      </c>
      <c r="C6268" t="s">
        <v>467</v>
      </c>
      <c r="D6268" t="s">
        <v>7021</v>
      </c>
      <c r="E6268" t="s">
        <v>75</v>
      </c>
    </row>
    <row r="6269" spans="1:5" x14ac:dyDescent="0.3">
      <c r="A6269" t="s">
        <v>2201</v>
      </c>
      <c r="B6269" t="s">
        <v>12706</v>
      </c>
      <c r="C6269" t="s">
        <v>460</v>
      </c>
      <c r="D6269" t="s">
        <v>7021</v>
      </c>
      <c r="E6269" t="s">
        <v>75</v>
      </c>
    </row>
    <row r="6270" spans="1:5" x14ac:dyDescent="0.3">
      <c r="A6270" t="s">
        <v>112</v>
      </c>
      <c r="B6270" t="s">
        <v>4815</v>
      </c>
      <c r="C6270" t="s">
        <v>461</v>
      </c>
      <c r="D6270" t="s">
        <v>5188</v>
      </c>
      <c r="E6270" t="s">
        <v>743</v>
      </c>
    </row>
    <row r="6271" spans="1:5" x14ac:dyDescent="0.3">
      <c r="A6271" t="s">
        <v>12707</v>
      </c>
      <c r="B6271" t="s">
        <v>5743</v>
      </c>
      <c r="C6271" t="s">
        <v>454</v>
      </c>
      <c r="D6271" t="s">
        <v>2046</v>
      </c>
      <c r="E6271" t="s">
        <v>761</v>
      </c>
    </row>
    <row r="6272" spans="1:5" x14ac:dyDescent="0.3">
      <c r="A6272" t="s">
        <v>262</v>
      </c>
      <c r="B6272" t="s">
        <v>10351</v>
      </c>
      <c r="C6272" t="s">
        <v>461</v>
      </c>
      <c r="D6272" t="s">
        <v>12708</v>
      </c>
      <c r="E6272" t="s">
        <v>75</v>
      </c>
    </row>
    <row r="6273" spans="1:5" x14ac:dyDescent="0.3">
      <c r="A6273" t="s">
        <v>279</v>
      </c>
      <c r="B6273" t="s">
        <v>12710</v>
      </c>
      <c r="C6273" t="s">
        <v>460</v>
      </c>
      <c r="D6273" t="s">
        <v>12709</v>
      </c>
      <c r="E6273" t="s">
        <v>75</v>
      </c>
    </row>
    <row r="6274" spans="1:5" x14ac:dyDescent="0.3">
      <c r="A6274" t="s">
        <v>1182</v>
      </c>
      <c r="B6274" t="s">
        <v>12712</v>
      </c>
      <c r="C6274" t="s">
        <v>12711</v>
      </c>
      <c r="D6274" t="s">
        <v>11268</v>
      </c>
      <c r="E6274" t="s">
        <v>75</v>
      </c>
    </row>
    <row r="6275" spans="1:5" x14ac:dyDescent="0.3">
      <c r="A6275" t="s">
        <v>12714</v>
      </c>
      <c r="B6275" t="s">
        <v>139</v>
      </c>
      <c r="C6275" t="s">
        <v>12715</v>
      </c>
      <c r="D6275" t="s">
        <v>12713</v>
      </c>
      <c r="E6275" t="s">
        <v>75</v>
      </c>
    </row>
    <row r="6276" spans="1:5" x14ac:dyDescent="0.3">
      <c r="A6276" t="s">
        <v>1515</v>
      </c>
      <c r="B6276" t="s">
        <v>2614</v>
      </c>
      <c r="C6276" t="s">
        <v>5291</v>
      </c>
      <c r="D6276" t="s">
        <v>6436</v>
      </c>
      <c r="E6276" t="s">
        <v>774</v>
      </c>
    </row>
    <row r="6277" spans="1:5" x14ac:dyDescent="0.3">
      <c r="A6277" t="s">
        <v>157</v>
      </c>
      <c r="B6277" t="s">
        <v>12716</v>
      </c>
      <c r="C6277" t="s">
        <v>467</v>
      </c>
      <c r="D6277" t="s">
        <v>7025</v>
      </c>
      <c r="E6277" t="s">
        <v>75</v>
      </c>
    </row>
    <row r="6278" spans="1:5" x14ac:dyDescent="0.3">
      <c r="A6278" t="s">
        <v>66</v>
      </c>
      <c r="B6278" t="s">
        <v>317</v>
      </c>
      <c r="C6278" t="s">
        <v>318</v>
      </c>
      <c r="D6278" t="s">
        <v>12717</v>
      </c>
      <c r="E6278" t="s">
        <v>774</v>
      </c>
    </row>
    <row r="6279" spans="1:5" x14ac:dyDescent="0.3">
      <c r="A6279" t="s">
        <v>44</v>
      </c>
      <c r="B6279" t="s">
        <v>5900</v>
      </c>
      <c r="C6279" t="s">
        <v>862</v>
      </c>
      <c r="D6279" t="s">
        <v>1246</v>
      </c>
      <c r="E6279" t="s">
        <v>1</v>
      </c>
    </row>
    <row r="6280" spans="1:5" x14ac:dyDescent="0.3">
      <c r="A6280" t="s">
        <v>3438</v>
      </c>
      <c r="B6280" t="s">
        <v>12718</v>
      </c>
      <c r="C6280" t="s">
        <v>698</v>
      </c>
      <c r="D6280" t="s">
        <v>2640</v>
      </c>
      <c r="E6280" t="s">
        <v>758</v>
      </c>
    </row>
    <row r="6281" spans="1:5" x14ac:dyDescent="0.3">
      <c r="A6281" t="s">
        <v>50</v>
      </c>
      <c r="B6281" t="s">
        <v>4137</v>
      </c>
      <c r="C6281" t="s">
        <v>457</v>
      </c>
      <c r="D6281" t="s">
        <v>7026</v>
      </c>
      <c r="E6281" t="s">
        <v>75</v>
      </c>
    </row>
    <row r="6282" spans="1:5" x14ac:dyDescent="0.3">
      <c r="A6282" t="s">
        <v>5041</v>
      </c>
      <c r="B6282" t="s">
        <v>12720</v>
      </c>
      <c r="C6282" t="s">
        <v>12719</v>
      </c>
    </row>
    <row r="6283" spans="1:5" x14ac:dyDescent="0.3">
      <c r="A6283" t="s">
        <v>3687</v>
      </c>
      <c r="B6283" t="s">
        <v>28</v>
      </c>
      <c r="C6283" t="s">
        <v>467</v>
      </c>
      <c r="D6283" t="s">
        <v>12721</v>
      </c>
      <c r="E6283" t="s">
        <v>75</v>
      </c>
    </row>
    <row r="6284" spans="1:5" x14ac:dyDescent="0.3">
      <c r="A6284" t="s">
        <v>2008</v>
      </c>
      <c r="B6284" t="s">
        <v>4201</v>
      </c>
      <c r="C6284" t="s">
        <v>459</v>
      </c>
      <c r="D6284" t="s">
        <v>12721</v>
      </c>
      <c r="E6284" t="s">
        <v>75</v>
      </c>
    </row>
    <row r="6285" spans="1:5" x14ac:dyDescent="0.3">
      <c r="A6285" t="s">
        <v>2511</v>
      </c>
      <c r="B6285" t="s">
        <v>12723</v>
      </c>
      <c r="C6285" t="s">
        <v>12722</v>
      </c>
      <c r="D6285" t="s">
        <v>883</v>
      </c>
      <c r="E6285" t="s">
        <v>1</v>
      </c>
    </row>
    <row r="6286" spans="1:5" x14ac:dyDescent="0.3">
      <c r="A6286" t="s">
        <v>399</v>
      </c>
      <c r="B6286" t="s">
        <v>1146</v>
      </c>
      <c r="C6286" t="s">
        <v>457</v>
      </c>
      <c r="D6286" t="s">
        <v>7854</v>
      </c>
      <c r="E6286" t="s">
        <v>75</v>
      </c>
    </row>
    <row r="6287" spans="1:5" x14ac:dyDescent="0.3">
      <c r="A6287" t="s">
        <v>182</v>
      </c>
      <c r="B6287" t="s">
        <v>2582</v>
      </c>
      <c r="C6287" t="s">
        <v>12724</v>
      </c>
      <c r="D6287" t="s">
        <v>5462</v>
      </c>
      <c r="E6287" t="s">
        <v>741</v>
      </c>
    </row>
    <row r="6288" spans="1:5" x14ac:dyDescent="0.3">
      <c r="A6288" t="s">
        <v>184</v>
      </c>
      <c r="B6288" t="s">
        <v>12725</v>
      </c>
      <c r="C6288" t="s">
        <v>460</v>
      </c>
      <c r="D6288" t="s">
        <v>10867</v>
      </c>
      <c r="E6288" t="s">
        <v>75</v>
      </c>
    </row>
    <row r="6289" spans="1:5" x14ac:dyDescent="0.3">
      <c r="A6289" t="s">
        <v>752</v>
      </c>
      <c r="B6289" t="s">
        <v>12727</v>
      </c>
      <c r="C6289" t="s">
        <v>12726</v>
      </c>
      <c r="D6289" t="s">
        <v>919</v>
      </c>
      <c r="E6289" t="s">
        <v>1</v>
      </c>
    </row>
    <row r="6290" spans="1:5" x14ac:dyDescent="0.3">
      <c r="A6290" t="s">
        <v>3404</v>
      </c>
      <c r="B6290" t="s">
        <v>11309</v>
      </c>
      <c r="C6290" t="s">
        <v>720</v>
      </c>
      <c r="D6290" t="s">
        <v>12728</v>
      </c>
      <c r="E6290" t="s">
        <v>75</v>
      </c>
    </row>
    <row r="6291" spans="1:5" x14ac:dyDescent="0.3">
      <c r="A6291" t="s">
        <v>195</v>
      </c>
      <c r="B6291" t="s">
        <v>12730</v>
      </c>
      <c r="C6291" t="s">
        <v>12729</v>
      </c>
      <c r="D6291" t="s">
        <v>4483</v>
      </c>
      <c r="E6291" t="s">
        <v>75</v>
      </c>
    </row>
    <row r="6292" spans="1:5" x14ac:dyDescent="0.3">
      <c r="A6292" t="s">
        <v>1133</v>
      </c>
      <c r="B6292" t="s">
        <v>12731</v>
      </c>
      <c r="C6292" t="s">
        <v>467</v>
      </c>
      <c r="D6292" t="s">
        <v>3016</v>
      </c>
      <c r="E6292" t="s">
        <v>897</v>
      </c>
    </row>
    <row r="6293" spans="1:5" x14ac:dyDescent="0.3">
      <c r="A6293" t="s">
        <v>1352</v>
      </c>
      <c r="B6293" t="s">
        <v>171</v>
      </c>
      <c r="C6293" t="s">
        <v>862</v>
      </c>
      <c r="D6293" t="s">
        <v>869</v>
      </c>
      <c r="E6293" t="s">
        <v>781</v>
      </c>
    </row>
    <row r="6294" spans="1:5" x14ac:dyDescent="0.3">
      <c r="A6294" t="s">
        <v>2773</v>
      </c>
      <c r="B6294" t="s">
        <v>1460</v>
      </c>
      <c r="C6294" t="s">
        <v>12732</v>
      </c>
      <c r="D6294" t="s">
        <v>7048</v>
      </c>
      <c r="E6294" t="s">
        <v>75</v>
      </c>
    </row>
    <row r="6295" spans="1:5" x14ac:dyDescent="0.3">
      <c r="A6295" t="s">
        <v>3827</v>
      </c>
      <c r="B6295" t="s">
        <v>3671</v>
      </c>
      <c r="C6295" t="s">
        <v>862</v>
      </c>
      <c r="D6295" t="s">
        <v>2668</v>
      </c>
      <c r="E6295" t="s">
        <v>75</v>
      </c>
    </row>
    <row r="6296" spans="1:5" x14ac:dyDescent="0.3">
      <c r="A6296" t="s">
        <v>87</v>
      </c>
      <c r="B6296" t="s">
        <v>12734</v>
      </c>
      <c r="C6296" t="s">
        <v>12733</v>
      </c>
      <c r="D6296" t="s">
        <v>5435</v>
      </c>
      <c r="E6296" t="s">
        <v>75</v>
      </c>
    </row>
    <row r="6297" spans="1:5" x14ac:dyDescent="0.3">
      <c r="A6297" t="s">
        <v>4577</v>
      </c>
      <c r="B6297" t="s">
        <v>4578</v>
      </c>
      <c r="C6297" t="s">
        <v>518</v>
      </c>
      <c r="D6297" t="s">
        <v>7052</v>
      </c>
      <c r="E6297" t="s">
        <v>758</v>
      </c>
    </row>
    <row r="6298" spans="1:5" x14ac:dyDescent="0.3">
      <c r="A6298" t="s">
        <v>153</v>
      </c>
      <c r="B6298" t="s">
        <v>9073</v>
      </c>
      <c r="C6298" t="s">
        <v>455</v>
      </c>
      <c r="D6298" t="s">
        <v>12735</v>
      </c>
      <c r="E6298" t="s">
        <v>774</v>
      </c>
    </row>
    <row r="6299" spans="1:5" x14ac:dyDescent="0.3">
      <c r="A6299" t="s">
        <v>2487</v>
      </c>
      <c r="B6299" t="s">
        <v>7196</v>
      </c>
      <c r="C6299" t="s">
        <v>461</v>
      </c>
      <c r="D6299" t="s">
        <v>12736</v>
      </c>
      <c r="E6299" t="s">
        <v>75</v>
      </c>
    </row>
    <row r="6300" spans="1:5" x14ac:dyDescent="0.3">
      <c r="A6300" t="s">
        <v>3554</v>
      </c>
      <c r="B6300" t="s">
        <v>4707</v>
      </c>
      <c r="C6300" t="s">
        <v>461</v>
      </c>
      <c r="D6300" t="s">
        <v>7056</v>
      </c>
      <c r="E6300" t="s">
        <v>75</v>
      </c>
    </row>
    <row r="6301" spans="1:5" x14ac:dyDescent="0.3">
      <c r="A6301" t="s">
        <v>153</v>
      </c>
      <c r="B6301" t="s">
        <v>12738</v>
      </c>
      <c r="C6301" t="s">
        <v>458</v>
      </c>
      <c r="D6301" t="s">
        <v>12737</v>
      </c>
      <c r="E6301" t="s">
        <v>75</v>
      </c>
    </row>
    <row r="6302" spans="1:5" x14ac:dyDescent="0.3">
      <c r="A6302" t="s">
        <v>195</v>
      </c>
      <c r="B6302" t="s">
        <v>3173</v>
      </c>
      <c r="C6302" t="s">
        <v>461</v>
      </c>
      <c r="D6302" t="s">
        <v>12739</v>
      </c>
      <c r="E6302" t="s">
        <v>75</v>
      </c>
    </row>
    <row r="6303" spans="1:5" x14ac:dyDescent="0.3">
      <c r="A6303" t="s">
        <v>11695</v>
      </c>
      <c r="B6303" t="s">
        <v>2319</v>
      </c>
      <c r="C6303" t="s">
        <v>862</v>
      </c>
    </row>
    <row r="6304" spans="1:5" x14ac:dyDescent="0.3">
      <c r="A6304" t="s">
        <v>1433</v>
      </c>
      <c r="B6304" t="s">
        <v>9221</v>
      </c>
      <c r="C6304" t="s">
        <v>461</v>
      </c>
    </row>
    <row r="6305" spans="1:5" x14ac:dyDescent="0.3">
      <c r="A6305" t="s">
        <v>29</v>
      </c>
      <c r="B6305" t="s">
        <v>12740</v>
      </c>
      <c r="C6305" t="s">
        <v>467</v>
      </c>
      <c r="D6305" t="s">
        <v>1773</v>
      </c>
      <c r="E6305" t="s">
        <v>75</v>
      </c>
    </row>
    <row r="6306" spans="1:5" x14ac:dyDescent="0.3">
      <c r="A6306" t="s">
        <v>3115</v>
      </c>
      <c r="B6306" t="s">
        <v>12741</v>
      </c>
      <c r="C6306" t="s">
        <v>460</v>
      </c>
      <c r="D6306" t="s">
        <v>3025</v>
      </c>
      <c r="E6306" t="s">
        <v>75</v>
      </c>
    </row>
    <row r="6307" spans="1:5" x14ac:dyDescent="0.3">
      <c r="A6307" t="s">
        <v>1920</v>
      </c>
      <c r="B6307" t="s">
        <v>8719</v>
      </c>
      <c r="C6307" t="s">
        <v>5328</v>
      </c>
      <c r="D6307" t="s">
        <v>5179</v>
      </c>
      <c r="E6307" t="s">
        <v>75</v>
      </c>
    </row>
    <row r="6308" spans="1:5" x14ac:dyDescent="0.3">
      <c r="A6308" t="s">
        <v>5155</v>
      </c>
      <c r="B6308" t="s">
        <v>12742</v>
      </c>
      <c r="C6308" t="s">
        <v>460</v>
      </c>
      <c r="D6308" t="s">
        <v>3025</v>
      </c>
      <c r="E6308" t="s">
        <v>75</v>
      </c>
    </row>
    <row r="6309" spans="1:5" x14ac:dyDescent="0.3">
      <c r="A6309" t="s">
        <v>60</v>
      </c>
      <c r="B6309" t="s">
        <v>9471</v>
      </c>
      <c r="C6309" t="s">
        <v>12743</v>
      </c>
      <c r="D6309" t="s">
        <v>9958</v>
      </c>
      <c r="E6309" t="s">
        <v>75</v>
      </c>
    </row>
    <row r="6310" spans="1:5" x14ac:dyDescent="0.3">
      <c r="A6310" t="s">
        <v>29</v>
      </c>
      <c r="B6310" t="s">
        <v>1105</v>
      </c>
      <c r="C6310" t="s">
        <v>467</v>
      </c>
      <c r="D6310" t="s">
        <v>9959</v>
      </c>
      <c r="E6310" t="s">
        <v>75</v>
      </c>
    </row>
    <row r="6311" spans="1:5" x14ac:dyDescent="0.3">
      <c r="A6311" t="s">
        <v>4192</v>
      </c>
      <c r="B6311" t="s">
        <v>164</v>
      </c>
      <c r="C6311" t="s">
        <v>12744</v>
      </c>
      <c r="D6311" t="s">
        <v>12472</v>
      </c>
      <c r="E6311" t="s">
        <v>781</v>
      </c>
    </row>
    <row r="6312" spans="1:5" x14ac:dyDescent="0.3">
      <c r="A6312" t="s">
        <v>1184</v>
      </c>
      <c r="B6312" t="s">
        <v>3507</v>
      </c>
      <c r="C6312" t="s">
        <v>467</v>
      </c>
      <c r="D6312" t="s">
        <v>9101</v>
      </c>
      <c r="E6312" t="s">
        <v>75</v>
      </c>
    </row>
    <row r="6313" spans="1:5" x14ac:dyDescent="0.3">
      <c r="A6313" t="s">
        <v>1436</v>
      </c>
      <c r="B6313" t="s">
        <v>127</v>
      </c>
      <c r="C6313" t="s">
        <v>12745</v>
      </c>
      <c r="D6313" t="s">
        <v>2001</v>
      </c>
      <c r="E6313" t="s">
        <v>761</v>
      </c>
    </row>
    <row r="6314" spans="1:5" x14ac:dyDescent="0.3">
      <c r="A6314" t="s">
        <v>47</v>
      </c>
      <c r="B6314" t="s">
        <v>2459</v>
      </c>
      <c r="C6314" t="s">
        <v>862</v>
      </c>
      <c r="D6314" t="s">
        <v>6065</v>
      </c>
      <c r="E6314" t="s">
        <v>741</v>
      </c>
    </row>
    <row r="6315" spans="1:5" x14ac:dyDescent="0.3">
      <c r="A6315" t="s">
        <v>4135</v>
      </c>
      <c r="B6315" t="s">
        <v>12746</v>
      </c>
      <c r="C6315" t="s">
        <v>461</v>
      </c>
      <c r="D6315" t="s">
        <v>7086</v>
      </c>
      <c r="E6315" t="s">
        <v>75</v>
      </c>
    </row>
    <row r="6316" spans="1:5" x14ac:dyDescent="0.3">
      <c r="A6316" t="s">
        <v>1068</v>
      </c>
      <c r="B6316" t="s">
        <v>5002</v>
      </c>
      <c r="C6316" t="s">
        <v>12747</v>
      </c>
      <c r="D6316" t="s">
        <v>1205</v>
      </c>
      <c r="E6316" t="s">
        <v>774</v>
      </c>
    </row>
    <row r="6317" spans="1:5" x14ac:dyDescent="0.3">
      <c r="A6317" t="s">
        <v>298</v>
      </c>
      <c r="B6317" t="s">
        <v>9205</v>
      </c>
      <c r="C6317" t="s">
        <v>3109</v>
      </c>
      <c r="D6317" t="s">
        <v>4313</v>
      </c>
      <c r="E6317" t="s">
        <v>774</v>
      </c>
    </row>
    <row r="6318" spans="1:5" x14ac:dyDescent="0.3">
      <c r="A6318" t="s">
        <v>7591</v>
      </c>
      <c r="B6318" t="s">
        <v>12749</v>
      </c>
      <c r="C6318" t="s">
        <v>467</v>
      </c>
      <c r="D6318" t="s">
        <v>12748</v>
      </c>
      <c r="E6318" t="s">
        <v>75</v>
      </c>
    </row>
    <row r="6319" spans="1:5" x14ac:dyDescent="0.3">
      <c r="A6319" t="s">
        <v>3362</v>
      </c>
      <c r="B6319" t="s">
        <v>12750</v>
      </c>
      <c r="C6319" t="s">
        <v>3109</v>
      </c>
      <c r="D6319" t="s">
        <v>4520</v>
      </c>
      <c r="E6319" t="s">
        <v>781</v>
      </c>
    </row>
    <row r="6320" spans="1:5" x14ac:dyDescent="0.3">
      <c r="A6320" t="s">
        <v>12751</v>
      </c>
      <c r="B6320" t="s">
        <v>12752</v>
      </c>
      <c r="C6320" t="s">
        <v>862</v>
      </c>
      <c r="D6320" t="s">
        <v>1408</v>
      </c>
      <c r="E6320" t="s">
        <v>1</v>
      </c>
    </row>
    <row r="6321" spans="1:5" x14ac:dyDescent="0.3">
      <c r="A6321" t="s">
        <v>2881</v>
      </c>
      <c r="B6321" t="s">
        <v>12753</v>
      </c>
      <c r="C6321" t="s">
        <v>461</v>
      </c>
      <c r="D6321" t="s">
        <v>4522</v>
      </c>
      <c r="E6321" t="s">
        <v>743</v>
      </c>
    </row>
    <row r="6322" spans="1:5" x14ac:dyDescent="0.3">
      <c r="A6322" t="s">
        <v>50</v>
      </c>
      <c r="B6322" t="s">
        <v>2409</v>
      </c>
      <c r="C6322" t="s">
        <v>862</v>
      </c>
    </row>
    <row r="6323" spans="1:5" x14ac:dyDescent="0.3">
      <c r="A6323" t="s">
        <v>12754</v>
      </c>
      <c r="B6323" t="s">
        <v>12756</v>
      </c>
      <c r="C6323" t="s">
        <v>12755</v>
      </c>
      <c r="D6323" t="s">
        <v>883</v>
      </c>
      <c r="E6323" t="s">
        <v>1</v>
      </c>
    </row>
    <row r="6324" spans="1:5" x14ac:dyDescent="0.3">
      <c r="A6324" t="s">
        <v>10781</v>
      </c>
      <c r="B6324" t="s">
        <v>8319</v>
      </c>
      <c r="C6324" t="s">
        <v>7871</v>
      </c>
      <c r="D6324" t="s">
        <v>6004</v>
      </c>
      <c r="E6324" t="s">
        <v>75</v>
      </c>
    </row>
    <row r="6325" spans="1:5" x14ac:dyDescent="0.3">
      <c r="A6325" t="s">
        <v>1233</v>
      </c>
      <c r="B6325" t="s">
        <v>12758</v>
      </c>
      <c r="C6325" t="s">
        <v>12757</v>
      </c>
      <c r="D6325" t="s">
        <v>5511</v>
      </c>
      <c r="E6325" t="s">
        <v>75</v>
      </c>
    </row>
    <row r="6326" spans="1:5" x14ac:dyDescent="0.3">
      <c r="A6326" t="s">
        <v>314</v>
      </c>
      <c r="B6326" t="s">
        <v>12759</v>
      </c>
      <c r="C6326" t="s">
        <v>457</v>
      </c>
      <c r="D6326" t="s">
        <v>4527</v>
      </c>
      <c r="E6326" t="s">
        <v>75</v>
      </c>
    </row>
    <row r="6327" spans="1:5" x14ac:dyDescent="0.3">
      <c r="A6327" t="s">
        <v>51</v>
      </c>
      <c r="B6327" t="s">
        <v>7122</v>
      </c>
      <c r="C6327" t="s">
        <v>518</v>
      </c>
      <c r="D6327" t="s">
        <v>12760</v>
      </c>
      <c r="E6327" t="s">
        <v>774</v>
      </c>
    </row>
    <row r="6328" spans="1:5" x14ac:dyDescent="0.3">
      <c r="A6328" t="s">
        <v>112</v>
      </c>
      <c r="B6328" t="s">
        <v>5824</v>
      </c>
      <c r="C6328" t="s">
        <v>12761</v>
      </c>
      <c r="D6328" t="s">
        <v>754</v>
      </c>
      <c r="E6328" t="s">
        <v>741</v>
      </c>
    </row>
    <row r="6329" spans="1:5" x14ac:dyDescent="0.3">
      <c r="A6329" t="s">
        <v>894</v>
      </c>
      <c r="B6329" t="s">
        <v>1305</v>
      </c>
      <c r="C6329" t="s">
        <v>467</v>
      </c>
      <c r="D6329" t="s">
        <v>12762</v>
      </c>
      <c r="E6329" t="s">
        <v>75</v>
      </c>
    </row>
    <row r="6330" spans="1:5" x14ac:dyDescent="0.3">
      <c r="A6330" t="s">
        <v>35</v>
      </c>
      <c r="B6330" t="s">
        <v>12765</v>
      </c>
      <c r="C6330" t="s">
        <v>12764</v>
      </c>
      <c r="D6330" t="s">
        <v>12763</v>
      </c>
      <c r="E6330" t="s">
        <v>774</v>
      </c>
    </row>
    <row r="6331" spans="1:5" x14ac:dyDescent="0.3">
      <c r="A6331" t="s">
        <v>298</v>
      </c>
      <c r="B6331" t="s">
        <v>287</v>
      </c>
      <c r="C6331" t="s">
        <v>698</v>
      </c>
      <c r="D6331" t="s">
        <v>10609</v>
      </c>
      <c r="E6331" t="s">
        <v>758</v>
      </c>
    </row>
    <row r="6332" spans="1:5" x14ac:dyDescent="0.3">
      <c r="A6332" t="s">
        <v>2373</v>
      </c>
      <c r="B6332" t="s">
        <v>12766</v>
      </c>
      <c r="C6332" t="s">
        <v>862</v>
      </c>
      <c r="D6332" t="s">
        <v>751</v>
      </c>
      <c r="E6332" t="s">
        <v>1</v>
      </c>
    </row>
    <row r="6333" spans="1:5" x14ac:dyDescent="0.3">
      <c r="A6333" t="s">
        <v>12767</v>
      </c>
      <c r="B6333" t="s">
        <v>4959</v>
      </c>
      <c r="C6333" t="s">
        <v>7519</v>
      </c>
      <c r="D6333" t="s">
        <v>7103</v>
      </c>
      <c r="E6333" t="s">
        <v>75</v>
      </c>
    </row>
    <row r="6334" spans="1:5" x14ac:dyDescent="0.3">
      <c r="A6334" t="s">
        <v>132</v>
      </c>
      <c r="B6334" t="s">
        <v>1256</v>
      </c>
      <c r="C6334" t="s">
        <v>12769</v>
      </c>
      <c r="D6334" t="s">
        <v>12768</v>
      </c>
      <c r="E6334" t="s">
        <v>75</v>
      </c>
    </row>
    <row r="6335" spans="1:5" x14ac:dyDescent="0.3">
      <c r="A6335" t="s">
        <v>66</v>
      </c>
      <c r="B6335" t="s">
        <v>6135</v>
      </c>
      <c r="C6335" t="s">
        <v>12770</v>
      </c>
      <c r="D6335" t="s">
        <v>975</v>
      </c>
      <c r="E6335" t="s">
        <v>741</v>
      </c>
    </row>
    <row r="6336" spans="1:5" x14ac:dyDescent="0.3">
      <c r="A6336" t="s">
        <v>44</v>
      </c>
      <c r="B6336" t="s">
        <v>7882</v>
      </c>
      <c r="C6336" t="s">
        <v>518</v>
      </c>
      <c r="D6336" t="s">
        <v>9972</v>
      </c>
      <c r="E6336" t="s">
        <v>75</v>
      </c>
    </row>
    <row r="6337" spans="1:5" x14ac:dyDescent="0.3">
      <c r="A6337" t="s">
        <v>150</v>
      </c>
      <c r="B6337" t="s">
        <v>179</v>
      </c>
      <c r="C6337" t="s">
        <v>467</v>
      </c>
      <c r="D6337" t="s">
        <v>4546</v>
      </c>
      <c r="E6337" t="s">
        <v>781</v>
      </c>
    </row>
    <row r="6338" spans="1:5" x14ac:dyDescent="0.3">
      <c r="A6338" t="s">
        <v>44</v>
      </c>
      <c r="B6338" t="s">
        <v>9960</v>
      </c>
      <c r="C6338" t="s">
        <v>467</v>
      </c>
      <c r="D6338" t="s">
        <v>7113</v>
      </c>
      <c r="E6338" t="s">
        <v>75</v>
      </c>
    </row>
    <row r="6339" spans="1:5" x14ac:dyDescent="0.3">
      <c r="A6339" t="s">
        <v>68</v>
      </c>
      <c r="B6339" t="s">
        <v>12772</v>
      </c>
      <c r="C6339" t="s">
        <v>455</v>
      </c>
      <c r="D6339" t="s">
        <v>12771</v>
      </c>
      <c r="E6339" t="s">
        <v>1316</v>
      </c>
    </row>
    <row r="6340" spans="1:5" x14ac:dyDescent="0.3">
      <c r="A6340" t="s">
        <v>12704</v>
      </c>
      <c r="B6340" t="s">
        <v>12774</v>
      </c>
      <c r="C6340" t="s">
        <v>518</v>
      </c>
      <c r="D6340" t="s">
        <v>12773</v>
      </c>
      <c r="E6340" t="s">
        <v>75</v>
      </c>
    </row>
    <row r="6341" spans="1:5" x14ac:dyDescent="0.3">
      <c r="A6341" t="s">
        <v>10872</v>
      </c>
      <c r="B6341" t="s">
        <v>1448</v>
      </c>
      <c r="C6341" t="s">
        <v>459</v>
      </c>
      <c r="D6341" t="s">
        <v>4548</v>
      </c>
      <c r="E6341" t="s">
        <v>75</v>
      </c>
    </row>
    <row r="6342" spans="1:5" x14ac:dyDescent="0.3">
      <c r="A6342" t="s">
        <v>44</v>
      </c>
      <c r="B6342" t="s">
        <v>6886</v>
      </c>
      <c r="C6342" t="s">
        <v>12775</v>
      </c>
      <c r="D6342" t="s">
        <v>6436</v>
      </c>
      <c r="E6342" t="s">
        <v>774</v>
      </c>
    </row>
    <row r="6343" spans="1:5" x14ac:dyDescent="0.3">
      <c r="A6343" t="s">
        <v>342</v>
      </c>
      <c r="B6343" t="s">
        <v>832</v>
      </c>
      <c r="C6343" t="s">
        <v>456</v>
      </c>
      <c r="D6343" t="s">
        <v>2473</v>
      </c>
      <c r="E6343" t="s">
        <v>781</v>
      </c>
    </row>
    <row r="6344" spans="1:5" x14ac:dyDescent="0.3">
      <c r="A6344" t="s">
        <v>12776</v>
      </c>
      <c r="B6344" t="s">
        <v>12197</v>
      </c>
      <c r="C6344" t="s">
        <v>12777</v>
      </c>
      <c r="D6344" t="s">
        <v>2909</v>
      </c>
      <c r="E6344" t="s">
        <v>841</v>
      </c>
    </row>
    <row r="6345" spans="1:5" x14ac:dyDescent="0.3">
      <c r="A6345" t="s">
        <v>1283</v>
      </c>
      <c r="B6345" t="s">
        <v>6058</v>
      </c>
      <c r="C6345" t="s">
        <v>862</v>
      </c>
      <c r="D6345" t="s">
        <v>5192</v>
      </c>
      <c r="E6345" t="s">
        <v>741</v>
      </c>
    </row>
    <row r="6346" spans="1:5" x14ac:dyDescent="0.3">
      <c r="A6346" t="s">
        <v>313</v>
      </c>
      <c r="B6346" t="s">
        <v>12778</v>
      </c>
      <c r="C6346" t="s">
        <v>862</v>
      </c>
      <c r="D6346" t="s">
        <v>5192</v>
      </c>
      <c r="E6346" t="s">
        <v>741</v>
      </c>
    </row>
    <row r="6347" spans="1:5" x14ac:dyDescent="0.3">
      <c r="A6347" t="s">
        <v>63</v>
      </c>
      <c r="B6347" t="s">
        <v>12779</v>
      </c>
      <c r="C6347" t="s">
        <v>459</v>
      </c>
      <c r="D6347" t="s">
        <v>4557</v>
      </c>
      <c r="E6347" t="s">
        <v>75</v>
      </c>
    </row>
    <row r="6348" spans="1:5" x14ac:dyDescent="0.3">
      <c r="A6348" t="s">
        <v>12780</v>
      </c>
      <c r="B6348" t="s">
        <v>13079</v>
      </c>
      <c r="C6348" t="s">
        <v>12781</v>
      </c>
      <c r="D6348" t="s">
        <v>7118</v>
      </c>
      <c r="E6348" t="s">
        <v>75</v>
      </c>
    </row>
    <row r="6349" spans="1:5" x14ac:dyDescent="0.3">
      <c r="A6349" t="s">
        <v>226</v>
      </c>
      <c r="B6349" t="s">
        <v>12782</v>
      </c>
      <c r="C6349" t="s">
        <v>467</v>
      </c>
      <c r="D6349" t="s">
        <v>7124</v>
      </c>
      <c r="E6349" t="s">
        <v>75</v>
      </c>
    </row>
    <row r="6350" spans="1:5" x14ac:dyDescent="0.3">
      <c r="A6350" t="s">
        <v>4147</v>
      </c>
      <c r="B6350" t="s">
        <v>5540</v>
      </c>
      <c r="C6350" t="s">
        <v>12783</v>
      </c>
      <c r="D6350" t="s">
        <v>8271</v>
      </c>
      <c r="E6350" t="s">
        <v>774</v>
      </c>
    </row>
    <row r="6351" spans="1:5" x14ac:dyDescent="0.3">
      <c r="A6351" t="s">
        <v>2779</v>
      </c>
      <c r="B6351" t="s">
        <v>12785</v>
      </c>
      <c r="C6351" t="s">
        <v>461</v>
      </c>
      <c r="D6351" t="s">
        <v>12784</v>
      </c>
      <c r="E6351" t="s">
        <v>75</v>
      </c>
    </row>
    <row r="6352" spans="1:5" x14ac:dyDescent="0.3">
      <c r="A6352" t="s">
        <v>3051</v>
      </c>
      <c r="B6352" t="s">
        <v>12788</v>
      </c>
      <c r="C6352" t="s">
        <v>12787</v>
      </c>
      <c r="D6352" t="s">
        <v>12786</v>
      </c>
      <c r="E6352" t="s">
        <v>75</v>
      </c>
    </row>
    <row r="6353" spans="1:5" x14ac:dyDescent="0.3">
      <c r="A6353" t="s">
        <v>1048</v>
      </c>
      <c r="B6353" t="s">
        <v>11239</v>
      </c>
      <c r="C6353" t="s">
        <v>467</v>
      </c>
      <c r="D6353" t="s">
        <v>7125</v>
      </c>
      <c r="E6353" t="s">
        <v>75</v>
      </c>
    </row>
    <row r="6354" spans="1:5" x14ac:dyDescent="0.3">
      <c r="A6354" t="s">
        <v>1339</v>
      </c>
      <c r="B6354" t="s">
        <v>12789</v>
      </c>
      <c r="C6354" t="s">
        <v>862</v>
      </c>
      <c r="D6354" t="s">
        <v>919</v>
      </c>
      <c r="E6354" t="s">
        <v>1</v>
      </c>
    </row>
    <row r="6355" spans="1:5" x14ac:dyDescent="0.3">
      <c r="A6355" t="s">
        <v>224</v>
      </c>
      <c r="B6355" t="s">
        <v>2094</v>
      </c>
      <c r="C6355" t="s">
        <v>467</v>
      </c>
      <c r="D6355" t="s">
        <v>7126</v>
      </c>
      <c r="E6355" t="s">
        <v>75</v>
      </c>
    </row>
    <row r="6356" spans="1:5" x14ac:dyDescent="0.3">
      <c r="A6356" t="s">
        <v>182</v>
      </c>
      <c r="B6356" t="s">
        <v>2973</v>
      </c>
      <c r="C6356" t="s">
        <v>12790</v>
      </c>
      <c r="D6356" t="s">
        <v>1730</v>
      </c>
      <c r="E6356" t="s">
        <v>741</v>
      </c>
    </row>
    <row r="6357" spans="1:5" x14ac:dyDescent="0.3">
      <c r="A6357" t="s">
        <v>12792</v>
      </c>
      <c r="B6357" t="s">
        <v>12793</v>
      </c>
      <c r="C6357" t="s">
        <v>467</v>
      </c>
      <c r="D6357" t="s">
        <v>12791</v>
      </c>
      <c r="E6357" t="s">
        <v>75</v>
      </c>
    </row>
    <row r="6358" spans="1:5" x14ac:dyDescent="0.3">
      <c r="A6358" t="s">
        <v>153</v>
      </c>
      <c r="B6358" t="s">
        <v>4500</v>
      </c>
      <c r="C6358" t="s">
        <v>467</v>
      </c>
      <c r="D6358" t="s">
        <v>7134</v>
      </c>
      <c r="E6358" t="s">
        <v>75</v>
      </c>
    </row>
    <row r="6359" spans="1:5" x14ac:dyDescent="0.3">
      <c r="A6359" t="s">
        <v>150</v>
      </c>
      <c r="B6359" t="s">
        <v>12794</v>
      </c>
      <c r="C6359" t="s">
        <v>459</v>
      </c>
      <c r="D6359" t="s">
        <v>8169</v>
      </c>
      <c r="E6359" t="s">
        <v>75</v>
      </c>
    </row>
    <row r="6360" spans="1:5" x14ac:dyDescent="0.3">
      <c r="A6360" t="s">
        <v>4015</v>
      </c>
      <c r="B6360" t="s">
        <v>12795</v>
      </c>
      <c r="C6360" t="s">
        <v>455</v>
      </c>
      <c r="D6360" t="s">
        <v>1408</v>
      </c>
      <c r="E6360" t="s">
        <v>1</v>
      </c>
    </row>
    <row r="6361" spans="1:5" x14ac:dyDescent="0.3">
      <c r="A6361" t="s">
        <v>1278</v>
      </c>
      <c r="B6361" t="s">
        <v>12796</v>
      </c>
      <c r="C6361" t="s">
        <v>862</v>
      </c>
      <c r="D6361" t="s">
        <v>968</v>
      </c>
      <c r="E6361" t="s">
        <v>781</v>
      </c>
    </row>
    <row r="6362" spans="1:5" x14ac:dyDescent="0.3">
      <c r="A6362" t="s">
        <v>194</v>
      </c>
      <c r="B6362" t="s">
        <v>5729</v>
      </c>
      <c r="C6362" t="s">
        <v>12799</v>
      </c>
      <c r="D6362" t="s">
        <v>12798</v>
      </c>
      <c r="E6362" t="s">
        <v>774</v>
      </c>
    </row>
    <row r="6363" spans="1:5" x14ac:dyDescent="0.3">
      <c r="A6363" t="s">
        <v>12800</v>
      </c>
      <c r="B6363" t="s">
        <v>1198</v>
      </c>
      <c r="C6363" t="s">
        <v>7145</v>
      </c>
      <c r="D6363" t="s">
        <v>968</v>
      </c>
      <c r="E6363" t="s">
        <v>781</v>
      </c>
    </row>
    <row r="6364" spans="1:5" x14ac:dyDescent="0.3">
      <c r="A6364" t="s">
        <v>3044</v>
      </c>
      <c r="B6364" t="s">
        <v>12801</v>
      </c>
      <c r="C6364" t="s">
        <v>862</v>
      </c>
      <c r="D6364" t="s">
        <v>968</v>
      </c>
      <c r="E6364" t="s">
        <v>781</v>
      </c>
    </row>
    <row r="6365" spans="1:5" x14ac:dyDescent="0.3">
      <c r="A6365" t="s">
        <v>41</v>
      </c>
      <c r="B6365" t="s">
        <v>287</v>
      </c>
      <c r="C6365" t="s">
        <v>459</v>
      </c>
      <c r="D6365" t="s">
        <v>6341</v>
      </c>
      <c r="E6365" t="s">
        <v>897</v>
      </c>
    </row>
    <row r="6366" spans="1:5" x14ac:dyDescent="0.3">
      <c r="A6366" t="s">
        <v>45</v>
      </c>
      <c r="B6366" t="s">
        <v>1952</v>
      </c>
      <c r="C6366" t="s">
        <v>12802</v>
      </c>
      <c r="D6366" t="s">
        <v>968</v>
      </c>
      <c r="E6366" t="s">
        <v>781</v>
      </c>
    </row>
    <row r="6367" spans="1:5" x14ac:dyDescent="0.3">
      <c r="A6367" t="s">
        <v>1302</v>
      </c>
      <c r="B6367" t="s">
        <v>12803</v>
      </c>
      <c r="C6367" t="s">
        <v>518</v>
      </c>
      <c r="D6367" t="s">
        <v>968</v>
      </c>
      <c r="E6367" t="s">
        <v>781</v>
      </c>
    </row>
    <row r="6368" spans="1:5" x14ac:dyDescent="0.3">
      <c r="A6368" t="s">
        <v>1583</v>
      </c>
      <c r="B6368" t="s">
        <v>3822</v>
      </c>
      <c r="C6368" t="s">
        <v>460</v>
      </c>
      <c r="D6368" t="s">
        <v>7867</v>
      </c>
      <c r="E6368" t="s">
        <v>75</v>
      </c>
    </row>
    <row r="6369" spans="1:5" x14ac:dyDescent="0.3">
      <c r="A6369" t="s">
        <v>146</v>
      </c>
      <c r="B6369" t="s">
        <v>12805</v>
      </c>
      <c r="C6369" t="s">
        <v>12804</v>
      </c>
      <c r="D6369" t="s">
        <v>6577</v>
      </c>
      <c r="E6369" t="s">
        <v>75</v>
      </c>
    </row>
    <row r="6370" spans="1:5" x14ac:dyDescent="0.3">
      <c r="A6370" t="s">
        <v>35</v>
      </c>
      <c r="B6370" t="s">
        <v>12806</v>
      </c>
      <c r="C6370" t="s">
        <v>455</v>
      </c>
      <c r="D6370" t="s">
        <v>9994</v>
      </c>
      <c r="E6370" t="s">
        <v>75</v>
      </c>
    </row>
    <row r="6371" spans="1:5" x14ac:dyDescent="0.3">
      <c r="A6371" t="s">
        <v>41</v>
      </c>
      <c r="B6371" t="s">
        <v>164</v>
      </c>
      <c r="C6371" t="s">
        <v>165</v>
      </c>
      <c r="D6371" t="s">
        <v>1509</v>
      </c>
      <c r="E6371" t="s">
        <v>781</v>
      </c>
    </row>
    <row r="6372" spans="1:5" x14ac:dyDescent="0.3">
      <c r="A6372" t="s">
        <v>12807</v>
      </c>
      <c r="B6372" t="s">
        <v>12808</v>
      </c>
      <c r="C6372" t="s">
        <v>862</v>
      </c>
      <c r="D6372" t="s">
        <v>919</v>
      </c>
      <c r="E6372" t="s">
        <v>1</v>
      </c>
    </row>
    <row r="6373" spans="1:5" x14ac:dyDescent="0.3">
      <c r="A6373" t="s">
        <v>195</v>
      </c>
      <c r="B6373" t="s">
        <v>12810</v>
      </c>
      <c r="C6373" t="s">
        <v>12809</v>
      </c>
      <c r="D6373" t="s">
        <v>4213</v>
      </c>
      <c r="E6373" t="s">
        <v>75</v>
      </c>
    </row>
    <row r="6374" spans="1:5" x14ac:dyDescent="0.3">
      <c r="A6374" t="s">
        <v>2750</v>
      </c>
      <c r="B6374" t="s">
        <v>12812</v>
      </c>
      <c r="C6374" t="s">
        <v>12811</v>
      </c>
      <c r="D6374" t="s">
        <v>751</v>
      </c>
      <c r="E6374" t="s">
        <v>1</v>
      </c>
    </row>
    <row r="6375" spans="1:5" x14ac:dyDescent="0.3">
      <c r="A6375" t="s">
        <v>4979</v>
      </c>
      <c r="B6375" t="s">
        <v>12813</v>
      </c>
      <c r="C6375" t="s">
        <v>459</v>
      </c>
      <c r="D6375" t="s">
        <v>1306</v>
      </c>
      <c r="E6375" t="s">
        <v>774</v>
      </c>
    </row>
    <row r="6376" spans="1:5" x14ac:dyDescent="0.3">
      <c r="A6376" t="s">
        <v>34</v>
      </c>
      <c r="B6376" t="s">
        <v>12814</v>
      </c>
      <c r="C6376" t="s">
        <v>862</v>
      </c>
      <c r="D6376" t="s">
        <v>4213</v>
      </c>
      <c r="E6376" t="s">
        <v>75</v>
      </c>
    </row>
    <row r="6377" spans="1:5" x14ac:dyDescent="0.3">
      <c r="A6377" t="s">
        <v>3442</v>
      </c>
      <c r="B6377" t="s">
        <v>3443</v>
      </c>
      <c r="C6377" t="s">
        <v>467</v>
      </c>
      <c r="D6377" t="s">
        <v>7161</v>
      </c>
      <c r="E6377" t="s">
        <v>75</v>
      </c>
    </row>
    <row r="6378" spans="1:5" x14ac:dyDescent="0.3">
      <c r="A6378" t="s">
        <v>12815</v>
      </c>
      <c r="B6378" t="s">
        <v>12816</v>
      </c>
      <c r="C6378" t="s">
        <v>862</v>
      </c>
    </row>
    <row r="6379" spans="1:5" x14ac:dyDescent="0.3">
      <c r="A6379" t="s">
        <v>209</v>
      </c>
      <c r="B6379" t="s">
        <v>12818</v>
      </c>
      <c r="C6379" t="s">
        <v>467</v>
      </c>
      <c r="D6379" t="s">
        <v>12817</v>
      </c>
      <c r="E6379" t="s">
        <v>75</v>
      </c>
    </row>
    <row r="6380" spans="1:5" x14ac:dyDescent="0.3">
      <c r="A6380" t="s">
        <v>3616</v>
      </c>
      <c r="B6380" t="s">
        <v>12819</v>
      </c>
      <c r="C6380" t="s">
        <v>459</v>
      </c>
      <c r="D6380" t="s">
        <v>12817</v>
      </c>
      <c r="E6380" t="s">
        <v>75</v>
      </c>
    </row>
    <row r="6381" spans="1:5" x14ac:dyDescent="0.3">
      <c r="A6381" t="s">
        <v>2511</v>
      </c>
      <c r="B6381" t="s">
        <v>12821</v>
      </c>
      <c r="C6381" t="s">
        <v>862</v>
      </c>
      <c r="D6381" t="s">
        <v>12820</v>
      </c>
      <c r="E6381" t="s">
        <v>75</v>
      </c>
    </row>
    <row r="6382" spans="1:5" x14ac:dyDescent="0.3">
      <c r="A6382" t="s">
        <v>89</v>
      </c>
      <c r="B6382" t="s">
        <v>4509</v>
      </c>
      <c r="C6382" t="s">
        <v>4460</v>
      </c>
      <c r="D6382" t="s">
        <v>7864</v>
      </c>
      <c r="E6382" t="s">
        <v>781</v>
      </c>
    </row>
    <row r="6383" spans="1:5" x14ac:dyDescent="0.3">
      <c r="A6383" t="s">
        <v>185</v>
      </c>
      <c r="B6383" t="s">
        <v>8616</v>
      </c>
      <c r="C6383" t="s">
        <v>12822</v>
      </c>
      <c r="D6383" t="s">
        <v>4536</v>
      </c>
      <c r="E6383" t="s">
        <v>758</v>
      </c>
    </row>
    <row r="6384" spans="1:5" x14ac:dyDescent="0.3">
      <c r="A6384" t="s">
        <v>1527</v>
      </c>
      <c r="B6384" t="s">
        <v>2421</v>
      </c>
      <c r="C6384" t="s">
        <v>12823</v>
      </c>
      <c r="D6384" t="s">
        <v>5796</v>
      </c>
      <c r="E6384" t="s">
        <v>2175</v>
      </c>
    </row>
    <row r="6385" spans="1:5" x14ac:dyDescent="0.3">
      <c r="A6385" t="s">
        <v>12824</v>
      </c>
      <c r="B6385" t="s">
        <v>950</v>
      </c>
      <c r="C6385" t="s">
        <v>12825</v>
      </c>
    </row>
    <row r="6386" spans="1:5" x14ac:dyDescent="0.3">
      <c r="A6386" t="s">
        <v>113</v>
      </c>
      <c r="B6386" t="s">
        <v>287</v>
      </c>
      <c r="C6386" t="s">
        <v>459</v>
      </c>
      <c r="D6386" t="s">
        <v>12826</v>
      </c>
      <c r="E6386" t="s">
        <v>75</v>
      </c>
    </row>
    <row r="6387" spans="1:5" x14ac:dyDescent="0.3">
      <c r="A6387" t="s">
        <v>195</v>
      </c>
      <c r="B6387" t="s">
        <v>12827</v>
      </c>
      <c r="C6387" t="s">
        <v>461</v>
      </c>
      <c r="D6387" t="s">
        <v>6590</v>
      </c>
      <c r="E6387" t="s">
        <v>774</v>
      </c>
    </row>
    <row r="6388" spans="1:5" x14ac:dyDescent="0.3">
      <c r="A6388" t="s">
        <v>5409</v>
      </c>
      <c r="B6388" t="s">
        <v>12829</v>
      </c>
      <c r="C6388" t="s">
        <v>12828</v>
      </c>
      <c r="D6388" t="s">
        <v>919</v>
      </c>
      <c r="E6388" t="s">
        <v>1</v>
      </c>
    </row>
    <row r="6389" spans="1:5" x14ac:dyDescent="0.3">
      <c r="A6389" t="s">
        <v>82</v>
      </c>
      <c r="B6389" t="s">
        <v>6684</v>
      </c>
      <c r="C6389" t="s">
        <v>467</v>
      </c>
      <c r="D6389" t="s">
        <v>6951</v>
      </c>
      <c r="E6389" t="s">
        <v>75</v>
      </c>
    </row>
    <row r="6390" spans="1:5" x14ac:dyDescent="0.3">
      <c r="A6390" t="s">
        <v>6027</v>
      </c>
      <c r="B6390" t="s">
        <v>6028</v>
      </c>
      <c r="C6390" t="s">
        <v>862</v>
      </c>
      <c r="D6390" t="s">
        <v>2880</v>
      </c>
      <c r="E6390" t="s">
        <v>758</v>
      </c>
    </row>
    <row r="6391" spans="1:5" x14ac:dyDescent="0.3">
      <c r="A6391" t="s">
        <v>843</v>
      </c>
      <c r="B6391" t="s">
        <v>1021</v>
      </c>
      <c r="C6391" t="s">
        <v>12830</v>
      </c>
    </row>
    <row r="6392" spans="1:5" x14ac:dyDescent="0.3">
      <c r="A6392" t="s">
        <v>4009</v>
      </c>
      <c r="B6392" t="s">
        <v>12832</v>
      </c>
      <c r="C6392" t="s">
        <v>460</v>
      </c>
      <c r="D6392" t="s">
        <v>12831</v>
      </c>
      <c r="E6392" t="s">
        <v>75</v>
      </c>
    </row>
    <row r="6393" spans="1:5" x14ac:dyDescent="0.3">
      <c r="A6393" t="s">
        <v>209</v>
      </c>
      <c r="B6393" t="s">
        <v>4156</v>
      </c>
      <c r="C6393" t="s">
        <v>461</v>
      </c>
      <c r="D6393" t="s">
        <v>11372</v>
      </c>
      <c r="E6393" t="s">
        <v>897</v>
      </c>
    </row>
    <row r="6394" spans="1:5" x14ac:dyDescent="0.3">
      <c r="A6394" t="s">
        <v>4510</v>
      </c>
      <c r="B6394" t="s">
        <v>12833</v>
      </c>
      <c r="C6394" t="s">
        <v>467</v>
      </c>
      <c r="D6394" t="s">
        <v>9115</v>
      </c>
      <c r="E6394" t="s">
        <v>75</v>
      </c>
    </row>
    <row r="6395" spans="1:5" x14ac:dyDescent="0.3">
      <c r="A6395" t="s">
        <v>67</v>
      </c>
      <c r="B6395" t="s">
        <v>12834</v>
      </c>
      <c r="C6395" t="s">
        <v>459</v>
      </c>
      <c r="D6395" t="s">
        <v>5798</v>
      </c>
      <c r="E6395" t="s">
        <v>75</v>
      </c>
    </row>
    <row r="6396" spans="1:5" x14ac:dyDescent="0.3">
      <c r="A6396" t="s">
        <v>220</v>
      </c>
      <c r="B6396" t="s">
        <v>1837</v>
      </c>
      <c r="C6396" t="s">
        <v>12835</v>
      </c>
      <c r="D6396" t="s">
        <v>6221</v>
      </c>
      <c r="E6396" t="s">
        <v>75</v>
      </c>
    </row>
    <row r="6397" spans="1:5" x14ac:dyDescent="0.3">
      <c r="A6397" t="s">
        <v>387</v>
      </c>
      <c r="B6397" t="s">
        <v>210</v>
      </c>
      <c r="C6397" t="s">
        <v>459</v>
      </c>
      <c r="D6397" t="s">
        <v>3009</v>
      </c>
      <c r="E6397" t="s">
        <v>741</v>
      </c>
    </row>
    <row r="6398" spans="1:5" x14ac:dyDescent="0.3">
      <c r="A6398" t="s">
        <v>195</v>
      </c>
      <c r="B6398" t="s">
        <v>3107</v>
      </c>
      <c r="C6398" t="s">
        <v>6069</v>
      </c>
      <c r="D6398" t="s">
        <v>12836</v>
      </c>
      <c r="E6398" t="s">
        <v>75</v>
      </c>
    </row>
    <row r="6399" spans="1:5" x14ac:dyDescent="0.3">
      <c r="A6399" t="s">
        <v>182</v>
      </c>
      <c r="B6399" t="s">
        <v>12837</v>
      </c>
      <c r="C6399" t="s">
        <v>7978</v>
      </c>
    </row>
    <row r="6400" spans="1:5" x14ac:dyDescent="0.3">
      <c r="A6400" t="s">
        <v>7912</v>
      </c>
      <c r="B6400" t="s">
        <v>12839</v>
      </c>
      <c r="C6400" t="s">
        <v>461</v>
      </c>
      <c r="D6400" t="s">
        <v>12838</v>
      </c>
      <c r="E6400" t="s">
        <v>761</v>
      </c>
    </row>
    <row r="6401" spans="1:5" x14ac:dyDescent="0.3">
      <c r="A6401" t="s">
        <v>5222</v>
      </c>
      <c r="B6401" t="s">
        <v>70</v>
      </c>
      <c r="C6401" t="s">
        <v>862</v>
      </c>
      <c r="D6401" t="s">
        <v>919</v>
      </c>
      <c r="E6401" t="s">
        <v>1</v>
      </c>
    </row>
    <row r="6402" spans="1:5" x14ac:dyDescent="0.3">
      <c r="A6402" t="s">
        <v>894</v>
      </c>
      <c r="B6402" t="s">
        <v>12841</v>
      </c>
      <c r="C6402" t="s">
        <v>12840</v>
      </c>
      <c r="D6402" t="s">
        <v>10037</v>
      </c>
      <c r="E6402" t="s">
        <v>75</v>
      </c>
    </row>
    <row r="6403" spans="1:5" x14ac:dyDescent="0.3">
      <c r="A6403" t="s">
        <v>342</v>
      </c>
      <c r="B6403" t="s">
        <v>4618</v>
      </c>
      <c r="C6403" t="s">
        <v>12842</v>
      </c>
      <c r="D6403" t="s">
        <v>919</v>
      </c>
      <c r="E6403" t="s">
        <v>1</v>
      </c>
    </row>
    <row r="6404" spans="1:5" x14ac:dyDescent="0.3">
      <c r="A6404" t="s">
        <v>3092</v>
      </c>
      <c r="B6404" t="s">
        <v>12843</v>
      </c>
      <c r="C6404" t="s">
        <v>4645</v>
      </c>
      <c r="D6404" t="s">
        <v>4637</v>
      </c>
      <c r="E6404" t="s">
        <v>75</v>
      </c>
    </row>
    <row r="6405" spans="1:5" x14ac:dyDescent="0.3">
      <c r="A6405" t="s">
        <v>3700</v>
      </c>
      <c r="B6405" t="s">
        <v>12691</v>
      </c>
      <c r="C6405" t="s">
        <v>5700</v>
      </c>
      <c r="D6405" t="s">
        <v>1080</v>
      </c>
      <c r="E6405" t="s">
        <v>1</v>
      </c>
    </row>
    <row r="6406" spans="1:5" x14ac:dyDescent="0.3">
      <c r="A6406" t="s">
        <v>298</v>
      </c>
      <c r="B6406" t="s">
        <v>3786</v>
      </c>
      <c r="C6406" t="s">
        <v>461</v>
      </c>
      <c r="D6406" t="s">
        <v>7133</v>
      </c>
      <c r="E6406" t="s">
        <v>758</v>
      </c>
    </row>
    <row r="6407" spans="1:5" x14ac:dyDescent="0.3">
      <c r="A6407" t="s">
        <v>3452</v>
      </c>
      <c r="B6407" t="s">
        <v>3717</v>
      </c>
      <c r="C6407" t="s">
        <v>456</v>
      </c>
      <c r="D6407" t="s">
        <v>12844</v>
      </c>
      <c r="E6407" t="s">
        <v>774</v>
      </c>
    </row>
    <row r="6408" spans="1:5" x14ac:dyDescent="0.3">
      <c r="A6408" t="s">
        <v>3069</v>
      </c>
      <c r="B6408" t="s">
        <v>4985</v>
      </c>
      <c r="C6408" t="s">
        <v>12845</v>
      </c>
      <c r="D6408" t="s">
        <v>3172</v>
      </c>
      <c r="E6408" t="s">
        <v>741</v>
      </c>
    </row>
    <row r="6409" spans="1:5" x14ac:dyDescent="0.3">
      <c r="A6409" t="s">
        <v>5385</v>
      </c>
      <c r="B6409" t="s">
        <v>11809</v>
      </c>
      <c r="C6409" t="s">
        <v>518</v>
      </c>
      <c r="D6409" t="s">
        <v>769</v>
      </c>
      <c r="E6409" t="s">
        <v>1</v>
      </c>
    </row>
    <row r="6410" spans="1:5" x14ac:dyDescent="0.3">
      <c r="A6410" t="s">
        <v>224</v>
      </c>
      <c r="B6410" t="s">
        <v>2479</v>
      </c>
      <c r="C6410" t="s">
        <v>12846</v>
      </c>
      <c r="D6410" t="s">
        <v>769</v>
      </c>
      <c r="E6410" t="s">
        <v>1</v>
      </c>
    </row>
    <row r="6411" spans="1:5" x14ac:dyDescent="0.3">
      <c r="A6411" t="s">
        <v>12848</v>
      </c>
      <c r="B6411" t="s">
        <v>340</v>
      </c>
      <c r="C6411" t="s">
        <v>12849</v>
      </c>
      <c r="D6411" t="s">
        <v>12847</v>
      </c>
      <c r="E6411" t="s">
        <v>774</v>
      </c>
    </row>
    <row r="6412" spans="1:5" x14ac:dyDescent="0.3">
      <c r="A6412" t="s">
        <v>3274</v>
      </c>
      <c r="B6412" t="s">
        <v>3594</v>
      </c>
      <c r="C6412" t="s">
        <v>467</v>
      </c>
      <c r="D6412" t="s">
        <v>4642</v>
      </c>
      <c r="E6412" t="s">
        <v>75</v>
      </c>
    </row>
    <row r="6413" spans="1:5" x14ac:dyDescent="0.3">
      <c r="A6413" t="s">
        <v>12850</v>
      </c>
      <c r="B6413" t="s">
        <v>1078</v>
      </c>
      <c r="C6413" t="s">
        <v>12851</v>
      </c>
      <c r="D6413" t="s">
        <v>763</v>
      </c>
      <c r="E6413" t="s">
        <v>1</v>
      </c>
    </row>
    <row r="6414" spans="1:5" x14ac:dyDescent="0.3">
      <c r="A6414" t="s">
        <v>159</v>
      </c>
      <c r="B6414" t="s">
        <v>4842</v>
      </c>
      <c r="C6414" t="s">
        <v>467</v>
      </c>
      <c r="D6414" t="s">
        <v>10056</v>
      </c>
      <c r="E6414" t="s">
        <v>75</v>
      </c>
    </row>
    <row r="6415" spans="1:5" x14ac:dyDescent="0.3">
      <c r="A6415" t="s">
        <v>419</v>
      </c>
      <c r="B6415" t="s">
        <v>6271</v>
      </c>
      <c r="C6415" t="s">
        <v>461</v>
      </c>
      <c r="D6415" t="s">
        <v>2662</v>
      </c>
      <c r="E6415" t="s">
        <v>781</v>
      </c>
    </row>
    <row r="6416" spans="1:5" x14ac:dyDescent="0.3">
      <c r="A6416" t="s">
        <v>132</v>
      </c>
      <c r="B6416" t="s">
        <v>37</v>
      </c>
      <c r="C6416" t="s">
        <v>12141</v>
      </c>
      <c r="D6416" t="s">
        <v>12853</v>
      </c>
      <c r="E6416" t="s">
        <v>774</v>
      </c>
    </row>
    <row r="6417" spans="1:5" x14ac:dyDescent="0.3">
      <c r="A6417" t="s">
        <v>182</v>
      </c>
      <c r="B6417" t="s">
        <v>5738</v>
      </c>
      <c r="C6417" t="s">
        <v>4778</v>
      </c>
      <c r="D6417" t="s">
        <v>3101</v>
      </c>
      <c r="E6417" t="s">
        <v>761</v>
      </c>
    </row>
    <row r="6418" spans="1:5" x14ac:dyDescent="0.3">
      <c r="A6418" t="s">
        <v>12854</v>
      </c>
      <c r="B6418" t="s">
        <v>12856</v>
      </c>
      <c r="C6418" t="s">
        <v>12855</v>
      </c>
      <c r="D6418" t="s">
        <v>919</v>
      </c>
      <c r="E6418" t="s">
        <v>1</v>
      </c>
    </row>
    <row r="6419" spans="1:5" x14ac:dyDescent="0.3">
      <c r="A6419" t="s">
        <v>8442</v>
      </c>
      <c r="B6419" t="s">
        <v>444</v>
      </c>
      <c r="C6419" t="s">
        <v>862</v>
      </c>
      <c r="D6419" t="s">
        <v>919</v>
      </c>
      <c r="E6419" t="s">
        <v>1</v>
      </c>
    </row>
    <row r="6420" spans="1:5" x14ac:dyDescent="0.3">
      <c r="A6420" t="s">
        <v>3954</v>
      </c>
      <c r="B6420" t="s">
        <v>12857</v>
      </c>
      <c r="C6420" t="s">
        <v>862</v>
      </c>
      <c r="D6420" t="s">
        <v>5434</v>
      </c>
      <c r="E6420" t="s">
        <v>75</v>
      </c>
    </row>
    <row r="6421" spans="1:5" x14ac:dyDescent="0.3">
      <c r="A6421" t="s">
        <v>8430</v>
      </c>
      <c r="B6421" t="s">
        <v>1029</v>
      </c>
      <c r="C6421" t="s">
        <v>862</v>
      </c>
      <c r="D6421" t="s">
        <v>902</v>
      </c>
      <c r="E6421" t="s">
        <v>1</v>
      </c>
    </row>
    <row r="6422" spans="1:5" x14ac:dyDescent="0.3">
      <c r="A6422" t="s">
        <v>7606</v>
      </c>
      <c r="B6422" t="s">
        <v>12859</v>
      </c>
      <c r="C6422" t="s">
        <v>12858</v>
      </c>
      <c r="D6422" t="s">
        <v>953</v>
      </c>
      <c r="E6422" t="s">
        <v>841</v>
      </c>
    </row>
    <row r="6423" spans="1:5" x14ac:dyDescent="0.3">
      <c r="A6423" t="s">
        <v>67</v>
      </c>
      <c r="B6423" t="s">
        <v>8374</v>
      </c>
      <c r="C6423" t="s">
        <v>12860</v>
      </c>
      <c r="D6423" t="s">
        <v>769</v>
      </c>
      <c r="E6423" t="s">
        <v>1</v>
      </c>
    </row>
    <row r="6424" spans="1:5" x14ac:dyDescent="0.3">
      <c r="A6424" t="s">
        <v>331</v>
      </c>
      <c r="B6424" t="s">
        <v>3605</v>
      </c>
      <c r="C6424" t="s">
        <v>456</v>
      </c>
      <c r="D6424" t="s">
        <v>12861</v>
      </c>
      <c r="E6424" t="s">
        <v>841</v>
      </c>
    </row>
    <row r="6425" spans="1:5" x14ac:dyDescent="0.3">
      <c r="A6425" t="s">
        <v>11570</v>
      </c>
      <c r="B6425" t="s">
        <v>433</v>
      </c>
      <c r="C6425" t="s">
        <v>12862</v>
      </c>
      <c r="D6425" t="s">
        <v>2577</v>
      </c>
      <c r="E6425" t="s">
        <v>741</v>
      </c>
    </row>
    <row r="6426" spans="1:5" x14ac:dyDescent="0.3">
      <c r="A6426" t="s">
        <v>12863</v>
      </c>
      <c r="B6426" t="s">
        <v>12864</v>
      </c>
      <c r="C6426" t="s">
        <v>459</v>
      </c>
      <c r="D6426" t="s">
        <v>4649</v>
      </c>
      <c r="E6426" t="s">
        <v>781</v>
      </c>
    </row>
    <row r="6427" spans="1:5" x14ac:dyDescent="0.3">
      <c r="A6427" t="s">
        <v>41</v>
      </c>
      <c r="B6427" t="s">
        <v>6088</v>
      </c>
      <c r="C6427" t="s">
        <v>862</v>
      </c>
      <c r="D6427" t="s">
        <v>4315</v>
      </c>
      <c r="E6427" t="s">
        <v>75</v>
      </c>
    </row>
    <row r="6428" spans="1:5" x14ac:dyDescent="0.3">
      <c r="A6428" t="s">
        <v>153</v>
      </c>
      <c r="B6428" t="s">
        <v>3485</v>
      </c>
      <c r="C6428" t="s">
        <v>6466</v>
      </c>
    </row>
    <row r="6429" spans="1:5" x14ac:dyDescent="0.3">
      <c r="A6429" t="s">
        <v>181</v>
      </c>
      <c r="B6429" t="s">
        <v>4471</v>
      </c>
      <c r="C6429" t="s">
        <v>6009</v>
      </c>
      <c r="D6429" t="s">
        <v>5803</v>
      </c>
      <c r="E6429" t="s">
        <v>758</v>
      </c>
    </row>
    <row r="6430" spans="1:5" x14ac:dyDescent="0.3">
      <c r="A6430" t="s">
        <v>1920</v>
      </c>
      <c r="B6430" t="s">
        <v>1272</v>
      </c>
      <c r="C6430" t="s">
        <v>12865</v>
      </c>
      <c r="D6430" t="s">
        <v>2789</v>
      </c>
      <c r="E6430" t="s">
        <v>1</v>
      </c>
    </row>
    <row r="6431" spans="1:5" x14ac:dyDescent="0.3">
      <c r="A6431" t="s">
        <v>182</v>
      </c>
      <c r="B6431" t="s">
        <v>4100</v>
      </c>
      <c r="C6431" t="s">
        <v>460</v>
      </c>
      <c r="D6431" t="s">
        <v>1802</v>
      </c>
      <c r="E6431" t="s">
        <v>774</v>
      </c>
    </row>
    <row r="6432" spans="1:5" x14ac:dyDescent="0.3">
      <c r="A6432" t="s">
        <v>41</v>
      </c>
      <c r="B6432" t="s">
        <v>12867</v>
      </c>
      <c r="C6432" t="s">
        <v>460</v>
      </c>
      <c r="D6432" t="s">
        <v>12866</v>
      </c>
      <c r="E6432" t="s">
        <v>75</v>
      </c>
    </row>
    <row r="6433" spans="1:5" x14ac:dyDescent="0.3">
      <c r="A6433" t="s">
        <v>1442</v>
      </c>
      <c r="B6433" t="s">
        <v>1298</v>
      </c>
      <c r="C6433" t="s">
        <v>12868</v>
      </c>
      <c r="D6433" t="s">
        <v>768</v>
      </c>
      <c r="E6433" t="s">
        <v>1</v>
      </c>
    </row>
    <row r="6434" spans="1:5" x14ac:dyDescent="0.3">
      <c r="A6434" t="s">
        <v>1169</v>
      </c>
      <c r="B6434" t="s">
        <v>8795</v>
      </c>
      <c r="C6434" t="s">
        <v>461</v>
      </c>
      <c r="D6434" t="s">
        <v>12158</v>
      </c>
      <c r="E6434" t="s">
        <v>75</v>
      </c>
    </row>
    <row r="6435" spans="1:5" x14ac:dyDescent="0.3">
      <c r="A6435" t="s">
        <v>195</v>
      </c>
      <c r="B6435" t="s">
        <v>11472</v>
      </c>
      <c r="C6435" t="s">
        <v>12869</v>
      </c>
      <c r="D6435" t="s">
        <v>2577</v>
      </c>
      <c r="E6435" t="s">
        <v>741</v>
      </c>
    </row>
    <row r="6436" spans="1:5" x14ac:dyDescent="0.3">
      <c r="A6436" t="s">
        <v>1111</v>
      </c>
      <c r="B6436" t="s">
        <v>12872</v>
      </c>
      <c r="C6436" t="s">
        <v>12871</v>
      </c>
      <c r="D6436" t="s">
        <v>12870</v>
      </c>
      <c r="E6436" t="s">
        <v>75</v>
      </c>
    </row>
    <row r="6437" spans="1:5" x14ac:dyDescent="0.3">
      <c r="A6437" t="s">
        <v>1176</v>
      </c>
      <c r="B6437" t="s">
        <v>70</v>
      </c>
      <c r="C6437" t="s">
        <v>467</v>
      </c>
      <c r="D6437" t="s">
        <v>4329</v>
      </c>
      <c r="E6437" t="s">
        <v>75</v>
      </c>
    </row>
    <row r="6438" spans="1:5" x14ac:dyDescent="0.3">
      <c r="A6438" t="s">
        <v>12873</v>
      </c>
      <c r="B6438" t="s">
        <v>805</v>
      </c>
      <c r="C6438" t="s">
        <v>461</v>
      </c>
      <c r="D6438" t="s">
        <v>10097</v>
      </c>
      <c r="E6438" t="s">
        <v>75</v>
      </c>
    </row>
    <row r="6439" spans="1:5" x14ac:dyDescent="0.3">
      <c r="A6439" t="s">
        <v>4600</v>
      </c>
      <c r="B6439" t="s">
        <v>1252</v>
      </c>
      <c r="C6439" t="s">
        <v>460</v>
      </c>
      <c r="D6439" t="s">
        <v>6953</v>
      </c>
      <c r="E6439" t="s">
        <v>75</v>
      </c>
    </row>
    <row r="6440" spans="1:5" x14ac:dyDescent="0.3">
      <c r="A6440" t="s">
        <v>220</v>
      </c>
      <c r="B6440" t="s">
        <v>7819</v>
      </c>
      <c r="C6440" t="s">
        <v>467</v>
      </c>
      <c r="D6440" t="s">
        <v>8329</v>
      </c>
      <c r="E6440" t="s">
        <v>75</v>
      </c>
    </row>
    <row r="6441" spans="1:5" x14ac:dyDescent="0.3">
      <c r="A6441" t="s">
        <v>3346</v>
      </c>
      <c r="B6441" t="s">
        <v>12876</v>
      </c>
      <c r="C6441" t="s">
        <v>12875</v>
      </c>
      <c r="D6441" t="s">
        <v>5095</v>
      </c>
      <c r="E6441" t="s">
        <v>758</v>
      </c>
    </row>
    <row r="6442" spans="1:5" x14ac:dyDescent="0.3">
      <c r="A6442" t="s">
        <v>3728</v>
      </c>
      <c r="B6442" t="s">
        <v>12877</v>
      </c>
      <c r="C6442" t="s">
        <v>862</v>
      </c>
      <c r="D6442" t="s">
        <v>968</v>
      </c>
      <c r="E6442" t="s">
        <v>781</v>
      </c>
    </row>
    <row r="6443" spans="1:5" x14ac:dyDescent="0.3">
      <c r="A6443" t="s">
        <v>50</v>
      </c>
      <c r="B6443" t="s">
        <v>1310</v>
      </c>
      <c r="C6443" t="s">
        <v>460</v>
      </c>
      <c r="D6443" t="s">
        <v>12874</v>
      </c>
      <c r="E6443" t="s">
        <v>75</v>
      </c>
    </row>
    <row r="6444" spans="1:5" x14ac:dyDescent="0.3">
      <c r="A6444" t="s">
        <v>2236</v>
      </c>
      <c r="B6444" t="s">
        <v>2908</v>
      </c>
      <c r="C6444" t="s">
        <v>862</v>
      </c>
      <c r="D6444" t="s">
        <v>919</v>
      </c>
      <c r="E6444" t="s">
        <v>1</v>
      </c>
    </row>
    <row r="6445" spans="1:5" x14ac:dyDescent="0.3">
      <c r="A6445" t="s">
        <v>8159</v>
      </c>
      <c r="B6445" t="s">
        <v>9563</v>
      </c>
      <c r="C6445" t="s">
        <v>461</v>
      </c>
      <c r="D6445" t="s">
        <v>5803</v>
      </c>
      <c r="E6445" t="s">
        <v>758</v>
      </c>
    </row>
    <row r="6446" spans="1:5" x14ac:dyDescent="0.3">
      <c r="A6446" t="s">
        <v>12878</v>
      </c>
      <c r="B6446" t="s">
        <v>12880</v>
      </c>
      <c r="C6446" t="s">
        <v>12879</v>
      </c>
      <c r="D6446" t="s">
        <v>815</v>
      </c>
      <c r="E6446" t="s">
        <v>741</v>
      </c>
    </row>
    <row r="6447" spans="1:5" x14ac:dyDescent="0.3">
      <c r="A6447" t="s">
        <v>195</v>
      </c>
      <c r="B6447" t="s">
        <v>1615</v>
      </c>
      <c r="C6447" t="s">
        <v>457</v>
      </c>
      <c r="D6447" t="s">
        <v>12881</v>
      </c>
      <c r="E6447" t="s">
        <v>774</v>
      </c>
    </row>
    <row r="6448" spans="1:5" x14ac:dyDescent="0.3">
      <c r="A6448" t="s">
        <v>100</v>
      </c>
      <c r="B6448" t="s">
        <v>4466</v>
      </c>
      <c r="C6448" t="s">
        <v>12882</v>
      </c>
      <c r="D6448" t="s">
        <v>895</v>
      </c>
      <c r="E6448" t="s">
        <v>897</v>
      </c>
    </row>
    <row r="6449" spans="1:5" x14ac:dyDescent="0.3">
      <c r="A6449" t="s">
        <v>79</v>
      </c>
      <c r="B6449" t="s">
        <v>12883</v>
      </c>
      <c r="C6449" t="s">
        <v>459</v>
      </c>
      <c r="D6449" t="s">
        <v>9141</v>
      </c>
      <c r="E6449" t="s">
        <v>75</v>
      </c>
    </row>
    <row r="6450" spans="1:5" x14ac:dyDescent="0.3">
      <c r="A6450" t="s">
        <v>11739</v>
      </c>
      <c r="B6450" t="s">
        <v>12884</v>
      </c>
      <c r="C6450" t="s">
        <v>456</v>
      </c>
      <c r="D6450" t="s">
        <v>1660</v>
      </c>
      <c r="E6450" t="s">
        <v>781</v>
      </c>
    </row>
    <row r="6451" spans="1:5" x14ac:dyDescent="0.3">
      <c r="A6451" t="s">
        <v>12885</v>
      </c>
      <c r="B6451" t="s">
        <v>287</v>
      </c>
      <c r="C6451" t="s">
        <v>4318</v>
      </c>
      <c r="D6451" t="s">
        <v>5379</v>
      </c>
      <c r="E6451" t="s">
        <v>741</v>
      </c>
    </row>
    <row r="6452" spans="1:5" x14ac:dyDescent="0.3">
      <c r="A6452" t="s">
        <v>465</v>
      </c>
      <c r="B6452" t="s">
        <v>12887</v>
      </c>
      <c r="C6452" t="s">
        <v>698</v>
      </c>
      <c r="D6452" t="s">
        <v>12886</v>
      </c>
      <c r="E6452" t="s">
        <v>774</v>
      </c>
    </row>
    <row r="6453" spans="1:5" x14ac:dyDescent="0.3">
      <c r="A6453" t="s">
        <v>89</v>
      </c>
      <c r="B6453" t="s">
        <v>1065</v>
      </c>
      <c r="C6453" t="s">
        <v>862</v>
      </c>
      <c r="D6453" t="s">
        <v>7899</v>
      </c>
      <c r="E6453" t="s">
        <v>75</v>
      </c>
    </row>
    <row r="6454" spans="1:5" x14ac:dyDescent="0.3">
      <c r="A6454" t="s">
        <v>4225</v>
      </c>
      <c r="B6454" t="s">
        <v>7464</v>
      </c>
      <c r="C6454" t="s">
        <v>454</v>
      </c>
      <c r="D6454" t="s">
        <v>12888</v>
      </c>
      <c r="E6454" t="s">
        <v>774</v>
      </c>
    </row>
    <row r="6455" spans="1:5" x14ac:dyDescent="0.3">
      <c r="A6455" t="s">
        <v>997</v>
      </c>
      <c r="B6455" t="s">
        <v>12890</v>
      </c>
      <c r="C6455" t="s">
        <v>12889</v>
      </c>
      <c r="D6455" t="s">
        <v>6633</v>
      </c>
      <c r="E6455" t="s">
        <v>2175</v>
      </c>
    </row>
    <row r="6456" spans="1:5" x14ac:dyDescent="0.3">
      <c r="A6456" t="s">
        <v>2820</v>
      </c>
      <c r="B6456" t="s">
        <v>12892</v>
      </c>
      <c r="C6456" t="s">
        <v>461</v>
      </c>
      <c r="D6456" t="s">
        <v>12891</v>
      </c>
      <c r="E6456" t="s">
        <v>75</v>
      </c>
    </row>
    <row r="6457" spans="1:5" x14ac:dyDescent="0.3">
      <c r="A6457" t="s">
        <v>1330</v>
      </c>
      <c r="B6457" t="s">
        <v>142</v>
      </c>
      <c r="C6457" t="s">
        <v>12893</v>
      </c>
      <c r="D6457" t="s">
        <v>895</v>
      </c>
      <c r="E6457" t="s">
        <v>897</v>
      </c>
    </row>
    <row r="6458" spans="1:5" x14ac:dyDescent="0.3">
      <c r="A6458" t="s">
        <v>944</v>
      </c>
      <c r="B6458" t="s">
        <v>12894</v>
      </c>
      <c r="C6458" t="s">
        <v>459</v>
      </c>
      <c r="D6458" t="s">
        <v>7904</v>
      </c>
      <c r="E6458" t="s">
        <v>75</v>
      </c>
    </row>
    <row r="6459" spans="1:5" x14ac:dyDescent="0.3">
      <c r="A6459" t="s">
        <v>66</v>
      </c>
      <c r="B6459" t="s">
        <v>2603</v>
      </c>
      <c r="C6459" t="s">
        <v>12895</v>
      </c>
      <c r="D6459" t="s">
        <v>895</v>
      </c>
      <c r="E6459" t="s">
        <v>897</v>
      </c>
    </row>
    <row r="6460" spans="1:5" x14ac:dyDescent="0.3">
      <c r="A6460" t="s">
        <v>12896</v>
      </c>
      <c r="B6460" t="s">
        <v>12898</v>
      </c>
      <c r="C6460" t="s">
        <v>12897</v>
      </c>
      <c r="D6460" t="s">
        <v>895</v>
      </c>
      <c r="E6460" t="s">
        <v>897</v>
      </c>
    </row>
    <row r="6461" spans="1:5" x14ac:dyDescent="0.3">
      <c r="A6461" t="s">
        <v>855</v>
      </c>
      <c r="B6461" t="s">
        <v>1505</v>
      </c>
      <c r="C6461" t="s">
        <v>455</v>
      </c>
      <c r="D6461" t="s">
        <v>895</v>
      </c>
      <c r="E6461" t="s">
        <v>897</v>
      </c>
    </row>
    <row r="6462" spans="1:5" x14ac:dyDescent="0.3">
      <c r="A6462" t="s">
        <v>3336</v>
      </c>
      <c r="B6462" t="s">
        <v>12901</v>
      </c>
      <c r="C6462" t="s">
        <v>12900</v>
      </c>
      <c r="D6462" t="s">
        <v>12899</v>
      </c>
      <c r="E6462" t="s">
        <v>75</v>
      </c>
    </row>
    <row r="6463" spans="1:5" x14ac:dyDescent="0.3">
      <c r="A6463" t="s">
        <v>10225</v>
      </c>
      <c r="B6463" t="s">
        <v>9276</v>
      </c>
      <c r="C6463" t="s">
        <v>12902</v>
      </c>
      <c r="D6463" t="s">
        <v>919</v>
      </c>
      <c r="E6463" t="s">
        <v>1</v>
      </c>
    </row>
    <row r="6464" spans="1:5" x14ac:dyDescent="0.3">
      <c r="A6464" t="s">
        <v>50</v>
      </c>
      <c r="B6464" t="s">
        <v>12903</v>
      </c>
      <c r="C6464" t="s">
        <v>862</v>
      </c>
      <c r="D6464" t="s">
        <v>768</v>
      </c>
      <c r="E6464" t="s">
        <v>1</v>
      </c>
    </row>
    <row r="6465" spans="1:5" x14ac:dyDescent="0.3">
      <c r="A6465" t="s">
        <v>4304</v>
      </c>
      <c r="B6465" t="s">
        <v>12904</v>
      </c>
      <c r="C6465" t="s">
        <v>6327</v>
      </c>
      <c r="D6465" t="s">
        <v>1940</v>
      </c>
      <c r="E6465" t="s">
        <v>743</v>
      </c>
    </row>
    <row r="6466" spans="1:5" x14ac:dyDescent="0.3">
      <c r="A6466" t="s">
        <v>206</v>
      </c>
      <c r="B6466" t="s">
        <v>158</v>
      </c>
      <c r="C6466" t="s">
        <v>451</v>
      </c>
      <c r="D6466" t="s">
        <v>4411</v>
      </c>
      <c r="E6466" t="s">
        <v>75</v>
      </c>
    </row>
    <row r="6467" spans="1:5" x14ac:dyDescent="0.3">
      <c r="A6467" t="s">
        <v>1317</v>
      </c>
      <c r="B6467" t="s">
        <v>207</v>
      </c>
      <c r="C6467" t="s">
        <v>467</v>
      </c>
      <c r="D6467" t="s">
        <v>12905</v>
      </c>
      <c r="E6467" t="s">
        <v>75</v>
      </c>
    </row>
    <row r="6468" spans="1:5" x14ac:dyDescent="0.3">
      <c r="A6468" t="s">
        <v>1898</v>
      </c>
      <c r="B6468" t="s">
        <v>12906</v>
      </c>
      <c r="C6468" t="s">
        <v>6632</v>
      </c>
    </row>
    <row r="6469" spans="1:5" x14ac:dyDescent="0.3">
      <c r="A6469" t="s">
        <v>3070</v>
      </c>
      <c r="B6469" t="s">
        <v>12434</v>
      </c>
      <c r="C6469" t="s">
        <v>12908</v>
      </c>
      <c r="D6469" t="s">
        <v>12907</v>
      </c>
      <c r="E6469" t="s">
        <v>75</v>
      </c>
    </row>
    <row r="6470" spans="1:5" x14ac:dyDescent="0.3">
      <c r="A6470" t="s">
        <v>1601</v>
      </c>
      <c r="B6470" t="s">
        <v>3522</v>
      </c>
      <c r="C6470" t="s">
        <v>467</v>
      </c>
      <c r="D6470" t="s">
        <v>12909</v>
      </c>
      <c r="E6470" t="s">
        <v>75</v>
      </c>
    </row>
    <row r="6471" spans="1:5" x14ac:dyDescent="0.3">
      <c r="A6471" t="s">
        <v>864</v>
      </c>
      <c r="B6471" t="s">
        <v>12910</v>
      </c>
      <c r="C6471" t="s">
        <v>467</v>
      </c>
      <c r="D6471" t="s">
        <v>2541</v>
      </c>
      <c r="E6471" t="s">
        <v>781</v>
      </c>
    </row>
    <row r="6472" spans="1:5" x14ac:dyDescent="0.3">
      <c r="A6472" t="s">
        <v>195</v>
      </c>
      <c r="B6472" t="s">
        <v>6622</v>
      </c>
      <c r="C6472" t="s">
        <v>12911</v>
      </c>
      <c r="D6472" t="s">
        <v>4411</v>
      </c>
      <c r="E6472" t="s">
        <v>75</v>
      </c>
    </row>
    <row r="6473" spans="1:5" x14ac:dyDescent="0.3">
      <c r="A6473" t="s">
        <v>4480</v>
      </c>
      <c r="B6473" t="s">
        <v>12912</v>
      </c>
      <c r="C6473" t="s">
        <v>467</v>
      </c>
      <c r="D6473" t="s">
        <v>8404</v>
      </c>
      <c r="E6473" t="s">
        <v>75</v>
      </c>
    </row>
    <row r="6474" spans="1:5" x14ac:dyDescent="0.3">
      <c r="A6474" t="s">
        <v>12913</v>
      </c>
      <c r="B6474" t="s">
        <v>3522</v>
      </c>
      <c r="C6474" t="s">
        <v>459</v>
      </c>
      <c r="D6474" t="s">
        <v>3759</v>
      </c>
      <c r="E6474" t="s">
        <v>1</v>
      </c>
    </row>
    <row r="6475" spans="1:5" x14ac:dyDescent="0.3">
      <c r="A6475" t="s">
        <v>851</v>
      </c>
      <c r="B6475" t="s">
        <v>1925</v>
      </c>
      <c r="C6475" t="s">
        <v>6118</v>
      </c>
      <c r="D6475" t="s">
        <v>10718</v>
      </c>
      <c r="E6475" t="s">
        <v>75</v>
      </c>
    </row>
    <row r="6476" spans="1:5" x14ac:dyDescent="0.3">
      <c r="A6476" t="s">
        <v>3806</v>
      </c>
      <c r="B6476" t="s">
        <v>3522</v>
      </c>
      <c r="C6476" t="s">
        <v>467</v>
      </c>
      <c r="D6476" t="s">
        <v>809</v>
      </c>
      <c r="E6476" t="s">
        <v>781</v>
      </c>
    </row>
    <row r="6477" spans="1:5" x14ac:dyDescent="0.3">
      <c r="A6477" t="s">
        <v>160</v>
      </c>
      <c r="B6477" t="s">
        <v>12914</v>
      </c>
      <c r="C6477" t="s">
        <v>4742</v>
      </c>
      <c r="D6477" t="s">
        <v>8142</v>
      </c>
      <c r="E6477" t="s">
        <v>75</v>
      </c>
    </row>
    <row r="6478" spans="1:5" x14ac:dyDescent="0.3">
      <c r="A6478" t="s">
        <v>171</v>
      </c>
      <c r="B6478" t="s">
        <v>3205</v>
      </c>
      <c r="C6478" t="s">
        <v>862</v>
      </c>
      <c r="D6478" t="s">
        <v>895</v>
      </c>
      <c r="E6478" t="s">
        <v>897</v>
      </c>
    </row>
    <row r="6479" spans="1:5" x14ac:dyDescent="0.3">
      <c r="A6479" t="s">
        <v>12915</v>
      </c>
      <c r="B6479" t="s">
        <v>7000</v>
      </c>
      <c r="C6479" t="s">
        <v>862</v>
      </c>
      <c r="D6479" t="s">
        <v>895</v>
      </c>
      <c r="E6479" t="s">
        <v>897</v>
      </c>
    </row>
    <row r="6480" spans="1:5" x14ac:dyDescent="0.3">
      <c r="A6480" t="s">
        <v>1311</v>
      </c>
      <c r="B6480" t="s">
        <v>12916</v>
      </c>
      <c r="C6480" t="s">
        <v>8491</v>
      </c>
      <c r="D6480" t="s">
        <v>7911</v>
      </c>
      <c r="E6480" t="s">
        <v>75</v>
      </c>
    </row>
    <row r="6481" spans="1:5" x14ac:dyDescent="0.3">
      <c r="A6481" t="s">
        <v>224</v>
      </c>
      <c r="B6481" t="s">
        <v>1105</v>
      </c>
      <c r="C6481" t="s">
        <v>3109</v>
      </c>
      <c r="D6481" t="s">
        <v>7911</v>
      </c>
      <c r="E6481" t="s">
        <v>75</v>
      </c>
    </row>
    <row r="6482" spans="1:5" x14ac:dyDescent="0.3">
      <c r="A6482" t="s">
        <v>4850</v>
      </c>
      <c r="B6482" t="s">
        <v>4801</v>
      </c>
      <c r="C6482" t="s">
        <v>12917</v>
      </c>
      <c r="D6482" t="s">
        <v>754</v>
      </c>
      <c r="E6482" t="s">
        <v>741</v>
      </c>
    </row>
    <row r="6483" spans="1:5" x14ac:dyDescent="0.3">
      <c r="A6483" t="s">
        <v>5454</v>
      </c>
      <c r="B6483" t="s">
        <v>205</v>
      </c>
      <c r="C6483" t="s">
        <v>12918</v>
      </c>
      <c r="D6483" t="s">
        <v>751</v>
      </c>
      <c r="E6483" t="s">
        <v>1</v>
      </c>
    </row>
    <row r="6484" spans="1:5" x14ac:dyDescent="0.3">
      <c r="A6484" t="s">
        <v>44</v>
      </c>
      <c r="B6484" t="s">
        <v>1797</v>
      </c>
      <c r="C6484" t="s">
        <v>460</v>
      </c>
      <c r="D6484" t="s">
        <v>8906</v>
      </c>
      <c r="E6484" t="s">
        <v>75</v>
      </c>
    </row>
    <row r="6485" spans="1:5" x14ac:dyDescent="0.3">
      <c r="A6485" t="s">
        <v>224</v>
      </c>
      <c r="B6485" t="s">
        <v>3281</v>
      </c>
      <c r="C6485" t="s">
        <v>718</v>
      </c>
      <c r="D6485" t="s">
        <v>12919</v>
      </c>
      <c r="E6485" t="s">
        <v>774</v>
      </c>
    </row>
    <row r="6486" spans="1:5" x14ac:dyDescent="0.3">
      <c r="A6486" t="s">
        <v>12920</v>
      </c>
      <c r="B6486" t="s">
        <v>1043</v>
      </c>
      <c r="C6486" t="s">
        <v>461</v>
      </c>
      <c r="D6486" t="s">
        <v>9162</v>
      </c>
      <c r="E6486" t="s">
        <v>75</v>
      </c>
    </row>
    <row r="6487" spans="1:5" x14ac:dyDescent="0.3">
      <c r="A6487" t="s">
        <v>12921</v>
      </c>
      <c r="B6487" t="s">
        <v>12922</v>
      </c>
      <c r="C6487" t="s">
        <v>461</v>
      </c>
      <c r="D6487" t="s">
        <v>10731</v>
      </c>
      <c r="E6487" t="s">
        <v>75</v>
      </c>
    </row>
    <row r="6488" spans="1:5" x14ac:dyDescent="0.3">
      <c r="A6488" t="s">
        <v>2781</v>
      </c>
      <c r="B6488" t="s">
        <v>8301</v>
      </c>
      <c r="C6488" t="s">
        <v>862</v>
      </c>
      <c r="D6488" t="s">
        <v>8299</v>
      </c>
      <c r="E6488" t="s">
        <v>774</v>
      </c>
    </row>
    <row r="6489" spans="1:5" x14ac:dyDescent="0.3">
      <c r="A6489" t="s">
        <v>8442</v>
      </c>
      <c r="B6489" t="s">
        <v>12924</v>
      </c>
      <c r="C6489" t="s">
        <v>12923</v>
      </c>
    </row>
    <row r="6490" spans="1:5" x14ac:dyDescent="0.3">
      <c r="A6490" t="s">
        <v>352</v>
      </c>
      <c r="B6490" t="s">
        <v>225</v>
      </c>
      <c r="C6490" t="s">
        <v>862</v>
      </c>
      <c r="D6490" t="s">
        <v>4475</v>
      </c>
      <c r="E6490" t="s">
        <v>75</v>
      </c>
    </row>
    <row r="6491" spans="1:5" x14ac:dyDescent="0.3">
      <c r="A6491" t="s">
        <v>752</v>
      </c>
      <c r="B6491" t="s">
        <v>3044</v>
      </c>
      <c r="C6491" t="s">
        <v>467</v>
      </c>
      <c r="D6491" t="s">
        <v>12925</v>
      </c>
      <c r="E6491" t="s">
        <v>75</v>
      </c>
    </row>
    <row r="6492" spans="1:5" x14ac:dyDescent="0.3">
      <c r="A6492" t="s">
        <v>50</v>
      </c>
      <c r="B6492" t="s">
        <v>182</v>
      </c>
      <c r="C6492" t="s">
        <v>862</v>
      </c>
      <c r="D6492" t="s">
        <v>751</v>
      </c>
      <c r="E6492" t="s">
        <v>1</v>
      </c>
    </row>
    <row r="6493" spans="1:5" x14ac:dyDescent="0.3">
      <c r="A6493" t="s">
        <v>2944</v>
      </c>
      <c r="B6493" t="s">
        <v>3655</v>
      </c>
      <c r="C6493" t="s">
        <v>454</v>
      </c>
      <c r="D6493" t="s">
        <v>12926</v>
      </c>
      <c r="E6493" t="s">
        <v>761</v>
      </c>
    </row>
    <row r="6494" spans="1:5" x14ac:dyDescent="0.3">
      <c r="A6494" t="s">
        <v>411</v>
      </c>
      <c r="B6494" t="s">
        <v>12927</v>
      </c>
      <c r="C6494" t="s">
        <v>467</v>
      </c>
      <c r="D6494" t="s">
        <v>4492</v>
      </c>
      <c r="E6494" t="s">
        <v>75</v>
      </c>
    </row>
    <row r="6495" spans="1:5" x14ac:dyDescent="0.3">
      <c r="A6495" t="s">
        <v>82</v>
      </c>
      <c r="B6495" t="s">
        <v>252</v>
      </c>
      <c r="C6495" t="s">
        <v>12928</v>
      </c>
      <c r="D6495" t="s">
        <v>943</v>
      </c>
      <c r="E6495" t="s">
        <v>1</v>
      </c>
    </row>
    <row r="6496" spans="1:5" x14ac:dyDescent="0.3">
      <c r="A6496" t="s">
        <v>224</v>
      </c>
      <c r="B6496" t="s">
        <v>12930</v>
      </c>
      <c r="C6496" t="s">
        <v>12929</v>
      </c>
      <c r="D6496" t="s">
        <v>6094</v>
      </c>
      <c r="E6496" t="s">
        <v>75</v>
      </c>
    </row>
    <row r="6497" spans="1:5" x14ac:dyDescent="0.3">
      <c r="A6497" t="s">
        <v>41</v>
      </c>
      <c r="B6497" t="s">
        <v>4229</v>
      </c>
      <c r="C6497" t="s">
        <v>457</v>
      </c>
      <c r="D6497" t="s">
        <v>12102</v>
      </c>
      <c r="E6497" t="s">
        <v>897</v>
      </c>
    </row>
    <row r="6498" spans="1:5" x14ac:dyDescent="0.3">
      <c r="A6498" t="s">
        <v>3959</v>
      </c>
      <c r="B6498" t="s">
        <v>12932</v>
      </c>
      <c r="C6498" t="s">
        <v>12931</v>
      </c>
      <c r="D6498" t="s">
        <v>2755</v>
      </c>
      <c r="E6498" t="s">
        <v>743</v>
      </c>
    </row>
    <row r="6499" spans="1:5" x14ac:dyDescent="0.3">
      <c r="A6499" t="s">
        <v>1485</v>
      </c>
      <c r="B6499" t="s">
        <v>12934</v>
      </c>
      <c r="C6499" t="s">
        <v>12933</v>
      </c>
      <c r="D6499" t="s">
        <v>3864</v>
      </c>
      <c r="E6499" t="s">
        <v>75</v>
      </c>
    </row>
    <row r="6500" spans="1:5" x14ac:dyDescent="0.3">
      <c r="A6500" t="s">
        <v>1683</v>
      </c>
      <c r="B6500" t="s">
        <v>1615</v>
      </c>
      <c r="C6500" t="s">
        <v>12935</v>
      </c>
      <c r="D6500" t="s">
        <v>2755</v>
      </c>
      <c r="E6500" t="s">
        <v>743</v>
      </c>
    </row>
    <row r="6501" spans="1:5" x14ac:dyDescent="0.3">
      <c r="A6501" t="s">
        <v>1003</v>
      </c>
      <c r="B6501" t="s">
        <v>12936</v>
      </c>
      <c r="C6501" t="s">
        <v>467</v>
      </c>
      <c r="D6501" t="s">
        <v>10201</v>
      </c>
      <c r="E6501" t="s">
        <v>75</v>
      </c>
    </row>
    <row r="6502" spans="1:5" x14ac:dyDescent="0.3">
      <c r="A6502" t="s">
        <v>195</v>
      </c>
      <c r="B6502" t="s">
        <v>10282</v>
      </c>
      <c r="C6502" t="s">
        <v>12937</v>
      </c>
      <c r="D6502" t="s">
        <v>739</v>
      </c>
      <c r="E6502" t="s">
        <v>741</v>
      </c>
    </row>
    <row r="6503" spans="1:5" x14ac:dyDescent="0.3">
      <c r="A6503" t="s">
        <v>10554</v>
      </c>
      <c r="B6503" t="s">
        <v>4148</v>
      </c>
      <c r="C6503" t="s">
        <v>698</v>
      </c>
      <c r="D6503" t="s">
        <v>12938</v>
      </c>
      <c r="E6503" t="s">
        <v>75</v>
      </c>
    </row>
    <row r="6504" spans="1:5" x14ac:dyDescent="0.3">
      <c r="A6504" t="s">
        <v>1504</v>
      </c>
      <c r="B6504" t="s">
        <v>12941</v>
      </c>
      <c r="C6504" t="s">
        <v>12940</v>
      </c>
      <c r="D6504" t="s">
        <v>12939</v>
      </c>
      <c r="E6504" t="s">
        <v>75</v>
      </c>
    </row>
    <row r="6505" spans="1:5" x14ac:dyDescent="0.3">
      <c r="A6505" t="s">
        <v>35</v>
      </c>
      <c r="B6505" t="s">
        <v>5510</v>
      </c>
      <c r="C6505" t="s">
        <v>467</v>
      </c>
      <c r="D6505" t="s">
        <v>10993</v>
      </c>
      <c r="E6505" t="s">
        <v>841</v>
      </c>
    </row>
    <row r="6506" spans="1:5" x14ac:dyDescent="0.3">
      <c r="A6506" t="s">
        <v>220</v>
      </c>
      <c r="B6506" t="s">
        <v>2984</v>
      </c>
      <c r="C6506" t="s">
        <v>459</v>
      </c>
      <c r="D6506" t="s">
        <v>4005</v>
      </c>
      <c r="E6506" t="s">
        <v>761</v>
      </c>
    </row>
    <row r="6507" spans="1:5" x14ac:dyDescent="0.3">
      <c r="A6507" t="s">
        <v>5703</v>
      </c>
      <c r="B6507" t="s">
        <v>5598</v>
      </c>
      <c r="C6507" t="s">
        <v>467</v>
      </c>
      <c r="D6507" t="s">
        <v>1646</v>
      </c>
      <c r="E6507" t="s">
        <v>743</v>
      </c>
    </row>
    <row r="6508" spans="1:5" x14ac:dyDescent="0.3">
      <c r="A6508" t="s">
        <v>41</v>
      </c>
      <c r="B6508" t="s">
        <v>12943</v>
      </c>
      <c r="C6508" t="s">
        <v>12942</v>
      </c>
      <c r="D6508" t="s">
        <v>739</v>
      </c>
      <c r="E6508" t="s">
        <v>741</v>
      </c>
    </row>
    <row r="6509" spans="1:5" x14ac:dyDescent="0.3">
      <c r="A6509" t="s">
        <v>264</v>
      </c>
      <c r="B6509" t="s">
        <v>12945</v>
      </c>
      <c r="C6509" t="s">
        <v>12944</v>
      </c>
      <c r="D6509" t="s">
        <v>9821</v>
      </c>
      <c r="E6509" t="s">
        <v>75</v>
      </c>
    </row>
    <row r="6510" spans="1:5" x14ac:dyDescent="0.3">
      <c r="A6510" t="s">
        <v>1443</v>
      </c>
      <c r="B6510" t="s">
        <v>6985</v>
      </c>
      <c r="C6510" t="s">
        <v>459</v>
      </c>
      <c r="D6510" t="s">
        <v>768</v>
      </c>
      <c r="E6510" t="s">
        <v>1</v>
      </c>
    </row>
    <row r="6511" spans="1:5" x14ac:dyDescent="0.3">
      <c r="A6511" t="s">
        <v>399</v>
      </c>
      <c r="B6511" t="s">
        <v>3457</v>
      </c>
      <c r="C6511" t="s">
        <v>862</v>
      </c>
      <c r="D6511" t="s">
        <v>4570</v>
      </c>
      <c r="E6511" t="s">
        <v>75</v>
      </c>
    </row>
    <row r="6512" spans="1:5" x14ac:dyDescent="0.3">
      <c r="A6512" t="s">
        <v>2052</v>
      </c>
      <c r="B6512" t="s">
        <v>8947</v>
      </c>
      <c r="C6512" t="s">
        <v>461</v>
      </c>
      <c r="D6512" t="s">
        <v>9666</v>
      </c>
      <c r="E6512" t="s">
        <v>75</v>
      </c>
    </row>
    <row r="6513" spans="1:5" x14ac:dyDescent="0.3">
      <c r="A6513" t="s">
        <v>113</v>
      </c>
      <c r="B6513" t="s">
        <v>3968</v>
      </c>
      <c r="C6513" t="s">
        <v>467</v>
      </c>
      <c r="D6513" t="s">
        <v>4847</v>
      </c>
      <c r="E6513" t="s">
        <v>781</v>
      </c>
    </row>
    <row r="6514" spans="1:5" x14ac:dyDescent="0.3">
      <c r="A6514" t="s">
        <v>3439</v>
      </c>
      <c r="B6514" t="s">
        <v>4963</v>
      </c>
      <c r="C6514" t="s">
        <v>720</v>
      </c>
      <c r="D6514" t="s">
        <v>10234</v>
      </c>
      <c r="E6514" t="s">
        <v>75</v>
      </c>
    </row>
    <row r="6515" spans="1:5" x14ac:dyDescent="0.3">
      <c r="A6515" t="s">
        <v>3251</v>
      </c>
      <c r="B6515" t="s">
        <v>12946</v>
      </c>
      <c r="C6515" t="s">
        <v>3299</v>
      </c>
      <c r="D6515" t="s">
        <v>769</v>
      </c>
      <c r="E6515" t="s">
        <v>1</v>
      </c>
    </row>
    <row r="6516" spans="1:5" x14ac:dyDescent="0.3">
      <c r="A6516" t="s">
        <v>12947</v>
      </c>
      <c r="B6516" t="s">
        <v>12948</v>
      </c>
      <c r="C6516" t="s">
        <v>461</v>
      </c>
      <c r="D6516" t="s">
        <v>754</v>
      </c>
      <c r="E6516" t="s">
        <v>741</v>
      </c>
    </row>
    <row r="6517" spans="1:5" x14ac:dyDescent="0.3">
      <c r="A6517" t="s">
        <v>190</v>
      </c>
      <c r="B6517" t="s">
        <v>3007</v>
      </c>
      <c r="C6517" t="s">
        <v>862</v>
      </c>
      <c r="D6517" t="s">
        <v>12949</v>
      </c>
      <c r="E6517" t="s">
        <v>75</v>
      </c>
    </row>
    <row r="6518" spans="1:5" x14ac:dyDescent="0.3">
      <c r="A6518" t="s">
        <v>3118</v>
      </c>
      <c r="B6518" t="s">
        <v>3460</v>
      </c>
      <c r="C6518" t="s">
        <v>467</v>
      </c>
      <c r="D6518" t="s">
        <v>1561</v>
      </c>
      <c r="E6518" t="s">
        <v>741</v>
      </c>
    </row>
    <row r="6519" spans="1:5" x14ac:dyDescent="0.3">
      <c r="A6519" t="s">
        <v>205</v>
      </c>
      <c r="B6519" t="s">
        <v>12951</v>
      </c>
      <c r="C6519" t="s">
        <v>12950</v>
      </c>
      <c r="D6519" t="s">
        <v>7459</v>
      </c>
      <c r="E6519" t="s">
        <v>75</v>
      </c>
    </row>
    <row r="6520" spans="1:5" x14ac:dyDescent="0.3">
      <c r="A6520" t="s">
        <v>100</v>
      </c>
      <c r="B6520" t="s">
        <v>12952</v>
      </c>
      <c r="C6520" t="s">
        <v>10701</v>
      </c>
      <c r="D6520" t="s">
        <v>4754</v>
      </c>
      <c r="E6520" t="s">
        <v>75</v>
      </c>
    </row>
    <row r="6521" spans="1:5" x14ac:dyDescent="0.3">
      <c r="A6521" t="s">
        <v>2568</v>
      </c>
      <c r="B6521" t="s">
        <v>310</v>
      </c>
      <c r="C6521" t="s">
        <v>9218</v>
      </c>
    </row>
    <row r="6522" spans="1:5" x14ac:dyDescent="0.3">
      <c r="A6522" t="s">
        <v>12953</v>
      </c>
      <c r="B6522" t="s">
        <v>12954</v>
      </c>
      <c r="C6522" t="s">
        <v>4335</v>
      </c>
      <c r="D6522" t="s">
        <v>754</v>
      </c>
      <c r="E6522" t="s">
        <v>741</v>
      </c>
    </row>
    <row r="6523" spans="1:5" x14ac:dyDescent="0.3">
      <c r="A6523" t="s">
        <v>1116</v>
      </c>
      <c r="B6523" t="s">
        <v>444</v>
      </c>
      <c r="C6523" t="s">
        <v>12955</v>
      </c>
      <c r="D6523" t="s">
        <v>869</v>
      </c>
      <c r="E6523" t="s">
        <v>781</v>
      </c>
    </row>
    <row r="6524" spans="1:5" x14ac:dyDescent="0.3">
      <c r="A6524" t="s">
        <v>153</v>
      </c>
      <c r="B6524" t="s">
        <v>12956</v>
      </c>
      <c r="C6524" t="s">
        <v>7893</v>
      </c>
    </row>
    <row r="6525" spans="1:5" x14ac:dyDescent="0.3">
      <c r="A6525" t="s">
        <v>3749</v>
      </c>
      <c r="B6525" t="s">
        <v>2095</v>
      </c>
      <c r="C6525" t="s">
        <v>12957</v>
      </c>
      <c r="D6525" t="s">
        <v>763</v>
      </c>
      <c r="E6525" t="s">
        <v>1</v>
      </c>
    </row>
    <row r="6526" spans="1:5" x14ac:dyDescent="0.3">
      <c r="A6526" t="s">
        <v>12958</v>
      </c>
      <c r="B6526" t="s">
        <v>2045</v>
      </c>
      <c r="C6526" t="s">
        <v>3109</v>
      </c>
      <c r="D6526" t="s">
        <v>4629</v>
      </c>
      <c r="E6526" t="s">
        <v>75</v>
      </c>
    </row>
    <row r="6527" spans="1:5" x14ac:dyDescent="0.3">
      <c r="A6527" t="s">
        <v>12960</v>
      </c>
      <c r="B6527" t="s">
        <v>12961</v>
      </c>
      <c r="C6527" t="s">
        <v>459</v>
      </c>
      <c r="D6527" t="s">
        <v>12959</v>
      </c>
      <c r="E6527" t="s">
        <v>75</v>
      </c>
    </row>
    <row r="6528" spans="1:5" x14ac:dyDescent="0.3">
      <c r="A6528" t="s">
        <v>1606</v>
      </c>
      <c r="B6528" t="s">
        <v>3125</v>
      </c>
      <c r="C6528" t="s">
        <v>12962</v>
      </c>
      <c r="D6528" t="s">
        <v>769</v>
      </c>
      <c r="E6528" t="s">
        <v>1</v>
      </c>
    </row>
    <row r="6529" spans="1:5" x14ac:dyDescent="0.3">
      <c r="A6529" t="s">
        <v>409</v>
      </c>
      <c r="B6529" t="s">
        <v>12963</v>
      </c>
      <c r="C6529" t="s">
        <v>518</v>
      </c>
      <c r="D6529" t="s">
        <v>763</v>
      </c>
      <c r="E6529" t="s">
        <v>1</v>
      </c>
    </row>
    <row r="6530" spans="1:5" x14ac:dyDescent="0.3">
      <c r="A6530" t="s">
        <v>315</v>
      </c>
      <c r="B6530" t="s">
        <v>12965</v>
      </c>
      <c r="C6530" t="s">
        <v>467</v>
      </c>
      <c r="D6530" t="s">
        <v>12964</v>
      </c>
      <c r="E6530" t="s">
        <v>75</v>
      </c>
    </row>
    <row r="6531" spans="1:5" x14ac:dyDescent="0.3">
      <c r="A6531" t="s">
        <v>894</v>
      </c>
      <c r="B6531" t="s">
        <v>1262</v>
      </c>
      <c r="C6531" t="s">
        <v>456</v>
      </c>
      <c r="D6531" t="s">
        <v>12658</v>
      </c>
      <c r="E6531" t="s">
        <v>75</v>
      </c>
    </row>
    <row r="6532" spans="1:5" x14ac:dyDescent="0.3">
      <c r="A6532" t="s">
        <v>1451</v>
      </c>
      <c r="B6532" t="s">
        <v>444</v>
      </c>
      <c r="C6532" t="s">
        <v>12967</v>
      </c>
      <c r="D6532" t="s">
        <v>12966</v>
      </c>
      <c r="E6532" t="s">
        <v>75</v>
      </c>
    </row>
    <row r="6533" spans="1:5" x14ac:dyDescent="0.3">
      <c r="A6533" t="s">
        <v>12968</v>
      </c>
      <c r="B6533" t="s">
        <v>955</v>
      </c>
      <c r="C6533" t="s">
        <v>12969</v>
      </c>
      <c r="D6533" t="s">
        <v>2577</v>
      </c>
      <c r="E6533" t="s">
        <v>741</v>
      </c>
    </row>
    <row r="6534" spans="1:5" x14ac:dyDescent="0.3">
      <c r="A6534" t="s">
        <v>12970</v>
      </c>
      <c r="B6534" t="s">
        <v>3947</v>
      </c>
      <c r="C6534" t="s">
        <v>698</v>
      </c>
      <c r="D6534" t="s">
        <v>9505</v>
      </c>
      <c r="E6534" t="s">
        <v>758</v>
      </c>
    </row>
    <row r="6535" spans="1:5" x14ac:dyDescent="0.3">
      <c r="A6535" t="s">
        <v>1340</v>
      </c>
      <c r="B6535" t="s">
        <v>277</v>
      </c>
      <c r="C6535" t="s">
        <v>461</v>
      </c>
      <c r="D6535" t="s">
        <v>10278</v>
      </c>
      <c r="E6535" t="s">
        <v>75</v>
      </c>
    </row>
    <row r="6536" spans="1:5" x14ac:dyDescent="0.3">
      <c r="A6536" t="s">
        <v>804</v>
      </c>
      <c r="B6536" t="s">
        <v>12972</v>
      </c>
      <c r="C6536" t="s">
        <v>3109</v>
      </c>
      <c r="D6536" t="s">
        <v>12971</v>
      </c>
      <c r="E6536" t="s">
        <v>75</v>
      </c>
    </row>
    <row r="6537" spans="1:5" x14ac:dyDescent="0.3">
      <c r="A6537" t="s">
        <v>7226</v>
      </c>
      <c r="B6537" t="s">
        <v>12973</v>
      </c>
      <c r="C6537" t="s">
        <v>862</v>
      </c>
      <c r="D6537" t="s">
        <v>6651</v>
      </c>
      <c r="E6537" t="s">
        <v>897</v>
      </c>
    </row>
    <row r="6538" spans="1:5" x14ac:dyDescent="0.3">
      <c r="A6538" t="s">
        <v>12974</v>
      </c>
      <c r="B6538" t="s">
        <v>12976</v>
      </c>
      <c r="C6538" t="s">
        <v>12975</v>
      </c>
      <c r="D6538" t="s">
        <v>883</v>
      </c>
      <c r="E6538" t="s">
        <v>1</v>
      </c>
    </row>
    <row r="6539" spans="1:5" x14ac:dyDescent="0.3">
      <c r="A6539" t="s">
        <v>4340</v>
      </c>
      <c r="B6539" t="s">
        <v>12977</v>
      </c>
      <c r="C6539" t="s">
        <v>457</v>
      </c>
      <c r="D6539" t="s">
        <v>4657</v>
      </c>
      <c r="E6539" t="s">
        <v>75</v>
      </c>
    </row>
    <row r="6540" spans="1:5" x14ac:dyDescent="0.3">
      <c r="A6540" t="s">
        <v>35</v>
      </c>
      <c r="B6540" t="s">
        <v>12978</v>
      </c>
      <c r="C6540" t="s">
        <v>455</v>
      </c>
      <c r="D6540" t="s">
        <v>794</v>
      </c>
      <c r="E6540" t="s">
        <v>75</v>
      </c>
    </row>
    <row r="6541" spans="1:5" x14ac:dyDescent="0.3">
      <c r="A6541" t="s">
        <v>2639</v>
      </c>
      <c r="B6541" t="s">
        <v>5106</v>
      </c>
      <c r="C6541" t="s">
        <v>460</v>
      </c>
      <c r="D6541" t="s">
        <v>4657</v>
      </c>
      <c r="E6541" t="s">
        <v>75</v>
      </c>
    </row>
    <row r="6542" spans="1:5" x14ac:dyDescent="0.3">
      <c r="A6542" t="s">
        <v>313</v>
      </c>
      <c r="B6542" t="s">
        <v>5648</v>
      </c>
      <c r="C6542" t="s">
        <v>862</v>
      </c>
      <c r="D6542" t="s">
        <v>4672</v>
      </c>
      <c r="E6542" t="s">
        <v>75</v>
      </c>
    </row>
    <row r="6543" spans="1:5" x14ac:dyDescent="0.3">
      <c r="A6543" t="s">
        <v>3663</v>
      </c>
      <c r="B6543" t="s">
        <v>1426</v>
      </c>
      <c r="C6543" t="s">
        <v>12979</v>
      </c>
      <c r="D6543" t="s">
        <v>1673</v>
      </c>
      <c r="E6543" t="s">
        <v>758</v>
      </c>
    </row>
    <row r="6544" spans="1:5" x14ac:dyDescent="0.3">
      <c r="A6544" t="s">
        <v>50</v>
      </c>
      <c r="B6544" t="s">
        <v>12980</v>
      </c>
      <c r="C6544" t="s">
        <v>467</v>
      </c>
      <c r="D6544" t="s">
        <v>12662</v>
      </c>
      <c r="E6544" t="s">
        <v>75</v>
      </c>
    </row>
    <row r="6545" spans="1:5" x14ac:dyDescent="0.3">
      <c r="A6545" t="s">
        <v>224</v>
      </c>
      <c r="B6545" t="s">
        <v>252</v>
      </c>
      <c r="C6545" t="s">
        <v>467</v>
      </c>
      <c r="D6545" t="s">
        <v>4899</v>
      </c>
      <c r="E6545" t="s">
        <v>761</v>
      </c>
    </row>
    <row r="6546" spans="1:5" x14ac:dyDescent="0.3">
      <c r="A6546" t="s">
        <v>12981</v>
      </c>
      <c r="B6546" t="s">
        <v>12983</v>
      </c>
      <c r="C6546" t="s">
        <v>12982</v>
      </c>
      <c r="D6546" t="s">
        <v>10290</v>
      </c>
      <c r="E6546" t="s">
        <v>75</v>
      </c>
    </row>
    <row r="6547" spans="1:5" x14ac:dyDescent="0.3">
      <c r="A6547" t="s">
        <v>4843</v>
      </c>
      <c r="B6547" t="s">
        <v>12985</v>
      </c>
      <c r="C6547" t="s">
        <v>461</v>
      </c>
      <c r="D6547" t="s">
        <v>12984</v>
      </c>
      <c r="E6547" t="s">
        <v>774</v>
      </c>
    </row>
    <row r="6548" spans="1:5" x14ac:dyDescent="0.3">
      <c r="A6548" t="s">
        <v>12986</v>
      </c>
      <c r="B6548" t="s">
        <v>12988</v>
      </c>
      <c r="C6548" t="s">
        <v>12987</v>
      </c>
      <c r="D6548" t="s">
        <v>739</v>
      </c>
      <c r="E6548" t="s">
        <v>741</v>
      </c>
    </row>
    <row r="6549" spans="1:5" x14ac:dyDescent="0.3">
      <c r="A6549" t="s">
        <v>993</v>
      </c>
      <c r="B6549" t="s">
        <v>2421</v>
      </c>
      <c r="C6549" t="s">
        <v>467</v>
      </c>
      <c r="D6549" t="s">
        <v>4899</v>
      </c>
      <c r="E6549" t="s">
        <v>761</v>
      </c>
    </row>
    <row r="6550" spans="1:5" x14ac:dyDescent="0.3">
      <c r="A6550" t="s">
        <v>44</v>
      </c>
      <c r="B6550" t="s">
        <v>4425</v>
      </c>
      <c r="C6550" t="s">
        <v>467</v>
      </c>
      <c r="D6550" t="s">
        <v>10303</v>
      </c>
      <c r="E6550" t="s">
        <v>75</v>
      </c>
    </row>
    <row r="6551" spans="1:5" x14ac:dyDescent="0.3">
      <c r="A6551" t="s">
        <v>205</v>
      </c>
      <c r="B6551" t="s">
        <v>12990</v>
      </c>
      <c r="C6551" t="s">
        <v>457</v>
      </c>
      <c r="D6551" t="s">
        <v>12989</v>
      </c>
      <c r="E6551" t="s">
        <v>774</v>
      </c>
    </row>
    <row r="6552" spans="1:5" x14ac:dyDescent="0.3">
      <c r="A6552" t="s">
        <v>2808</v>
      </c>
      <c r="B6552" t="s">
        <v>12991</v>
      </c>
      <c r="C6552" t="s">
        <v>461</v>
      </c>
      <c r="D6552" t="s">
        <v>5491</v>
      </c>
      <c r="E6552" t="s">
        <v>75</v>
      </c>
    </row>
    <row r="6553" spans="1:5" x14ac:dyDescent="0.3">
      <c r="A6553" t="s">
        <v>147</v>
      </c>
      <c r="B6553" t="s">
        <v>148</v>
      </c>
      <c r="C6553" t="s">
        <v>149</v>
      </c>
      <c r="D6553" t="s">
        <v>8055</v>
      </c>
      <c r="E6553" t="s">
        <v>75</v>
      </c>
    </row>
    <row r="6554" spans="1:5" x14ac:dyDescent="0.3">
      <c r="A6554" t="s">
        <v>1591</v>
      </c>
      <c r="B6554" t="s">
        <v>12993</v>
      </c>
      <c r="C6554" t="s">
        <v>460</v>
      </c>
      <c r="D6554" t="s">
        <v>12992</v>
      </c>
      <c r="E6554" t="s">
        <v>75</v>
      </c>
    </row>
    <row r="6555" spans="1:5" x14ac:dyDescent="0.3">
      <c r="A6555" t="s">
        <v>3791</v>
      </c>
      <c r="B6555" t="s">
        <v>12995</v>
      </c>
      <c r="C6555" t="s">
        <v>12994</v>
      </c>
      <c r="D6555" t="s">
        <v>3759</v>
      </c>
      <c r="E6555" t="s">
        <v>1</v>
      </c>
    </row>
    <row r="6556" spans="1:5" x14ac:dyDescent="0.3">
      <c r="A6556" t="s">
        <v>177</v>
      </c>
      <c r="B6556" t="s">
        <v>283</v>
      </c>
      <c r="C6556" t="s">
        <v>284</v>
      </c>
      <c r="D6556" t="s">
        <v>747</v>
      </c>
      <c r="E6556" t="s">
        <v>1</v>
      </c>
    </row>
    <row r="6557" spans="1:5" x14ac:dyDescent="0.3">
      <c r="A6557" t="s">
        <v>2821</v>
      </c>
      <c r="B6557" t="s">
        <v>12996</v>
      </c>
      <c r="C6557" t="s">
        <v>461</v>
      </c>
    </row>
    <row r="6558" spans="1:5" x14ac:dyDescent="0.3">
      <c r="A6558" t="s">
        <v>315</v>
      </c>
      <c r="B6558" t="s">
        <v>6355</v>
      </c>
      <c r="C6558" t="s">
        <v>3299</v>
      </c>
      <c r="D6558" t="s">
        <v>1509</v>
      </c>
      <c r="E6558" t="s">
        <v>781</v>
      </c>
    </row>
    <row r="6559" spans="1:5" x14ac:dyDescent="0.3">
      <c r="A6559" t="s">
        <v>4091</v>
      </c>
      <c r="B6559" t="s">
        <v>3488</v>
      </c>
      <c r="C6559" t="s">
        <v>456</v>
      </c>
      <c r="D6559" t="s">
        <v>4711</v>
      </c>
      <c r="E6559" t="s">
        <v>743</v>
      </c>
    </row>
    <row r="6560" spans="1:5" x14ac:dyDescent="0.3">
      <c r="A6560" t="s">
        <v>224</v>
      </c>
      <c r="B6560" t="s">
        <v>100</v>
      </c>
      <c r="C6560" t="s">
        <v>518</v>
      </c>
      <c r="D6560" t="s">
        <v>1509</v>
      </c>
      <c r="E6560" t="s">
        <v>781</v>
      </c>
    </row>
    <row r="6561" spans="1:5" x14ac:dyDescent="0.3">
      <c r="A6561" t="s">
        <v>14</v>
      </c>
      <c r="B6561" t="s">
        <v>12997</v>
      </c>
      <c r="C6561" t="s">
        <v>467</v>
      </c>
      <c r="D6561" t="s">
        <v>7959</v>
      </c>
      <c r="E6561" t="s">
        <v>75</v>
      </c>
    </row>
    <row r="6562" spans="1:5" x14ac:dyDescent="0.3">
      <c r="A6562" t="s">
        <v>4123</v>
      </c>
      <c r="B6562" t="s">
        <v>12998</v>
      </c>
      <c r="C6562" t="s">
        <v>6866</v>
      </c>
      <c r="D6562" t="s">
        <v>1509</v>
      </c>
      <c r="E6562" t="s">
        <v>781</v>
      </c>
    </row>
    <row r="6563" spans="1:5" x14ac:dyDescent="0.3">
      <c r="A6563" t="s">
        <v>307</v>
      </c>
      <c r="B6563" t="s">
        <v>13000</v>
      </c>
      <c r="C6563" t="s">
        <v>12999</v>
      </c>
      <c r="D6563" t="s">
        <v>1183</v>
      </c>
      <c r="E6563" t="s">
        <v>1</v>
      </c>
    </row>
    <row r="6564" spans="1:5" x14ac:dyDescent="0.3">
      <c r="A6564" t="s">
        <v>13002</v>
      </c>
      <c r="B6564" t="s">
        <v>4772</v>
      </c>
      <c r="C6564" t="s">
        <v>461</v>
      </c>
      <c r="D6564" t="s">
        <v>13001</v>
      </c>
      <c r="E6564" t="s">
        <v>75</v>
      </c>
    </row>
    <row r="6565" spans="1:5" x14ac:dyDescent="0.3">
      <c r="A6565" t="s">
        <v>82</v>
      </c>
      <c r="B6565" t="s">
        <v>13003</v>
      </c>
      <c r="C6565" t="s">
        <v>457</v>
      </c>
      <c r="D6565" t="s">
        <v>4710</v>
      </c>
      <c r="E6565" t="s">
        <v>75</v>
      </c>
    </row>
    <row r="6566" spans="1:5" x14ac:dyDescent="0.3">
      <c r="A6566" t="s">
        <v>1339</v>
      </c>
      <c r="B6566" t="s">
        <v>3882</v>
      </c>
      <c r="C6566" t="s">
        <v>4555</v>
      </c>
      <c r="D6566" t="s">
        <v>8337</v>
      </c>
      <c r="E6566" t="s">
        <v>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37D6E-FD76-413B-A8F2-00793675036F}">
  <sheetPr codeName="Sheet11"/>
  <dimension ref="A1:AP1242"/>
  <sheetViews>
    <sheetView showZeros="0" topLeftCell="G1" zoomScale="55" zoomScaleNormal="55" workbookViewId="0">
      <selection activeCell="L8" sqref="L8"/>
    </sheetView>
  </sheetViews>
  <sheetFormatPr defaultRowHeight="14.4" outlineLevelRow="1" outlineLevelCol="1" x14ac:dyDescent="0.3"/>
  <cols>
    <col min="1" max="6" width="0" hidden="1" customWidth="1" outlineLevel="1"/>
    <col min="7" max="7" width="8.88671875" collapsed="1"/>
    <col min="8" max="8" width="31.88671875" bestFit="1" customWidth="1"/>
    <col min="9" max="9" width="14.88671875" customWidth="1"/>
    <col min="11" max="11" width="22" customWidth="1"/>
    <col min="12" max="12" width="16.5546875" customWidth="1"/>
    <col min="13" max="16" width="28.33203125" customWidth="1"/>
    <col min="17" max="18" width="13.88671875" customWidth="1"/>
    <col min="20" max="20" width="21.6640625" customWidth="1"/>
    <col min="21" max="24" width="5" customWidth="1"/>
    <col min="25" max="37" width="5.33203125" customWidth="1"/>
  </cols>
  <sheetData>
    <row r="1" spans="1:38" x14ac:dyDescent="0.3">
      <c r="A1" t="e">
        <f>#REF!</f>
        <v>#REF!</v>
      </c>
      <c r="B1" t="e">
        <f>#REF!</f>
        <v>#REF!</v>
      </c>
      <c r="C1" t="e">
        <f>#REF!</f>
        <v>#REF!</v>
      </c>
      <c r="D1" t="e">
        <f>#REF!</f>
        <v>#REF!</v>
      </c>
      <c r="E1" t="e">
        <f>#REF!</f>
        <v>#REF!</v>
      </c>
      <c r="F1" t="e">
        <f>#REF!</f>
        <v>#REF!</v>
      </c>
    </row>
    <row r="2" spans="1:38" x14ac:dyDescent="0.3">
      <c r="A2" t="e">
        <f>#REF!</f>
        <v>#REF!</v>
      </c>
      <c r="B2" t="e">
        <f>#REF!</f>
        <v>#REF!</v>
      </c>
      <c r="C2" t="e">
        <f>#REF!</f>
        <v>#REF!</v>
      </c>
      <c r="D2" t="e">
        <f>#REF!</f>
        <v>#REF!</v>
      </c>
      <c r="E2" t="e">
        <f>#REF!</f>
        <v>#REF!</v>
      </c>
      <c r="F2" t="e">
        <f>#REF!</f>
        <v>#REF!</v>
      </c>
    </row>
    <row r="3" spans="1:38" x14ac:dyDescent="0.3">
      <c r="A3" t="e">
        <f>#REF!</f>
        <v>#REF!</v>
      </c>
      <c r="B3" t="e">
        <f>#REF!</f>
        <v>#REF!</v>
      </c>
      <c r="C3" t="e">
        <f>#REF!</f>
        <v>#REF!</v>
      </c>
      <c r="D3" t="e">
        <f>#REF!</f>
        <v>#REF!</v>
      </c>
      <c r="E3" t="e">
        <f>#REF!</f>
        <v>#REF!</v>
      </c>
      <c r="F3" t="e">
        <f>#REF!</f>
        <v>#REF!</v>
      </c>
    </row>
    <row r="4" spans="1:38" outlineLevel="1" x14ac:dyDescent="0.3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I4" t="str">
        <f>"OPPORTUNITIES!OPPORTUNITIES_" &amp;UPPER(I6)</f>
        <v>OPPORTUNITIES!OPPORTUNITIES_LASTSTAGECHANGEDAT</v>
      </c>
      <c r="L4" t="str">
        <f>"OPPORTUNITIES!OPPORTUNITIES_" &amp;UPPER(L6)</f>
        <v>OPPORTUNITIES!OPPORTUNITIES_CREATEDAT</v>
      </c>
      <c r="S4" t="str">
        <f>"OPPORTUNITIES!OPPORTUNITIES_" &amp;UPPER(S6)</f>
        <v>OPPORTUNITIES!OPPORTUNITIES_CAMPAIGN</v>
      </c>
      <c r="T4" t="str">
        <f>"OPPORTUNITIES!OPPORTUNITIES_" &amp;UPPER(T6)</f>
        <v>OPPORTUNITIES!OPPORTUNITIES_PRODUCT</v>
      </c>
    </row>
    <row r="5" spans="1:38" x14ac:dyDescent="0.3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U5" s="8" t="s">
        <v>13021</v>
      </c>
      <c r="V5" s="8" t="s">
        <v>13021</v>
      </c>
      <c r="W5" s="8" t="s">
        <v>13021</v>
      </c>
      <c r="X5" s="8" t="s">
        <v>13021</v>
      </c>
      <c r="Y5" s="8" t="s">
        <v>13021</v>
      </c>
      <c r="Z5" s="8" t="s">
        <v>13021</v>
      </c>
      <c r="AA5" s="8" t="s">
        <v>13021</v>
      </c>
      <c r="AB5" s="8" t="s">
        <v>13020</v>
      </c>
      <c r="AC5" s="8" t="s">
        <v>13020</v>
      </c>
      <c r="AD5" s="8" t="s">
        <v>13020</v>
      </c>
      <c r="AE5" s="8" t="s">
        <v>13020</v>
      </c>
      <c r="AF5" s="8" t="s">
        <v>13020</v>
      </c>
      <c r="AG5" s="8" t="s">
        <v>13020</v>
      </c>
      <c r="AH5" s="8" t="s">
        <v>13020</v>
      </c>
      <c r="AI5" s="8" t="s">
        <v>13020</v>
      </c>
      <c r="AJ5" s="8" t="s">
        <v>13020</v>
      </c>
      <c r="AK5" s="8" t="s">
        <v>13020</v>
      </c>
      <c r="AL5" s="8" t="s">
        <v>13020</v>
      </c>
    </row>
    <row r="6" spans="1:38" x14ac:dyDescent="0.3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H6" s="8" t="s">
        <v>13010</v>
      </c>
      <c r="I6" s="8" t="s">
        <v>13008</v>
      </c>
      <c r="K6" s="8" t="s">
        <v>13010</v>
      </c>
      <c r="L6" s="8" t="s">
        <v>737</v>
      </c>
      <c r="M6" s="8" t="s">
        <v>736</v>
      </c>
      <c r="N6" s="8" t="s">
        <v>13022</v>
      </c>
      <c r="O6" s="8" t="s">
        <v>13</v>
      </c>
      <c r="P6" s="8" t="s">
        <v>13007</v>
      </c>
      <c r="S6" s="8" t="s">
        <v>13009</v>
      </c>
      <c r="T6" s="8" t="s">
        <v>655</v>
      </c>
      <c r="U6" s="9" t="s">
        <v>13016</v>
      </c>
      <c r="V6" s="9" t="s">
        <v>13017</v>
      </c>
      <c r="W6" s="9" t="s">
        <v>13018</v>
      </c>
      <c r="X6" s="9" t="s">
        <v>13019</v>
      </c>
      <c r="Y6" s="9" t="s">
        <v>11288</v>
      </c>
      <c r="Z6" s="9" t="s">
        <v>9275</v>
      </c>
      <c r="AA6" s="9" t="s">
        <v>9274</v>
      </c>
      <c r="AB6" s="9" t="s">
        <v>13011</v>
      </c>
      <c r="AC6" s="9" t="s">
        <v>13012</v>
      </c>
      <c r="AD6" s="9" t="s">
        <v>13013</v>
      </c>
      <c r="AE6" s="9" t="s">
        <v>13014</v>
      </c>
      <c r="AF6" s="9" t="s">
        <v>13015</v>
      </c>
      <c r="AG6" s="9" t="s">
        <v>13016</v>
      </c>
      <c r="AH6" s="9" t="s">
        <v>13017</v>
      </c>
      <c r="AI6" s="9" t="s">
        <v>13018</v>
      </c>
      <c r="AJ6" s="9" t="s">
        <v>13019</v>
      </c>
      <c r="AK6" s="9" t="s">
        <v>11288</v>
      </c>
      <c r="AL6" s="9" t="s">
        <v>9275</v>
      </c>
    </row>
    <row r="7" spans="1:38" x14ac:dyDescent="0.3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</row>
    <row r="8" spans="1:38" x14ac:dyDescent="0.3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H8" t="e" cm="1">
        <f t="array" ref="H8">_xlfn._xlws.FILTER([0]!OPPORTUNITIES_NAME,[0]!OPPORTUNITIES_MILESTONE=H6)</f>
        <v>#REF!</v>
      </c>
      <c r="I8" t="e">
        <f ca="1">INDEX(INDIRECT(I$4),MATCH(H8,[0]!OPPORTUNITIES_NAME,0))</f>
        <v>#REF!</v>
      </c>
      <c r="K8" t="e" cm="1">
        <f t="array" ref="K8">_xlfn._xlws.SORT(_xlfn._xlws.FILTER([0]!OPPORTUNITIES_REPORT,[0]!OPPORTUNITIES_CAMPAIGN="NOTSET"),2,-1)</f>
        <v>#REF!</v>
      </c>
      <c r="U8" t="e">
        <f t="shared" ref="U8:X8" ca="1" si="0">COUNTIFS(INDIRECT($L4),U$5&amp;U$6&amp;"-*",INDIRECT($S4),"NOTSET")</f>
        <v>#REF!</v>
      </c>
      <c r="V8" t="e">
        <f t="shared" ca="1" si="0"/>
        <v>#REF!</v>
      </c>
      <c r="W8" t="e">
        <f t="shared" ca="1" si="0"/>
        <v>#REF!</v>
      </c>
      <c r="X8" t="e">
        <f t="shared" ca="1" si="0"/>
        <v>#REF!</v>
      </c>
      <c r="Y8" t="e">
        <f ca="1">COUNTIFS(INDIRECT($L4),Y$5&amp;Y$6&amp;"-*",INDIRECT($S4),"NOTSET")</f>
        <v>#REF!</v>
      </c>
      <c r="Z8" t="e">
        <f t="shared" ref="Z8:AL8" ca="1" si="1">COUNTIFS(INDIRECT($L4),Z5&amp;Z6&amp;"-*",INDIRECT($S4),"NOTSET")</f>
        <v>#REF!</v>
      </c>
      <c r="AA8" t="e">
        <f t="shared" ca="1" si="1"/>
        <v>#REF!</v>
      </c>
      <c r="AB8" t="e">
        <f t="shared" ca="1" si="1"/>
        <v>#REF!</v>
      </c>
      <c r="AC8" t="e">
        <f t="shared" ca="1" si="1"/>
        <v>#REF!</v>
      </c>
      <c r="AD8" t="e">
        <f t="shared" ca="1" si="1"/>
        <v>#REF!</v>
      </c>
      <c r="AE8" t="e">
        <f t="shared" ca="1" si="1"/>
        <v>#REF!</v>
      </c>
      <c r="AF8" t="e">
        <f t="shared" ca="1" si="1"/>
        <v>#REF!</v>
      </c>
      <c r="AG8" t="e">
        <f t="shared" ca="1" si="1"/>
        <v>#REF!</v>
      </c>
      <c r="AH8" t="e">
        <f t="shared" ca="1" si="1"/>
        <v>#REF!</v>
      </c>
      <c r="AI8" t="e">
        <f t="shared" ca="1" si="1"/>
        <v>#REF!</v>
      </c>
      <c r="AJ8" t="e">
        <f t="shared" ca="1" si="1"/>
        <v>#REF!</v>
      </c>
      <c r="AK8" t="e">
        <f t="shared" ca="1" si="1"/>
        <v>#REF!</v>
      </c>
      <c r="AL8" t="e">
        <f t="shared" ca="1" si="1"/>
        <v>#REF!</v>
      </c>
    </row>
    <row r="9" spans="1:38" x14ac:dyDescent="0.3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I9" t="e">
        <f ca="1">INDEX(INDIRECT(I$4),MATCH(H9,[0]!OPPORTUNITIES_NAME,0))</f>
        <v>#REF!</v>
      </c>
      <c r="T9" t="e" cm="1">
        <f t="array" aca="1" ref="T9" ca="1">_xlfn.UNIQUE(INDIRECT(T4))</f>
        <v>#REF!</v>
      </c>
      <c r="U9" t="e">
        <f t="shared" ref="U9:AB21" ca="1" si="2">COUNTIFS(INDIRECT($L$4),U$5&amp;U$6&amp;"-*",INDIRECT($S$4),"NOTSET",INDIRECT($T$4),$T9)</f>
        <v>#REF!</v>
      </c>
      <c r="V9" t="e">
        <f t="shared" ca="1" si="2"/>
        <v>#REF!</v>
      </c>
      <c r="W9" t="e">
        <f t="shared" ca="1" si="2"/>
        <v>#REF!</v>
      </c>
      <c r="X9" t="e">
        <f t="shared" ca="1" si="2"/>
        <v>#REF!</v>
      </c>
      <c r="Y9" t="e">
        <f t="shared" ref="Y9:AL9" ca="1" si="3">COUNTIFS(INDIRECT($L$4),Y$5&amp;Y$6&amp;"-*",INDIRECT($S$4),"NOTSET",INDIRECT($T$4),$T9)</f>
        <v>#REF!</v>
      </c>
      <c r="Z9" t="e">
        <f t="shared" ca="1" si="3"/>
        <v>#REF!</v>
      </c>
      <c r="AA9" t="e">
        <f t="shared" ca="1" si="3"/>
        <v>#REF!</v>
      </c>
      <c r="AB9" t="e">
        <f t="shared" ca="1" si="3"/>
        <v>#REF!</v>
      </c>
      <c r="AC9" t="e">
        <f t="shared" ca="1" si="3"/>
        <v>#REF!</v>
      </c>
      <c r="AD9" t="e">
        <f t="shared" ca="1" si="3"/>
        <v>#REF!</v>
      </c>
      <c r="AE9" t="e">
        <f t="shared" ca="1" si="3"/>
        <v>#REF!</v>
      </c>
      <c r="AF9" t="e">
        <f t="shared" ca="1" si="3"/>
        <v>#REF!</v>
      </c>
      <c r="AG9" t="e">
        <f t="shared" ca="1" si="3"/>
        <v>#REF!</v>
      </c>
      <c r="AH9" t="e">
        <f t="shared" ca="1" si="3"/>
        <v>#REF!</v>
      </c>
      <c r="AI9" t="e">
        <f t="shared" ca="1" si="3"/>
        <v>#REF!</v>
      </c>
      <c r="AJ9" t="e">
        <f t="shared" ca="1" si="3"/>
        <v>#REF!</v>
      </c>
      <c r="AK9" t="e">
        <f t="shared" ca="1" si="3"/>
        <v>#REF!</v>
      </c>
      <c r="AL9" t="e">
        <f t="shared" ca="1" si="3"/>
        <v>#REF!</v>
      </c>
    </row>
    <row r="10" spans="1:38" x14ac:dyDescent="0.3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I10" t="e">
        <f ca="1">INDEX(INDIRECT(I$4),MATCH(H10,[0]!OPPORTUNITIES_NAME,0))</f>
        <v>#REF!</v>
      </c>
      <c r="U10" t="e">
        <f t="shared" ca="1" si="2"/>
        <v>#REF!</v>
      </c>
      <c r="V10" t="e">
        <f t="shared" ca="1" si="2"/>
        <v>#REF!</v>
      </c>
      <c r="W10" t="e">
        <f t="shared" ca="1" si="2"/>
        <v>#REF!</v>
      </c>
      <c r="X10" t="e">
        <f t="shared" ca="1" si="2"/>
        <v>#REF!</v>
      </c>
      <c r="Y10" t="e">
        <f t="shared" ref="Y10:Y20" ca="1" si="4">COUNTIFS(INDIRECT(L$4),Y$5&amp;Y$6&amp;"-*",INDIRECT(S$4),"NOTSET",INDIRECT(T$4),$T10)</f>
        <v>#REF!</v>
      </c>
      <c r="Z10" t="e">
        <f t="shared" ref="Z10:AL21" ca="1" si="5">COUNTIFS(INDIRECT($L$4),Z$5&amp;Z$6&amp;"-*",INDIRECT($S$4),"NOTSET",INDIRECT($T$4),$T10)</f>
        <v>#REF!</v>
      </c>
      <c r="AA10" t="e">
        <f t="shared" ca="1" si="5"/>
        <v>#REF!</v>
      </c>
      <c r="AB10" t="e">
        <f t="shared" ca="1" si="5"/>
        <v>#REF!</v>
      </c>
      <c r="AC10" t="e">
        <f t="shared" ca="1" si="5"/>
        <v>#REF!</v>
      </c>
      <c r="AD10" t="e">
        <f t="shared" ca="1" si="5"/>
        <v>#REF!</v>
      </c>
      <c r="AE10" t="e">
        <f t="shared" ca="1" si="5"/>
        <v>#REF!</v>
      </c>
      <c r="AF10" t="e">
        <f t="shared" ca="1" si="5"/>
        <v>#REF!</v>
      </c>
      <c r="AG10" t="e">
        <f t="shared" ca="1" si="5"/>
        <v>#REF!</v>
      </c>
      <c r="AH10" t="e">
        <f t="shared" ca="1" si="5"/>
        <v>#REF!</v>
      </c>
      <c r="AI10" t="e">
        <f t="shared" ca="1" si="5"/>
        <v>#REF!</v>
      </c>
      <c r="AJ10" t="e">
        <f t="shared" ca="1" si="5"/>
        <v>#REF!</v>
      </c>
      <c r="AK10" t="e">
        <f t="shared" ca="1" si="5"/>
        <v>#REF!</v>
      </c>
      <c r="AL10" t="e">
        <f t="shared" ca="1" si="5"/>
        <v>#REF!</v>
      </c>
    </row>
    <row r="11" spans="1:38" x14ac:dyDescent="0.3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I11" t="e">
        <f ca="1">INDEX(INDIRECT(I$4),MATCH(H11,[0]!OPPORTUNITIES_NAME,0))</f>
        <v>#REF!</v>
      </c>
      <c r="U11" t="e">
        <f t="shared" ca="1" si="2"/>
        <v>#REF!</v>
      </c>
      <c r="V11" t="e">
        <f t="shared" ca="1" si="2"/>
        <v>#REF!</v>
      </c>
      <c r="W11" t="e">
        <f t="shared" ca="1" si="2"/>
        <v>#REF!</v>
      </c>
      <c r="X11" t="e">
        <f t="shared" ca="1" si="2"/>
        <v>#REF!</v>
      </c>
      <c r="Y11" t="e">
        <f t="shared" ca="1" si="4"/>
        <v>#REF!</v>
      </c>
      <c r="Z11" t="e">
        <f t="shared" ca="1" si="5"/>
        <v>#REF!</v>
      </c>
      <c r="AA11" t="e">
        <f t="shared" ca="1" si="5"/>
        <v>#REF!</v>
      </c>
      <c r="AB11" t="e">
        <f t="shared" ca="1" si="5"/>
        <v>#REF!</v>
      </c>
      <c r="AC11" t="e">
        <f t="shared" ca="1" si="5"/>
        <v>#REF!</v>
      </c>
      <c r="AD11" t="e">
        <f t="shared" ca="1" si="5"/>
        <v>#REF!</v>
      </c>
      <c r="AE11" t="e">
        <f t="shared" ca="1" si="5"/>
        <v>#REF!</v>
      </c>
      <c r="AF11" t="e">
        <f t="shared" ca="1" si="5"/>
        <v>#REF!</v>
      </c>
      <c r="AG11" t="e">
        <f t="shared" ca="1" si="5"/>
        <v>#REF!</v>
      </c>
      <c r="AH11" t="e">
        <f t="shared" ca="1" si="5"/>
        <v>#REF!</v>
      </c>
      <c r="AI11" t="e">
        <f t="shared" ca="1" si="5"/>
        <v>#REF!</v>
      </c>
      <c r="AJ11" t="e">
        <f t="shared" ca="1" si="5"/>
        <v>#REF!</v>
      </c>
      <c r="AK11" t="e">
        <f t="shared" ca="1" si="5"/>
        <v>#REF!</v>
      </c>
      <c r="AL11" t="e">
        <f t="shared" ca="1" si="5"/>
        <v>#REF!</v>
      </c>
    </row>
    <row r="12" spans="1:38" x14ac:dyDescent="0.3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I12" t="e">
        <f ca="1">INDEX(INDIRECT(I$4),MATCH(H12,[0]!OPPORTUNITIES_NAME,0))</f>
        <v>#REF!</v>
      </c>
      <c r="U12" t="e">
        <f t="shared" ca="1" si="2"/>
        <v>#REF!</v>
      </c>
      <c r="V12" t="e">
        <f t="shared" ca="1" si="2"/>
        <v>#REF!</v>
      </c>
      <c r="W12" t="e">
        <f t="shared" ca="1" si="2"/>
        <v>#REF!</v>
      </c>
      <c r="X12" t="e">
        <f t="shared" ca="1" si="2"/>
        <v>#REF!</v>
      </c>
      <c r="Y12" t="e">
        <f t="shared" ca="1" si="4"/>
        <v>#REF!</v>
      </c>
      <c r="Z12" t="e">
        <f t="shared" ca="1" si="5"/>
        <v>#REF!</v>
      </c>
      <c r="AA12" t="e">
        <f t="shared" ca="1" si="5"/>
        <v>#REF!</v>
      </c>
      <c r="AB12" t="e">
        <f t="shared" ca="1" si="5"/>
        <v>#REF!</v>
      </c>
      <c r="AC12" t="e">
        <f t="shared" ca="1" si="5"/>
        <v>#REF!</v>
      </c>
      <c r="AD12" t="e">
        <f t="shared" ca="1" si="5"/>
        <v>#REF!</v>
      </c>
      <c r="AE12" t="e">
        <f t="shared" ca="1" si="5"/>
        <v>#REF!</v>
      </c>
      <c r="AF12" t="e">
        <f t="shared" ca="1" si="5"/>
        <v>#REF!</v>
      </c>
      <c r="AG12" t="e">
        <f t="shared" ca="1" si="5"/>
        <v>#REF!</v>
      </c>
      <c r="AH12" t="e">
        <f t="shared" ca="1" si="5"/>
        <v>#REF!</v>
      </c>
      <c r="AI12" t="e">
        <f t="shared" ca="1" si="5"/>
        <v>#REF!</v>
      </c>
      <c r="AJ12" t="e">
        <f t="shared" ca="1" si="5"/>
        <v>#REF!</v>
      </c>
      <c r="AK12" t="e">
        <f t="shared" ca="1" si="5"/>
        <v>#REF!</v>
      </c>
      <c r="AL12" t="e">
        <f t="shared" ca="1" si="5"/>
        <v>#REF!</v>
      </c>
    </row>
    <row r="13" spans="1:38" x14ac:dyDescent="0.3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I13" t="e">
        <f ca="1">INDEX(INDIRECT(I$4),MATCH(H13,[0]!OPPORTUNITIES_NAME,0))</f>
        <v>#REF!</v>
      </c>
      <c r="U13" t="e">
        <f t="shared" ca="1" si="2"/>
        <v>#REF!</v>
      </c>
      <c r="V13" t="e">
        <f t="shared" ca="1" si="2"/>
        <v>#REF!</v>
      </c>
      <c r="W13" t="e">
        <f t="shared" ca="1" si="2"/>
        <v>#REF!</v>
      </c>
      <c r="X13" t="e">
        <f t="shared" ca="1" si="2"/>
        <v>#REF!</v>
      </c>
      <c r="Y13" t="e">
        <f t="shared" ca="1" si="4"/>
        <v>#REF!</v>
      </c>
      <c r="Z13" t="e">
        <f t="shared" ca="1" si="5"/>
        <v>#REF!</v>
      </c>
      <c r="AA13" t="e">
        <f t="shared" ca="1" si="5"/>
        <v>#REF!</v>
      </c>
      <c r="AB13" t="e">
        <f t="shared" ca="1" si="5"/>
        <v>#REF!</v>
      </c>
      <c r="AC13" t="e">
        <f t="shared" ca="1" si="5"/>
        <v>#REF!</v>
      </c>
      <c r="AD13" t="e">
        <f t="shared" ca="1" si="5"/>
        <v>#REF!</v>
      </c>
      <c r="AE13" t="e">
        <f t="shared" ca="1" si="5"/>
        <v>#REF!</v>
      </c>
      <c r="AF13" t="e">
        <f t="shared" ca="1" si="5"/>
        <v>#REF!</v>
      </c>
      <c r="AG13" t="e">
        <f t="shared" ca="1" si="5"/>
        <v>#REF!</v>
      </c>
      <c r="AH13" t="e">
        <f t="shared" ca="1" si="5"/>
        <v>#REF!</v>
      </c>
      <c r="AI13" t="e">
        <f t="shared" ca="1" si="5"/>
        <v>#REF!</v>
      </c>
      <c r="AJ13" t="e">
        <f t="shared" ca="1" si="5"/>
        <v>#REF!</v>
      </c>
      <c r="AK13" t="e">
        <f t="shared" ca="1" si="5"/>
        <v>#REF!</v>
      </c>
      <c r="AL13" t="e">
        <f t="shared" ca="1" si="5"/>
        <v>#REF!</v>
      </c>
    </row>
    <row r="14" spans="1:38" x14ac:dyDescent="0.3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I14" t="e">
        <f ca="1">INDEX(INDIRECT(I$4),MATCH(H14,[0]!OPPORTUNITIES_NAME,0))</f>
        <v>#REF!</v>
      </c>
      <c r="U14" t="e">
        <f t="shared" ca="1" si="2"/>
        <v>#REF!</v>
      </c>
      <c r="V14" t="e">
        <f t="shared" ca="1" si="2"/>
        <v>#REF!</v>
      </c>
      <c r="W14" t="e">
        <f t="shared" ca="1" si="2"/>
        <v>#REF!</v>
      </c>
      <c r="X14" t="e">
        <f t="shared" ca="1" si="2"/>
        <v>#REF!</v>
      </c>
      <c r="Y14" t="e">
        <f t="shared" ca="1" si="2"/>
        <v>#REF!</v>
      </c>
      <c r="Z14" t="e">
        <f t="shared" ca="1" si="2"/>
        <v>#REF!</v>
      </c>
      <c r="AA14" t="e">
        <f t="shared" ca="1" si="2"/>
        <v>#REF!</v>
      </c>
      <c r="AB14" t="e">
        <f t="shared" ca="1" si="2"/>
        <v>#REF!</v>
      </c>
      <c r="AC14" t="e">
        <f t="shared" ca="1" si="5"/>
        <v>#REF!</v>
      </c>
      <c r="AD14" t="e">
        <f t="shared" ca="1" si="5"/>
        <v>#REF!</v>
      </c>
      <c r="AE14" t="e">
        <f t="shared" ca="1" si="5"/>
        <v>#REF!</v>
      </c>
      <c r="AF14" t="e">
        <f t="shared" ca="1" si="5"/>
        <v>#REF!</v>
      </c>
      <c r="AG14" t="e">
        <f t="shared" ca="1" si="5"/>
        <v>#REF!</v>
      </c>
      <c r="AH14" t="e">
        <f t="shared" ca="1" si="5"/>
        <v>#REF!</v>
      </c>
      <c r="AI14" t="e">
        <f t="shared" ca="1" si="5"/>
        <v>#REF!</v>
      </c>
      <c r="AJ14" t="e">
        <f t="shared" ca="1" si="5"/>
        <v>#REF!</v>
      </c>
      <c r="AK14" t="e">
        <f t="shared" ca="1" si="5"/>
        <v>#REF!</v>
      </c>
      <c r="AL14" t="e">
        <f t="shared" ca="1" si="5"/>
        <v>#REF!</v>
      </c>
    </row>
    <row r="15" spans="1:38" x14ac:dyDescent="0.3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I15" t="e">
        <f ca="1">INDEX(INDIRECT(I$4),MATCH(H15,[0]!OPPORTUNITIES_NAME,0))</f>
        <v>#REF!</v>
      </c>
      <c r="U15" t="e">
        <f t="shared" ca="1" si="2"/>
        <v>#REF!</v>
      </c>
      <c r="V15" t="e">
        <f t="shared" ca="1" si="2"/>
        <v>#REF!</v>
      </c>
      <c r="W15" t="e">
        <f t="shared" ca="1" si="2"/>
        <v>#REF!</v>
      </c>
      <c r="X15" t="e">
        <f t="shared" ca="1" si="2"/>
        <v>#REF!</v>
      </c>
      <c r="Y15" t="e">
        <f t="shared" ca="1" si="4"/>
        <v>#REF!</v>
      </c>
      <c r="Z15" t="e">
        <f t="shared" ca="1" si="5"/>
        <v>#REF!</v>
      </c>
      <c r="AA15" t="e">
        <f t="shared" ca="1" si="5"/>
        <v>#REF!</v>
      </c>
      <c r="AB15" t="e">
        <f t="shared" ca="1" si="5"/>
        <v>#REF!</v>
      </c>
      <c r="AC15" t="e">
        <f t="shared" ca="1" si="5"/>
        <v>#REF!</v>
      </c>
      <c r="AD15" t="e">
        <f t="shared" ca="1" si="5"/>
        <v>#REF!</v>
      </c>
      <c r="AE15" t="e">
        <f t="shared" ca="1" si="5"/>
        <v>#REF!</v>
      </c>
      <c r="AF15" t="e">
        <f t="shared" ca="1" si="5"/>
        <v>#REF!</v>
      </c>
      <c r="AG15" t="e">
        <f t="shared" ca="1" si="5"/>
        <v>#REF!</v>
      </c>
      <c r="AH15" t="e">
        <f t="shared" ca="1" si="5"/>
        <v>#REF!</v>
      </c>
      <c r="AI15" t="e">
        <f t="shared" ca="1" si="5"/>
        <v>#REF!</v>
      </c>
      <c r="AJ15" t="e">
        <f t="shared" ca="1" si="5"/>
        <v>#REF!</v>
      </c>
      <c r="AK15" t="e">
        <f t="shared" ca="1" si="5"/>
        <v>#REF!</v>
      </c>
      <c r="AL15" t="e">
        <f t="shared" ca="1" si="5"/>
        <v>#REF!</v>
      </c>
    </row>
    <row r="16" spans="1:38" x14ac:dyDescent="0.3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I16" t="e">
        <f ca="1">INDEX(INDIRECT(I$4),MATCH(H16,[0]!OPPORTUNITIES_NAME,0))</f>
        <v>#REF!</v>
      </c>
      <c r="U16" t="e">
        <f t="shared" ca="1" si="2"/>
        <v>#REF!</v>
      </c>
      <c r="V16" t="e">
        <f t="shared" ca="1" si="2"/>
        <v>#REF!</v>
      </c>
      <c r="W16" t="e">
        <f t="shared" ca="1" si="2"/>
        <v>#REF!</v>
      </c>
      <c r="X16" t="e">
        <f t="shared" ca="1" si="2"/>
        <v>#REF!</v>
      </c>
      <c r="Y16" t="e">
        <f t="shared" ca="1" si="4"/>
        <v>#REF!</v>
      </c>
      <c r="Z16" t="e">
        <f t="shared" ca="1" si="5"/>
        <v>#REF!</v>
      </c>
      <c r="AA16" t="e">
        <f t="shared" ca="1" si="5"/>
        <v>#REF!</v>
      </c>
      <c r="AB16" t="e">
        <f t="shared" ca="1" si="5"/>
        <v>#REF!</v>
      </c>
      <c r="AC16" t="e">
        <f t="shared" ca="1" si="5"/>
        <v>#REF!</v>
      </c>
      <c r="AD16" t="e">
        <f t="shared" ca="1" si="5"/>
        <v>#REF!</v>
      </c>
      <c r="AE16" t="e">
        <f t="shared" ca="1" si="5"/>
        <v>#REF!</v>
      </c>
      <c r="AF16" t="e">
        <f t="shared" ca="1" si="5"/>
        <v>#REF!</v>
      </c>
      <c r="AG16" t="e">
        <f t="shared" ca="1" si="5"/>
        <v>#REF!</v>
      </c>
      <c r="AH16" t="e">
        <f t="shared" ca="1" si="5"/>
        <v>#REF!</v>
      </c>
      <c r="AI16" t="e">
        <f t="shared" ca="1" si="5"/>
        <v>#REF!</v>
      </c>
      <c r="AJ16" t="e">
        <f t="shared" ca="1" si="5"/>
        <v>#REF!</v>
      </c>
      <c r="AK16" t="e">
        <f t="shared" ca="1" si="5"/>
        <v>#REF!</v>
      </c>
      <c r="AL16" t="e">
        <f t="shared" ca="1" si="5"/>
        <v>#REF!</v>
      </c>
    </row>
    <row r="17" spans="1:42" x14ac:dyDescent="0.3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I17" t="e">
        <f ca="1">INDEX(INDIRECT(I$4),MATCH(H17,[0]!OPPORTUNITIES_NAME,0))</f>
        <v>#REF!</v>
      </c>
      <c r="U17" t="e">
        <f t="shared" ca="1" si="2"/>
        <v>#REF!</v>
      </c>
      <c r="V17" t="e">
        <f t="shared" ca="1" si="2"/>
        <v>#REF!</v>
      </c>
      <c r="W17" t="e">
        <f t="shared" ca="1" si="2"/>
        <v>#REF!</v>
      </c>
      <c r="X17" t="e">
        <f t="shared" ca="1" si="2"/>
        <v>#REF!</v>
      </c>
      <c r="Y17" t="e">
        <f t="shared" ca="1" si="4"/>
        <v>#REF!</v>
      </c>
      <c r="Z17" t="e">
        <f t="shared" ca="1" si="5"/>
        <v>#REF!</v>
      </c>
      <c r="AA17" t="e">
        <f t="shared" ca="1" si="5"/>
        <v>#REF!</v>
      </c>
      <c r="AB17" t="e">
        <f t="shared" ca="1" si="5"/>
        <v>#REF!</v>
      </c>
      <c r="AC17" t="e">
        <f t="shared" ca="1" si="5"/>
        <v>#REF!</v>
      </c>
      <c r="AD17" t="e">
        <f t="shared" ca="1" si="5"/>
        <v>#REF!</v>
      </c>
      <c r="AE17" t="e">
        <f t="shared" ca="1" si="5"/>
        <v>#REF!</v>
      </c>
      <c r="AF17" t="e">
        <f t="shared" ca="1" si="5"/>
        <v>#REF!</v>
      </c>
      <c r="AG17" t="e">
        <f t="shared" ca="1" si="5"/>
        <v>#REF!</v>
      </c>
      <c r="AH17" t="e">
        <f t="shared" ca="1" si="5"/>
        <v>#REF!</v>
      </c>
      <c r="AI17" t="e">
        <f t="shared" ca="1" si="5"/>
        <v>#REF!</v>
      </c>
      <c r="AJ17" t="e">
        <f t="shared" ca="1" si="5"/>
        <v>#REF!</v>
      </c>
      <c r="AK17" t="e">
        <f t="shared" ca="1" si="5"/>
        <v>#REF!</v>
      </c>
      <c r="AL17" t="e">
        <f t="shared" ca="1" si="5"/>
        <v>#REF!</v>
      </c>
    </row>
    <row r="18" spans="1:42" x14ac:dyDescent="0.3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I18" t="e">
        <f ca="1">INDEX(INDIRECT(I$4),MATCH(H18,[0]!OPPORTUNITIES_NAME,0))</f>
        <v>#REF!</v>
      </c>
      <c r="U18" t="e">
        <f t="shared" ca="1" si="2"/>
        <v>#REF!</v>
      </c>
      <c r="V18" t="e">
        <f t="shared" ca="1" si="2"/>
        <v>#REF!</v>
      </c>
      <c r="W18" t="e">
        <f t="shared" ca="1" si="2"/>
        <v>#REF!</v>
      </c>
      <c r="X18" t="e">
        <f t="shared" ca="1" si="2"/>
        <v>#REF!</v>
      </c>
      <c r="Y18" t="e">
        <f t="shared" ca="1" si="4"/>
        <v>#REF!</v>
      </c>
      <c r="Z18" t="e">
        <f t="shared" ca="1" si="5"/>
        <v>#REF!</v>
      </c>
      <c r="AA18" t="e">
        <f t="shared" ca="1" si="5"/>
        <v>#REF!</v>
      </c>
      <c r="AB18" t="e">
        <f t="shared" ca="1" si="5"/>
        <v>#REF!</v>
      </c>
      <c r="AC18" t="e">
        <f t="shared" ca="1" si="5"/>
        <v>#REF!</v>
      </c>
      <c r="AD18" t="e">
        <f t="shared" ca="1" si="5"/>
        <v>#REF!</v>
      </c>
      <c r="AE18" t="e">
        <f t="shared" ca="1" si="5"/>
        <v>#REF!</v>
      </c>
      <c r="AF18" t="e">
        <f t="shared" ca="1" si="5"/>
        <v>#REF!</v>
      </c>
      <c r="AG18" t="e">
        <f t="shared" ca="1" si="5"/>
        <v>#REF!</v>
      </c>
      <c r="AH18" t="e">
        <f t="shared" ca="1" si="5"/>
        <v>#REF!</v>
      </c>
      <c r="AI18" t="e">
        <f t="shared" ca="1" si="5"/>
        <v>#REF!</v>
      </c>
      <c r="AJ18" t="e">
        <f t="shared" ca="1" si="5"/>
        <v>#REF!</v>
      </c>
      <c r="AK18" t="e">
        <f t="shared" ca="1" si="5"/>
        <v>#REF!</v>
      </c>
      <c r="AL18" t="e">
        <f t="shared" ca="1" si="5"/>
        <v>#REF!</v>
      </c>
    </row>
    <row r="19" spans="1:42" x14ac:dyDescent="0.3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I19" t="e">
        <f ca="1">INDEX(INDIRECT(I$4),MATCH(H19,[0]!OPPORTUNITIES_NAME,0))</f>
        <v>#REF!</v>
      </c>
      <c r="U19" t="e">
        <f t="shared" ca="1" si="2"/>
        <v>#REF!</v>
      </c>
      <c r="V19" t="e">
        <f t="shared" ca="1" si="2"/>
        <v>#REF!</v>
      </c>
      <c r="W19" t="e">
        <f t="shared" ca="1" si="2"/>
        <v>#REF!</v>
      </c>
      <c r="X19" t="e">
        <f t="shared" ca="1" si="2"/>
        <v>#REF!</v>
      </c>
      <c r="Y19" t="e">
        <f t="shared" ca="1" si="4"/>
        <v>#REF!</v>
      </c>
      <c r="Z19" t="e">
        <f t="shared" ca="1" si="5"/>
        <v>#REF!</v>
      </c>
      <c r="AA19" t="e">
        <f t="shared" ca="1" si="5"/>
        <v>#REF!</v>
      </c>
      <c r="AB19" t="e">
        <f t="shared" ca="1" si="5"/>
        <v>#REF!</v>
      </c>
      <c r="AC19" t="e">
        <f t="shared" ca="1" si="5"/>
        <v>#REF!</v>
      </c>
      <c r="AD19" t="e">
        <f t="shared" ca="1" si="5"/>
        <v>#REF!</v>
      </c>
      <c r="AE19" t="e">
        <f t="shared" ca="1" si="5"/>
        <v>#REF!</v>
      </c>
      <c r="AF19" t="e">
        <f t="shared" ca="1" si="5"/>
        <v>#REF!</v>
      </c>
      <c r="AG19" t="e">
        <f t="shared" ca="1" si="5"/>
        <v>#REF!</v>
      </c>
      <c r="AH19" t="e">
        <f t="shared" ca="1" si="5"/>
        <v>#REF!</v>
      </c>
      <c r="AI19" t="e">
        <f t="shared" ca="1" si="5"/>
        <v>#REF!</v>
      </c>
      <c r="AJ19" t="e">
        <f t="shared" ca="1" si="5"/>
        <v>#REF!</v>
      </c>
      <c r="AK19" t="e">
        <f t="shared" ca="1" si="5"/>
        <v>#REF!</v>
      </c>
      <c r="AL19" t="e">
        <f t="shared" ca="1" si="5"/>
        <v>#REF!</v>
      </c>
    </row>
    <row r="20" spans="1:42" x14ac:dyDescent="0.3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I20" t="e">
        <f ca="1">INDEX(INDIRECT(I$4),MATCH(H20,[0]!OPPORTUNITIES_NAME,0))</f>
        <v>#REF!</v>
      </c>
      <c r="U20" t="e">
        <f t="shared" ca="1" si="2"/>
        <v>#REF!</v>
      </c>
      <c r="V20" t="e">
        <f t="shared" ca="1" si="2"/>
        <v>#REF!</v>
      </c>
      <c r="W20" t="e">
        <f t="shared" ca="1" si="2"/>
        <v>#REF!</v>
      </c>
      <c r="X20" t="e">
        <f t="shared" ca="1" si="2"/>
        <v>#REF!</v>
      </c>
      <c r="Y20" t="e">
        <f t="shared" ca="1" si="4"/>
        <v>#REF!</v>
      </c>
      <c r="Z20" t="e">
        <f t="shared" ca="1" si="5"/>
        <v>#REF!</v>
      </c>
      <c r="AA20" t="e">
        <f t="shared" ca="1" si="5"/>
        <v>#REF!</v>
      </c>
      <c r="AB20" t="e">
        <f t="shared" ca="1" si="5"/>
        <v>#REF!</v>
      </c>
      <c r="AC20" t="e">
        <f t="shared" ca="1" si="5"/>
        <v>#REF!</v>
      </c>
      <c r="AD20" t="e">
        <f t="shared" ca="1" si="5"/>
        <v>#REF!</v>
      </c>
      <c r="AE20" t="e">
        <f t="shared" ca="1" si="5"/>
        <v>#REF!</v>
      </c>
      <c r="AF20" t="e">
        <f t="shared" ca="1" si="5"/>
        <v>#REF!</v>
      </c>
      <c r="AG20" t="e">
        <f t="shared" ca="1" si="5"/>
        <v>#REF!</v>
      </c>
      <c r="AH20" t="e">
        <f t="shared" ca="1" si="5"/>
        <v>#REF!</v>
      </c>
      <c r="AI20" t="e">
        <f t="shared" ca="1" si="5"/>
        <v>#REF!</v>
      </c>
      <c r="AJ20" t="e">
        <f t="shared" ca="1" si="5"/>
        <v>#REF!</v>
      </c>
      <c r="AK20" t="e">
        <f t="shared" ca="1" si="5"/>
        <v>#REF!</v>
      </c>
      <c r="AL20" t="e">
        <f t="shared" ca="1" si="5"/>
        <v>#REF!</v>
      </c>
    </row>
    <row r="21" spans="1:42" x14ac:dyDescent="0.3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I21" t="e">
        <f ca="1">INDEX(INDIRECT(I$4),MATCH(H21,[0]!OPPORTUNITIES_NAME,0))</f>
        <v>#REF!</v>
      </c>
      <c r="U21" t="e">
        <f t="shared" ca="1" si="2"/>
        <v>#REF!</v>
      </c>
      <c r="V21" t="e">
        <f t="shared" ca="1" si="2"/>
        <v>#REF!</v>
      </c>
      <c r="W21" t="e">
        <f t="shared" ca="1" si="2"/>
        <v>#REF!</v>
      </c>
      <c r="X21" t="e">
        <f t="shared" ca="1" si="2"/>
        <v>#REF!</v>
      </c>
      <c r="Y21" t="e">
        <f t="shared" ca="1" si="2"/>
        <v>#REF!</v>
      </c>
      <c r="Z21" t="e">
        <f t="shared" ca="1" si="2"/>
        <v>#REF!</v>
      </c>
      <c r="AA21" t="e">
        <f t="shared" ca="1" si="2"/>
        <v>#REF!</v>
      </c>
      <c r="AB21" t="e">
        <f t="shared" ca="1" si="2"/>
        <v>#REF!</v>
      </c>
      <c r="AC21" t="e">
        <f t="shared" ca="1" si="5"/>
        <v>#REF!</v>
      </c>
      <c r="AD21" t="e">
        <f t="shared" ca="1" si="5"/>
        <v>#REF!</v>
      </c>
      <c r="AE21" t="e">
        <f t="shared" ca="1" si="5"/>
        <v>#REF!</v>
      </c>
      <c r="AF21" t="e">
        <f t="shared" ca="1" si="5"/>
        <v>#REF!</v>
      </c>
      <c r="AG21" t="e">
        <f t="shared" ca="1" si="5"/>
        <v>#REF!</v>
      </c>
      <c r="AH21" t="e">
        <f t="shared" ca="1" si="5"/>
        <v>#REF!</v>
      </c>
      <c r="AI21" t="e">
        <f t="shared" ca="1" si="5"/>
        <v>#REF!</v>
      </c>
      <c r="AJ21" t="e">
        <f t="shared" ca="1" si="5"/>
        <v>#REF!</v>
      </c>
      <c r="AK21" t="e">
        <f t="shared" ca="1" si="5"/>
        <v>#REF!</v>
      </c>
      <c r="AL21" t="e">
        <f t="shared" ca="1" si="5"/>
        <v>#REF!</v>
      </c>
    </row>
    <row r="22" spans="1:42" x14ac:dyDescent="0.3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I22" t="e">
        <f ca="1">INDEX(INDIRECT(I$4),MATCH(H22,[0]!OPPORTUNITIES_NAME,0))</f>
        <v>#REF!</v>
      </c>
      <c r="T22" s="10"/>
      <c r="U22" s="10" t="e">
        <f t="shared" ref="U22:X22" ca="1" si="6">SUM(U9:U21)</f>
        <v>#REF!</v>
      </c>
      <c r="V22" s="10" t="e">
        <f t="shared" ca="1" si="6"/>
        <v>#REF!</v>
      </c>
      <c r="W22" s="10" t="e">
        <f t="shared" ca="1" si="6"/>
        <v>#REF!</v>
      </c>
      <c r="X22" s="10" t="e">
        <f t="shared" ca="1" si="6"/>
        <v>#REF!</v>
      </c>
      <c r="Y22" s="10" t="e">
        <f t="shared" ref="Y22:AB22" ca="1" si="7">SUM(Y9:Y21)</f>
        <v>#REF!</v>
      </c>
      <c r="Z22" s="10" t="e">
        <f t="shared" ca="1" si="7"/>
        <v>#REF!</v>
      </c>
      <c r="AA22" s="10" t="e">
        <f t="shared" ca="1" si="7"/>
        <v>#REF!</v>
      </c>
      <c r="AB22" s="10" t="e">
        <f t="shared" ca="1" si="7"/>
        <v>#REF!</v>
      </c>
      <c r="AC22" s="10" t="e">
        <f ca="1">SUM(AC9:AC21)</f>
        <v>#REF!</v>
      </c>
      <c r="AD22" s="10" t="e">
        <f t="shared" ref="AD22:AP22" ca="1" si="8">SUM(AD9:AD21)</f>
        <v>#REF!</v>
      </c>
      <c r="AE22" s="10" t="e">
        <f t="shared" ca="1" si="8"/>
        <v>#REF!</v>
      </c>
      <c r="AF22" s="10" t="e">
        <f t="shared" ca="1" si="8"/>
        <v>#REF!</v>
      </c>
      <c r="AG22" s="10" t="e">
        <f t="shared" ca="1" si="8"/>
        <v>#REF!</v>
      </c>
      <c r="AH22" s="10" t="e">
        <f t="shared" ca="1" si="8"/>
        <v>#REF!</v>
      </c>
      <c r="AI22" s="10" t="e">
        <f t="shared" ca="1" si="8"/>
        <v>#REF!</v>
      </c>
      <c r="AJ22" s="10" t="e">
        <f t="shared" ca="1" si="8"/>
        <v>#REF!</v>
      </c>
      <c r="AK22" s="10" t="e">
        <f t="shared" ca="1" si="8"/>
        <v>#REF!</v>
      </c>
      <c r="AL22" s="10" t="e">
        <f t="shared" ca="1" si="8"/>
        <v>#REF!</v>
      </c>
      <c r="AM22" s="10">
        <f t="shared" si="8"/>
        <v>0</v>
      </c>
      <c r="AN22" s="10">
        <f t="shared" si="8"/>
        <v>0</v>
      </c>
      <c r="AO22" s="10">
        <f t="shared" si="8"/>
        <v>0</v>
      </c>
      <c r="AP22" s="10">
        <f t="shared" si="8"/>
        <v>0</v>
      </c>
    </row>
    <row r="23" spans="1:42" x14ac:dyDescent="0.3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I23" t="e">
        <f ca="1">INDEX(INDIRECT(I$4),MATCH(H23,[0]!OPPORTUNITIES_NAME,0))</f>
        <v>#REF!</v>
      </c>
    </row>
    <row r="24" spans="1:42" x14ac:dyDescent="0.3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I24" t="e">
        <f ca="1">INDEX(INDIRECT(I$4),MATCH(H24,[0]!OPPORTUNITIES_NAME,0))</f>
        <v>#REF!</v>
      </c>
    </row>
    <row r="25" spans="1:42" x14ac:dyDescent="0.3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I25" t="e">
        <f ca="1">INDEX(INDIRECT(I$4),MATCH(H25,[0]!OPPORTUNITIES_NAME,0))</f>
        <v>#REF!</v>
      </c>
    </row>
    <row r="26" spans="1:42" x14ac:dyDescent="0.3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I26" t="e">
        <f ca="1">INDEX(INDIRECT(I$4),MATCH(H26,[0]!OPPORTUNITIES_NAME,0))</f>
        <v>#REF!</v>
      </c>
    </row>
    <row r="27" spans="1:42" x14ac:dyDescent="0.3">
      <c r="A27" t="e">
        <f>#REF!</f>
        <v>#REF!</v>
      </c>
      <c r="B27" t="e">
        <f>#REF!</f>
        <v>#REF!</v>
      </c>
      <c r="C27" t="e">
        <f>#REF!</f>
        <v>#REF!</v>
      </c>
      <c r="D27" t="e">
        <f>#REF!</f>
        <v>#REF!</v>
      </c>
      <c r="E27" t="e">
        <f>#REF!</f>
        <v>#REF!</v>
      </c>
      <c r="F27" t="e">
        <f>#REF!</f>
        <v>#REF!</v>
      </c>
      <c r="I27" t="e">
        <f ca="1">INDEX(INDIRECT(I$4),MATCH(H27,[0]!OPPORTUNITIES_NAME,0))</f>
        <v>#REF!</v>
      </c>
      <c r="T27" t="str">
        <f>"OPPORTUNITIES!OPPORTUNITIES_" &amp;UPPER(T29)</f>
        <v>OPPORTUNITIES!OPPORTUNITIES_OWNER</v>
      </c>
    </row>
    <row r="28" spans="1:42" x14ac:dyDescent="0.3">
      <c r="A28" t="e">
        <f>#REF!</f>
        <v>#REF!</v>
      </c>
      <c r="B28" t="e">
        <f>#REF!</f>
        <v>#REF!</v>
      </c>
      <c r="C28" t="e">
        <f>#REF!</f>
        <v>#REF!</v>
      </c>
      <c r="D28" t="e">
        <f>#REF!</f>
        <v>#REF!</v>
      </c>
      <c r="E28" t="e">
        <f>#REF!</f>
        <v>#REF!</v>
      </c>
      <c r="F28" t="e">
        <f>#REF!</f>
        <v>#REF!</v>
      </c>
      <c r="I28" t="e">
        <f ca="1">INDEX(INDIRECT(I$4),MATCH(H28,[0]!OPPORTUNITIES_NAME,0))</f>
        <v>#REF!</v>
      </c>
      <c r="U28" s="8" t="s">
        <v>13021</v>
      </c>
      <c r="V28" s="8" t="s">
        <v>13021</v>
      </c>
      <c r="W28" s="8" t="s">
        <v>13021</v>
      </c>
      <c r="X28" s="8" t="s">
        <v>13021</v>
      </c>
      <c r="Y28" s="8" t="s">
        <v>13021</v>
      </c>
      <c r="Z28" s="8" t="s">
        <v>13021</v>
      </c>
      <c r="AA28" s="8" t="s">
        <v>13021</v>
      </c>
      <c r="AB28" s="8" t="s">
        <v>13020</v>
      </c>
      <c r="AC28" s="8" t="s">
        <v>13020</v>
      </c>
      <c r="AD28" s="8" t="s">
        <v>13020</v>
      </c>
      <c r="AE28" s="8" t="s">
        <v>13020</v>
      </c>
      <c r="AF28" s="8" t="s">
        <v>13020</v>
      </c>
      <c r="AG28" s="8" t="s">
        <v>13020</v>
      </c>
      <c r="AH28" s="8" t="s">
        <v>13020</v>
      </c>
      <c r="AI28" s="8" t="s">
        <v>13020</v>
      </c>
      <c r="AJ28" s="8" t="s">
        <v>13020</v>
      </c>
      <c r="AK28" s="8" t="s">
        <v>13020</v>
      </c>
      <c r="AL28" s="8" t="s">
        <v>13020</v>
      </c>
    </row>
    <row r="29" spans="1:42" x14ac:dyDescent="0.3">
      <c r="A29" t="e">
        <f>#REF!</f>
        <v>#REF!</v>
      </c>
      <c r="B29" t="e">
        <f>#REF!</f>
        <v>#REF!</v>
      </c>
      <c r="C29" t="e">
        <f>#REF!</f>
        <v>#REF!</v>
      </c>
      <c r="D29" t="e">
        <f>#REF!</f>
        <v>#REF!</v>
      </c>
      <c r="E29" t="e">
        <f>#REF!</f>
        <v>#REF!</v>
      </c>
      <c r="F29" t="e">
        <f>#REF!</f>
        <v>#REF!</v>
      </c>
      <c r="I29" t="e">
        <f ca="1">INDEX(INDIRECT(I$4),MATCH(H29,[0]!OPPORTUNITIES_NAME,0))</f>
        <v>#REF!</v>
      </c>
      <c r="T29" s="8" t="s">
        <v>474</v>
      </c>
      <c r="U29" s="9" t="s">
        <v>13016</v>
      </c>
      <c r="V29" s="9" t="s">
        <v>13017</v>
      </c>
      <c r="W29" s="9" t="s">
        <v>13018</v>
      </c>
      <c r="X29" s="9" t="s">
        <v>13019</v>
      </c>
      <c r="Y29" s="9" t="s">
        <v>11288</v>
      </c>
      <c r="Z29" s="9" t="s">
        <v>9275</v>
      </c>
      <c r="AA29" s="9" t="s">
        <v>9274</v>
      </c>
      <c r="AB29" s="9" t="s">
        <v>13011</v>
      </c>
      <c r="AC29" s="9" t="s">
        <v>13012</v>
      </c>
      <c r="AD29" s="9" t="s">
        <v>13013</v>
      </c>
      <c r="AE29" s="9" t="s">
        <v>13014</v>
      </c>
      <c r="AF29" s="9" t="s">
        <v>13015</v>
      </c>
      <c r="AG29" s="9" t="s">
        <v>13016</v>
      </c>
      <c r="AH29" s="9" t="s">
        <v>13017</v>
      </c>
      <c r="AI29" s="9" t="s">
        <v>13018</v>
      </c>
      <c r="AJ29" s="9" t="s">
        <v>13019</v>
      </c>
      <c r="AK29" s="9" t="s">
        <v>11288</v>
      </c>
      <c r="AL29" s="9" t="s">
        <v>9275</v>
      </c>
    </row>
    <row r="30" spans="1:42" x14ac:dyDescent="0.3">
      <c r="A30" t="e">
        <f>#REF!</f>
        <v>#REF!</v>
      </c>
      <c r="B30" t="e">
        <f>#REF!</f>
        <v>#REF!</v>
      </c>
      <c r="C30" t="e">
        <f>#REF!</f>
        <v>#REF!</v>
      </c>
      <c r="D30" t="e">
        <f>#REF!</f>
        <v>#REF!</v>
      </c>
      <c r="E30" t="e">
        <f>#REF!</f>
        <v>#REF!</v>
      </c>
      <c r="F30" t="e">
        <f>#REF!</f>
        <v>#REF!</v>
      </c>
      <c r="I30" t="e">
        <f ca="1">INDEX(INDIRECT(I$4),MATCH(H30,[0]!OPPORTUNITIES_NAME,0))</f>
        <v>#REF!</v>
      </c>
    </row>
    <row r="31" spans="1:42" x14ac:dyDescent="0.3">
      <c r="A31" t="e">
        <f>#REF!</f>
        <v>#REF!</v>
      </c>
      <c r="B31" t="e">
        <f>#REF!</f>
        <v>#REF!</v>
      </c>
      <c r="C31" t="e">
        <f>#REF!</f>
        <v>#REF!</v>
      </c>
      <c r="D31" t="e">
        <f>#REF!</f>
        <v>#REF!</v>
      </c>
      <c r="E31" t="e">
        <f>#REF!</f>
        <v>#REF!</v>
      </c>
      <c r="F31" t="e">
        <f>#REF!</f>
        <v>#REF!</v>
      </c>
      <c r="I31" t="e">
        <f ca="1">INDEX(INDIRECT(I$4),MATCH(H31,[0]!OPPORTUNITIES_NAME,0))</f>
        <v>#REF!</v>
      </c>
      <c r="T31" t="e" cm="1">
        <f t="array" aca="1" ref="T31" ca="1">_xlfn.UNIQUE(INDIRECT(T27))</f>
        <v>#REF!</v>
      </c>
      <c r="U31" t="e">
        <f ca="1">COUNTIFS(INDIRECT($L$4),U$5&amp;U$6&amp;"-*",INDIRECT($S$4),"NOTSET",INDIRECT($T$27),$T31)</f>
        <v>#REF!</v>
      </c>
      <c r="V31" t="e">
        <f t="shared" ref="V31:AL35" ca="1" si="9">COUNTIFS(INDIRECT($L$4),V$5&amp;V$6&amp;"-*",INDIRECT($S$4),"NOTSET",INDIRECT($T$27),$T31)</f>
        <v>#REF!</v>
      </c>
      <c r="W31" t="e">
        <f t="shared" ca="1" si="9"/>
        <v>#REF!</v>
      </c>
      <c r="X31" t="e">
        <f t="shared" ca="1" si="9"/>
        <v>#REF!</v>
      </c>
      <c r="Y31" t="e">
        <f t="shared" ca="1" si="9"/>
        <v>#REF!</v>
      </c>
      <c r="Z31" t="e">
        <f t="shared" ca="1" si="9"/>
        <v>#REF!</v>
      </c>
      <c r="AA31" t="e">
        <f t="shared" ca="1" si="9"/>
        <v>#REF!</v>
      </c>
      <c r="AB31" t="e">
        <f t="shared" ca="1" si="9"/>
        <v>#REF!</v>
      </c>
      <c r="AC31" t="e">
        <f t="shared" ca="1" si="9"/>
        <v>#REF!</v>
      </c>
      <c r="AD31" t="e">
        <f t="shared" ca="1" si="9"/>
        <v>#REF!</v>
      </c>
      <c r="AE31" t="e">
        <f t="shared" ca="1" si="9"/>
        <v>#REF!</v>
      </c>
      <c r="AF31" t="e">
        <f t="shared" ca="1" si="9"/>
        <v>#REF!</v>
      </c>
      <c r="AG31" t="e">
        <f t="shared" ca="1" si="9"/>
        <v>#REF!</v>
      </c>
      <c r="AH31" t="e">
        <f t="shared" ca="1" si="9"/>
        <v>#REF!</v>
      </c>
      <c r="AI31" t="e">
        <f t="shared" ca="1" si="9"/>
        <v>#REF!</v>
      </c>
      <c r="AJ31" t="e">
        <f t="shared" ca="1" si="9"/>
        <v>#REF!</v>
      </c>
      <c r="AK31" t="e">
        <f t="shared" ca="1" si="9"/>
        <v>#REF!</v>
      </c>
      <c r="AL31" t="e">
        <f t="shared" ca="1" si="9"/>
        <v>#REF!</v>
      </c>
      <c r="AM31" t="e">
        <f ca="1">SUM(Y31:AL31)</f>
        <v>#REF!</v>
      </c>
    </row>
    <row r="32" spans="1:42" x14ac:dyDescent="0.3">
      <c r="A32" t="e">
        <f>#REF!</f>
        <v>#REF!</v>
      </c>
      <c r="B32" t="e">
        <f>#REF!</f>
        <v>#REF!</v>
      </c>
      <c r="C32" t="e">
        <f>#REF!</f>
        <v>#REF!</v>
      </c>
      <c r="D32" t="e">
        <f>#REF!</f>
        <v>#REF!</v>
      </c>
      <c r="E32" t="e">
        <f>#REF!</f>
        <v>#REF!</v>
      </c>
      <c r="F32" t="e">
        <f>#REF!</f>
        <v>#REF!</v>
      </c>
      <c r="U32" t="e">
        <f t="shared" ref="U32:U35" ca="1" si="10">COUNTIFS(INDIRECT($L$4),U$5&amp;U$6&amp;"-*",INDIRECT($S$4),"NOTSET",INDIRECT($T$27),$T32)</f>
        <v>#REF!</v>
      </c>
      <c r="V32" t="e">
        <f t="shared" ca="1" si="9"/>
        <v>#REF!</v>
      </c>
      <c r="W32" t="e">
        <f t="shared" ca="1" si="9"/>
        <v>#REF!</v>
      </c>
      <c r="X32" t="e">
        <f t="shared" ca="1" si="9"/>
        <v>#REF!</v>
      </c>
      <c r="Y32" t="e">
        <f t="shared" ca="1" si="9"/>
        <v>#REF!</v>
      </c>
      <c r="Z32" t="e">
        <f t="shared" ca="1" si="9"/>
        <v>#REF!</v>
      </c>
      <c r="AA32" t="e">
        <f t="shared" ca="1" si="9"/>
        <v>#REF!</v>
      </c>
      <c r="AB32" t="e">
        <f t="shared" ca="1" si="9"/>
        <v>#REF!</v>
      </c>
      <c r="AC32" t="e">
        <f t="shared" ca="1" si="9"/>
        <v>#REF!</v>
      </c>
      <c r="AD32" t="e">
        <f t="shared" ca="1" si="9"/>
        <v>#REF!</v>
      </c>
      <c r="AE32" t="e">
        <f t="shared" ca="1" si="9"/>
        <v>#REF!</v>
      </c>
      <c r="AF32" t="e">
        <f t="shared" ca="1" si="9"/>
        <v>#REF!</v>
      </c>
      <c r="AG32" t="e">
        <f t="shared" ca="1" si="9"/>
        <v>#REF!</v>
      </c>
      <c r="AH32" t="e">
        <f t="shared" ca="1" si="9"/>
        <v>#REF!</v>
      </c>
      <c r="AI32" t="e">
        <f t="shared" ca="1" si="9"/>
        <v>#REF!</v>
      </c>
      <c r="AJ32" t="e">
        <f t="shared" ca="1" si="9"/>
        <v>#REF!</v>
      </c>
      <c r="AK32" t="e">
        <f t="shared" ca="1" si="9"/>
        <v>#REF!</v>
      </c>
      <c r="AL32" t="e">
        <f t="shared" ca="1" si="9"/>
        <v>#REF!</v>
      </c>
      <c r="AM32" t="e">
        <f ca="1">SUM(Y32:AL32)</f>
        <v>#REF!</v>
      </c>
    </row>
    <row r="33" spans="1:39" x14ac:dyDescent="0.3">
      <c r="A33" t="e">
        <f>#REF!</f>
        <v>#REF!</v>
      </c>
      <c r="B33" t="e">
        <f>#REF!</f>
        <v>#REF!</v>
      </c>
      <c r="C33" t="e">
        <f>#REF!</f>
        <v>#REF!</v>
      </c>
      <c r="D33" t="e">
        <f>#REF!</f>
        <v>#REF!</v>
      </c>
      <c r="E33" t="e">
        <f>#REF!</f>
        <v>#REF!</v>
      </c>
      <c r="F33" t="e">
        <f>#REF!</f>
        <v>#REF!</v>
      </c>
      <c r="U33" t="e">
        <f t="shared" ca="1" si="10"/>
        <v>#REF!</v>
      </c>
      <c r="V33" t="e">
        <f t="shared" ca="1" si="9"/>
        <v>#REF!</v>
      </c>
      <c r="W33" t="e">
        <f t="shared" ca="1" si="9"/>
        <v>#REF!</v>
      </c>
      <c r="X33" t="e">
        <f t="shared" ca="1" si="9"/>
        <v>#REF!</v>
      </c>
      <c r="Y33" t="e">
        <f t="shared" ca="1" si="9"/>
        <v>#REF!</v>
      </c>
      <c r="Z33" t="e">
        <f t="shared" ca="1" si="9"/>
        <v>#REF!</v>
      </c>
      <c r="AA33" t="e">
        <f t="shared" ca="1" si="9"/>
        <v>#REF!</v>
      </c>
      <c r="AB33" t="e">
        <f t="shared" ca="1" si="9"/>
        <v>#REF!</v>
      </c>
      <c r="AC33" t="e">
        <f t="shared" ca="1" si="9"/>
        <v>#REF!</v>
      </c>
      <c r="AD33" t="e">
        <f t="shared" ca="1" si="9"/>
        <v>#REF!</v>
      </c>
      <c r="AE33" t="e">
        <f t="shared" ca="1" si="9"/>
        <v>#REF!</v>
      </c>
      <c r="AF33" t="e">
        <f t="shared" ca="1" si="9"/>
        <v>#REF!</v>
      </c>
      <c r="AG33" t="e">
        <f t="shared" ca="1" si="9"/>
        <v>#REF!</v>
      </c>
      <c r="AH33" t="e">
        <f t="shared" ca="1" si="9"/>
        <v>#REF!</v>
      </c>
      <c r="AI33" t="e">
        <f t="shared" ca="1" si="9"/>
        <v>#REF!</v>
      </c>
      <c r="AJ33" t="e">
        <f t="shared" ca="1" si="9"/>
        <v>#REF!</v>
      </c>
      <c r="AK33" t="e">
        <f t="shared" ca="1" si="9"/>
        <v>#REF!</v>
      </c>
      <c r="AL33" t="e">
        <f t="shared" ca="1" si="9"/>
        <v>#REF!</v>
      </c>
      <c r="AM33" t="e">
        <f ca="1">SUM(Y33:AL33)</f>
        <v>#REF!</v>
      </c>
    </row>
    <row r="34" spans="1:39" x14ac:dyDescent="0.3">
      <c r="A34" t="e">
        <f>#REF!</f>
        <v>#REF!</v>
      </c>
      <c r="B34" t="e">
        <f>#REF!</f>
        <v>#REF!</v>
      </c>
      <c r="C34" t="e">
        <f>#REF!</f>
        <v>#REF!</v>
      </c>
      <c r="D34" t="e">
        <f>#REF!</f>
        <v>#REF!</v>
      </c>
      <c r="E34" t="e">
        <f>#REF!</f>
        <v>#REF!</v>
      </c>
      <c r="F34" t="e">
        <f>#REF!</f>
        <v>#REF!</v>
      </c>
      <c r="U34" t="e">
        <f t="shared" ca="1" si="10"/>
        <v>#REF!</v>
      </c>
      <c r="V34" t="e">
        <f t="shared" ca="1" si="9"/>
        <v>#REF!</v>
      </c>
      <c r="W34" t="e">
        <f t="shared" ca="1" si="9"/>
        <v>#REF!</v>
      </c>
      <c r="X34" t="e">
        <f t="shared" ca="1" si="9"/>
        <v>#REF!</v>
      </c>
      <c r="Y34" t="e">
        <f t="shared" ca="1" si="9"/>
        <v>#REF!</v>
      </c>
      <c r="Z34" t="e">
        <f t="shared" ca="1" si="9"/>
        <v>#REF!</v>
      </c>
      <c r="AA34" t="e">
        <f t="shared" ca="1" si="9"/>
        <v>#REF!</v>
      </c>
      <c r="AB34" t="e">
        <f t="shared" ca="1" si="9"/>
        <v>#REF!</v>
      </c>
      <c r="AC34" t="e">
        <f t="shared" ca="1" si="9"/>
        <v>#REF!</v>
      </c>
      <c r="AD34" t="e">
        <f t="shared" ca="1" si="9"/>
        <v>#REF!</v>
      </c>
      <c r="AE34" t="e">
        <f t="shared" ca="1" si="9"/>
        <v>#REF!</v>
      </c>
      <c r="AF34" t="e">
        <f t="shared" ca="1" si="9"/>
        <v>#REF!</v>
      </c>
      <c r="AG34" t="e">
        <f t="shared" ca="1" si="9"/>
        <v>#REF!</v>
      </c>
      <c r="AH34" t="e">
        <f t="shared" ca="1" si="9"/>
        <v>#REF!</v>
      </c>
      <c r="AI34" t="e">
        <f t="shared" ca="1" si="9"/>
        <v>#REF!</v>
      </c>
      <c r="AJ34" t="e">
        <f t="shared" ca="1" si="9"/>
        <v>#REF!</v>
      </c>
      <c r="AK34" t="e">
        <f t="shared" ca="1" si="9"/>
        <v>#REF!</v>
      </c>
      <c r="AL34" t="e">
        <f t="shared" ca="1" si="9"/>
        <v>#REF!</v>
      </c>
      <c r="AM34" t="e">
        <f ca="1">SUM(Y34:AL34)</f>
        <v>#REF!</v>
      </c>
    </row>
    <row r="35" spans="1:39" x14ac:dyDescent="0.3">
      <c r="A35" t="e">
        <f>#REF!</f>
        <v>#REF!</v>
      </c>
      <c r="B35" t="e">
        <f>#REF!</f>
        <v>#REF!</v>
      </c>
      <c r="C35" t="e">
        <f>#REF!</f>
        <v>#REF!</v>
      </c>
      <c r="D35" t="e">
        <f>#REF!</f>
        <v>#REF!</v>
      </c>
      <c r="E35" t="e">
        <f>#REF!</f>
        <v>#REF!</v>
      </c>
      <c r="F35" t="e">
        <f>#REF!</f>
        <v>#REF!</v>
      </c>
      <c r="T35" s="10"/>
      <c r="U35" t="e">
        <f t="shared" ca="1" si="10"/>
        <v>#REF!</v>
      </c>
      <c r="V35" t="e">
        <f t="shared" ca="1" si="9"/>
        <v>#REF!</v>
      </c>
      <c r="W35" t="e">
        <f t="shared" ca="1" si="9"/>
        <v>#REF!</v>
      </c>
      <c r="X35" t="e">
        <f t="shared" ca="1" si="9"/>
        <v>#REF!</v>
      </c>
      <c r="Y35" t="e">
        <f t="shared" ca="1" si="9"/>
        <v>#REF!</v>
      </c>
      <c r="Z35" t="e">
        <f t="shared" ca="1" si="9"/>
        <v>#REF!</v>
      </c>
      <c r="AA35" t="e">
        <f t="shared" ca="1" si="9"/>
        <v>#REF!</v>
      </c>
      <c r="AB35" t="e">
        <f t="shared" ca="1" si="9"/>
        <v>#REF!</v>
      </c>
      <c r="AC35" t="e">
        <f t="shared" ca="1" si="9"/>
        <v>#REF!</v>
      </c>
      <c r="AD35" t="e">
        <f t="shared" ca="1" si="9"/>
        <v>#REF!</v>
      </c>
      <c r="AE35" t="e">
        <f t="shared" ca="1" si="9"/>
        <v>#REF!</v>
      </c>
      <c r="AF35" t="e">
        <f t="shared" ca="1" si="9"/>
        <v>#REF!</v>
      </c>
      <c r="AG35" t="e">
        <f t="shared" ca="1" si="9"/>
        <v>#REF!</v>
      </c>
      <c r="AH35" t="e">
        <f t="shared" ca="1" si="9"/>
        <v>#REF!</v>
      </c>
      <c r="AI35" t="e">
        <f t="shared" ca="1" si="9"/>
        <v>#REF!</v>
      </c>
      <c r="AJ35" t="e">
        <f t="shared" ca="1" si="9"/>
        <v>#REF!</v>
      </c>
      <c r="AK35" t="e">
        <f t="shared" ca="1" si="9"/>
        <v>#REF!</v>
      </c>
      <c r="AL35" t="e">
        <f t="shared" ca="1" si="9"/>
        <v>#REF!</v>
      </c>
      <c r="AM35" t="e">
        <f ca="1">SUM(Y35:AL35)</f>
        <v>#REF!</v>
      </c>
    </row>
    <row r="36" spans="1:39" x14ac:dyDescent="0.3">
      <c r="A36" t="e">
        <f>#REF!</f>
        <v>#REF!</v>
      </c>
      <c r="B36" t="e">
        <f>#REF!</f>
        <v>#REF!</v>
      </c>
      <c r="C36" t="e">
        <f>#REF!</f>
        <v>#REF!</v>
      </c>
      <c r="D36" t="e">
        <f>#REF!</f>
        <v>#REF!</v>
      </c>
      <c r="E36" t="e">
        <f>#REF!</f>
        <v>#REF!</v>
      </c>
      <c r="F36" t="e">
        <f>#REF!</f>
        <v>#REF!</v>
      </c>
      <c r="U36" t="e">
        <f ca="1">SUM(U31:U35)</f>
        <v>#REF!</v>
      </c>
      <c r="V36" t="e">
        <f t="shared" ref="V36:AL36" ca="1" si="11">SUM(V31:V35)</f>
        <v>#REF!</v>
      </c>
      <c r="W36" t="e">
        <f t="shared" ca="1" si="11"/>
        <v>#REF!</v>
      </c>
      <c r="X36" t="e">
        <f t="shared" ca="1" si="11"/>
        <v>#REF!</v>
      </c>
      <c r="Y36" t="e">
        <f t="shared" ca="1" si="11"/>
        <v>#REF!</v>
      </c>
      <c r="Z36" t="e">
        <f t="shared" ca="1" si="11"/>
        <v>#REF!</v>
      </c>
      <c r="AA36" t="e">
        <f t="shared" ca="1" si="11"/>
        <v>#REF!</v>
      </c>
      <c r="AB36" t="e">
        <f t="shared" ca="1" si="11"/>
        <v>#REF!</v>
      </c>
      <c r="AC36" t="e">
        <f t="shared" ca="1" si="11"/>
        <v>#REF!</v>
      </c>
      <c r="AD36" t="e">
        <f t="shared" ca="1" si="11"/>
        <v>#REF!</v>
      </c>
      <c r="AE36" t="e">
        <f t="shared" ca="1" si="11"/>
        <v>#REF!</v>
      </c>
      <c r="AF36" t="e">
        <f t="shared" ca="1" si="11"/>
        <v>#REF!</v>
      </c>
      <c r="AG36" t="e">
        <f t="shared" ca="1" si="11"/>
        <v>#REF!</v>
      </c>
      <c r="AH36" t="e">
        <f t="shared" ca="1" si="11"/>
        <v>#REF!</v>
      </c>
      <c r="AI36" t="e">
        <f t="shared" ca="1" si="11"/>
        <v>#REF!</v>
      </c>
      <c r="AJ36" t="e">
        <f t="shared" ca="1" si="11"/>
        <v>#REF!</v>
      </c>
      <c r="AK36" t="e">
        <f t="shared" ca="1" si="11"/>
        <v>#REF!</v>
      </c>
      <c r="AL36" t="e">
        <f t="shared" ca="1" si="11"/>
        <v>#REF!</v>
      </c>
    </row>
    <row r="37" spans="1:39" x14ac:dyDescent="0.3">
      <c r="A37" t="e">
        <f>#REF!</f>
        <v>#REF!</v>
      </c>
      <c r="B37" t="e">
        <f>#REF!</f>
        <v>#REF!</v>
      </c>
      <c r="C37" t="e">
        <f>#REF!</f>
        <v>#REF!</v>
      </c>
      <c r="D37" t="e">
        <f>#REF!</f>
        <v>#REF!</v>
      </c>
      <c r="E37" t="e">
        <f>#REF!</f>
        <v>#REF!</v>
      </c>
      <c r="F37" t="e">
        <f>#REF!</f>
        <v>#REF!</v>
      </c>
    </row>
    <row r="38" spans="1:39" x14ac:dyDescent="0.3">
      <c r="A38" t="e">
        <f>#REF!</f>
        <v>#REF!</v>
      </c>
      <c r="B38" t="e">
        <f>#REF!</f>
        <v>#REF!</v>
      </c>
      <c r="C38" t="e">
        <f>#REF!</f>
        <v>#REF!</v>
      </c>
      <c r="D38" t="e">
        <f>#REF!</f>
        <v>#REF!</v>
      </c>
      <c r="E38" t="e">
        <f>#REF!</f>
        <v>#REF!</v>
      </c>
      <c r="F38" t="e">
        <f>#REF!</f>
        <v>#REF!</v>
      </c>
    </row>
    <row r="39" spans="1:39" x14ac:dyDescent="0.3">
      <c r="A39" t="e">
        <f>#REF!</f>
        <v>#REF!</v>
      </c>
      <c r="B39" t="e">
        <f>#REF!</f>
        <v>#REF!</v>
      </c>
      <c r="C39" t="e">
        <f>#REF!</f>
        <v>#REF!</v>
      </c>
      <c r="D39" t="e">
        <f>#REF!</f>
        <v>#REF!</v>
      </c>
      <c r="E39" t="e">
        <f>#REF!</f>
        <v>#REF!</v>
      </c>
      <c r="F39" t="e">
        <f>#REF!</f>
        <v>#REF!</v>
      </c>
    </row>
    <row r="40" spans="1:39" x14ac:dyDescent="0.3">
      <c r="A40" t="e">
        <f>#REF!</f>
        <v>#REF!</v>
      </c>
      <c r="B40" t="e">
        <f>#REF!</f>
        <v>#REF!</v>
      </c>
      <c r="C40" t="e">
        <f>#REF!</f>
        <v>#REF!</v>
      </c>
      <c r="D40" t="e">
        <f>#REF!</f>
        <v>#REF!</v>
      </c>
      <c r="E40" t="e">
        <f>#REF!</f>
        <v>#REF!</v>
      </c>
      <c r="F40" t="e">
        <f>#REF!</f>
        <v>#REF!</v>
      </c>
    </row>
    <row r="41" spans="1:39" x14ac:dyDescent="0.3">
      <c r="A41" t="e">
        <f>#REF!</f>
        <v>#REF!</v>
      </c>
      <c r="B41" t="e">
        <f>#REF!</f>
        <v>#REF!</v>
      </c>
      <c r="C41" t="e">
        <f>#REF!</f>
        <v>#REF!</v>
      </c>
      <c r="D41" t="e">
        <f>#REF!</f>
        <v>#REF!</v>
      </c>
      <c r="E41" t="e">
        <f>#REF!</f>
        <v>#REF!</v>
      </c>
      <c r="F41" t="e">
        <f>#REF!</f>
        <v>#REF!</v>
      </c>
    </row>
    <row r="42" spans="1:39" x14ac:dyDescent="0.3">
      <c r="A42" t="e">
        <f>#REF!</f>
        <v>#REF!</v>
      </c>
      <c r="B42" t="e">
        <f>#REF!</f>
        <v>#REF!</v>
      </c>
      <c r="C42" t="e">
        <f>#REF!</f>
        <v>#REF!</v>
      </c>
      <c r="D42" t="e">
        <f>#REF!</f>
        <v>#REF!</v>
      </c>
      <c r="E42" t="e">
        <f>#REF!</f>
        <v>#REF!</v>
      </c>
      <c r="F42" t="e">
        <f>#REF!</f>
        <v>#REF!</v>
      </c>
    </row>
    <row r="43" spans="1:39" x14ac:dyDescent="0.3">
      <c r="A43" t="e">
        <f>#REF!</f>
        <v>#REF!</v>
      </c>
      <c r="B43" t="e">
        <f>#REF!</f>
        <v>#REF!</v>
      </c>
      <c r="C43" t="e">
        <f>#REF!</f>
        <v>#REF!</v>
      </c>
      <c r="D43" t="e">
        <f>#REF!</f>
        <v>#REF!</v>
      </c>
      <c r="E43" t="e">
        <f>#REF!</f>
        <v>#REF!</v>
      </c>
      <c r="F43" t="e">
        <f>#REF!</f>
        <v>#REF!</v>
      </c>
    </row>
    <row r="44" spans="1:39" x14ac:dyDescent="0.3">
      <c r="A44" t="e">
        <f>#REF!</f>
        <v>#REF!</v>
      </c>
      <c r="B44" t="e">
        <f>#REF!</f>
        <v>#REF!</v>
      </c>
      <c r="C44" t="e">
        <f>#REF!</f>
        <v>#REF!</v>
      </c>
      <c r="D44" t="e">
        <f>#REF!</f>
        <v>#REF!</v>
      </c>
      <c r="E44" t="e">
        <f>#REF!</f>
        <v>#REF!</v>
      </c>
      <c r="F44" t="e">
        <f>#REF!</f>
        <v>#REF!</v>
      </c>
    </row>
    <row r="45" spans="1:39" x14ac:dyDescent="0.3">
      <c r="A45" t="e">
        <f>#REF!</f>
        <v>#REF!</v>
      </c>
      <c r="B45" t="e">
        <f>#REF!</f>
        <v>#REF!</v>
      </c>
      <c r="C45" t="e">
        <f>#REF!</f>
        <v>#REF!</v>
      </c>
      <c r="D45" t="e">
        <f>#REF!</f>
        <v>#REF!</v>
      </c>
      <c r="E45" t="e">
        <f>#REF!</f>
        <v>#REF!</v>
      </c>
      <c r="F45" t="e">
        <f>#REF!</f>
        <v>#REF!</v>
      </c>
    </row>
    <row r="46" spans="1:39" x14ac:dyDescent="0.3">
      <c r="A46" t="e">
        <f>#REF!</f>
        <v>#REF!</v>
      </c>
      <c r="B46" t="e">
        <f>#REF!</f>
        <v>#REF!</v>
      </c>
      <c r="C46" t="e">
        <f>#REF!</f>
        <v>#REF!</v>
      </c>
      <c r="D46" t="e">
        <f>#REF!</f>
        <v>#REF!</v>
      </c>
      <c r="E46" t="e">
        <f>#REF!</f>
        <v>#REF!</v>
      </c>
      <c r="F46" t="e">
        <f>#REF!</f>
        <v>#REF!</v>
      </c>
    </row>
    <row r="47" spans="1:39" x14ac:dyDescent="0.3">
      <c r="A47" t="e">
        <f>#REF!</f>
        <v>#REF!</v>
      </c>
      <c r="B47" t="e">
        <f>#REF!</f>
        <v>#REF!</v>
      </c>
      <c r="C47" t="e">
        <f>#REF!</f>
        <v>#REF!</v>
      </c>
      <c r="D47" t="e">
        <f>#REF!</f>
        <v>#REF!</v>
      </c>
      <c r="E47" t="e">
        <f>#REF!</f>
        <v>#REF!</v>
      </c>
      <c r="F47" t="e">
        <f>#REF!</f>
        <v>#REF!</v>
      </c>
    </row>
    <row r="48" spans="1:39" x14ac:dyDescent="0.3">
      <c r="A48" t="e">
        <f>#REF!</f>
        <v>#REF!</v>
      </c>
      <c r="B48" t="e">
        <f>#REF!</f>
        <v>#REF!</v>
      </c>
      <c r="C48" t="e">
        <f>#REF!</f>
        <v>#REF!</v>
      </c>
      <c r="D48" t="e">
        <f>#REF!</f>
        <v>#REF!</v>
      </c>
      <c r="E48" t="e">
        <f>#REF!</f>
        <v>#REF!</v>
      </c>
      <c r="F48" t="e">
        <f>#REF!</f>
        <v>#REF!</v>
      </c>
    </row>
    <row r="49" spans="1:6" x14ac:dyDescent="0.3">
      <c r="A49" t="e">
        <f>#REF!</f>
        <v>#REF!</v>
      </c>
      <c r="B49" t="e">
        <f>#REF!</f>
        <v>#REF!</v>
      </c>
      <c r="C49" t="e">
        <f>#REF!</f>
        <v>#REF!</v>
      </c>
      <c r="D49" t="e">
        <f>#REF!</f>
        <v>#REF!</v>
      </c>
      <c r="E49" t="e">
        <f>#REF!</f>
        <v>#REF!</v>
      </c>
      <c r="F49" t="e">
        <f>#REF!</f>
        <v>#REF!</v>
      </c>
    </row>
    <row r="50" spans="1:6" x14ac:dyDescent="0.3">
      <c r="A50" t="e">
        <f>#REF!</f>
        <v>#REF!</v>
      </c>
      <c r="B50" t="e">
        <f>#REF!</f>
        <v>#REF!</v>
      </c>
      <c r="C50" t="e">
        <f>#REF!</f>
        <v>#REF!</v>
      </c>
      <c r="D50" t="e">
        <f>#REF!</f>
        <v>#REF!</v>
      </c>
      <c r="E50" t="e">
        <f>#REF!</f>
        <v>#REF!</v>
      </c>
      <c r="F50" t="e">
        <f>#REF!</f>
        <v>#REF!</v>
      </c>
    </row>
    <row r="51" spans="1:6" x14ac:dyDescent="0.3">
      <c r="A51" t="e">
        <f>#REF!</f>
        <v>#REF!</v>
      </c>
      <c r="B51" t="e">
        <f>#REF!</f>
        <v>#REF!</v>
      </c>
      <c r="C51" t="e">
        <f>#REF!</f>
        <v>#REF!</v>
      </c>
      <c r="D51" t="e">
        <f>#REF!</f>
        <v>#REF!</v>
      </c>
      <c r="E51" t="e">
        <f>#REF!</f>
        <v>#REF!</v>
      </c>
      <c r="F51" t="e">
        <f>#REF!</f>
        <v>#REF!</v>
      </c>
    </row>
    <row r="52" spans="1:6" x14ac:dyDescent="0.3">
      <c r="A52" t="e">
        <f>#REF!</f>
        <v>#REF!</v>
      </c>
      <c r="B52" t="e">
        <f>#REF!</f>
        <v>#REF!</v>
      </c>
      <c r="C52" t="e">
        <f>#REF!</f>
        <v>#REF!</v>
      </c>
      <c r="D52" t="e">
        <f>#REF!</f>
        <v>#REF!</v>
      </c>
      <c r="E52" t="e">
        <f>#REF!</f>
        <v>#REF!</v>
      </c>
      <c r="F52" t="e">
        <f>#REF!</f>
        <v>#REF!</v>
      </c>
    </row>
    <row r="53" spans="1:6" x14ac:dyDescent="0.3">
      <c r="A53" t="e">
        <f>#REF!</f>
        <v>#REF!</v>
      </c>
      <c r="B53" t="e">
        <f>#REF!</f>
        <v>#REF!</v>
      </c>
      <c r="C53" t="e">
        <f>#REF!</f>
        <v>#REF!</v>
      </c>
      <c r="D53" t="e">
        <f>#REF!</f>
        <v>#REF!</v>
      </c>
      <c r="E53" t="e">
        <f>#REF!</f>
        <v>#REF!</v>
      </c>
      <c r="F53" t="e">
        <f>#REF!</f>
        <v>#REF!</v>
      </c>
    </row>
    <row r="54" spans="1:6" x14ac:dyDescent="0.3">
      <c r="A54" t="e">
        <f>#REF!</f>
        <v>#REF!</v>
      </c>
      <c r="B54" t="e">
        <f>#REF!</f>
        <v>#REF!</v>
      </c>
      <c r="C54" t="e">
        <f>#REF!</f>
        <v>#REF!</v>
      </c>
      <c r="D54" t="e">
        <f>#REF!</f>
        <v>#REF!</v>
      </c>
      <c r="E54" t="e">
        <f>#REF!</f>
        <v>#REF!</v>
      </c>
      <c r="F54" t="e">
        <f>#REF!</f>
        <v>#REF!</v>
      </c>
    </row>
    <row r="55" spans="1:6" x14ac:dyDescent="0.3">
      <c r="A55" t="e">
        <f>#REF!</f>
        <v>#REF!</v>
      </c>
      <c r="B55" t="e">
        <f>#REF!</f>
        <v>#REF!</v>
      </c>
      <c r="C55" t="e">
        <f>#REF!</f>
        <v>#REF!</v>
      </c>
      <c r="D55" t="e">
        <f>#REF!</f>
        <v>#REF!</v>
      </c>
      <c r="E55" t="e">
        <f>#REF!</f>
        <v>#REF!</v>
      </c>
      <c r="F55" t="e">
        <f>#REF!</f>
        <v>#REF!</v>
      </c>
    </row>
    <row r="56" spans="1:6" x14ac:dyDescent="0.3">
      <c r="A56" t="e">
        <f>#REF!</f>
        <v>#REF!</v>
      </c>
      <c r="B56" t="e">
        <f>#REF!</f>
        <v>#REF!</v>
      </c>
      <c r="C56" t="e">
        <f>#REF!</f>
        <v>#REF!</v>
      </c>
      <c r="D56" t="e">
        <f>#REF!</f>
        <v>#REF!</v>
      </c>
      <c r="E56" t="e">
        <f>#REF!</f>
        <v>#REF!</v>
      </c>
      <c r="F56" t="e">
        <f>#REF!</f>
        <v>#REF!</v>
      </c>
    </row>
    <row r="57" spans="1:6" x14ac:dyDescent="0.3">
      <c r="A57" t="e">
        <f>#REF!</f>
        <v>#REF!</v>
      </c>
      <c r="B57" t="e">
        <f>#REF!</f>
        <v>#REF!</v>
      </c>
      <c r="C57" t="e">
        <f>#REF!</f>
        <v>#REF!</v>
      </c>
      <c r="D57" t="e">
        <f>#REF!</f>
        <v>#REF!</v>
      </c>
      <c r="E57" t="e">
        <f>#REF!</f>
        <v>#REF!</v>
      </c>
      <c r="F57" t="e">
        <f>#REF!</f>
        <v>#REF!</v>
      </c>
    </row>
    <row r="58" spans="1:6" x14ac:dyDescent="0.3">
      <c r="A58" t="e">
        <f>#REF!</f>
        <v>#REF!</v>
      </c>
      <c r="B58" t="e">
        <f>#REF!</f>
        <v>#REF!</v>
      </c>
      <c r="C58" t="e">
        <f>#REF!</f>
        <v>#REF!</v>
      </c>
      <c r="D58" t="e">
        <f>#REF!</f>
        <v>#REF!</v>
      </c>
      <c r="E58" t="e">
        <f>#REF!</f>
        <v>#REF!</v>
      </c>
      <c r="F58" t="e">
        <f>#REF!</f>
        <v>#REF!</v>
      </c>
    </row>
    <row r="59" spans="1:6" x14ac:dyDescent="0.3">
      <c r="A59" t="e">
        <f>#REF!</f>
        <v>#REF!</v>
      </c>
      <c r="B59" t="e">
        <f>#REF!</f>
        <v>#REF!</v>
      </c>
      <c r="C59" t="e">
        <f>#REF!</f>
        <v>#REF!</v>
      </c>
      <c r="D59" t="e">
        <f>#REF!</f>
        <v>#REF!</v>
      </c>
      <c r="E59" t="e">
        <f>#REF!</f>
        <v>#REF!</v>
      </c>
      <c r="F59" t="e">
        <f>#REF!</f>
        <v>#REF!</v>
      </c>
    </row>
    <row r="60" spans="1:6" x14ac:dyDescent="0.3">
      <c r="A60" t="e">
        <f>#REF!</f>
        <v>#REF!</v>
      </c>
      <c r="B60" t="e">
        <f>#REF!</f>
        <v>#REF!</v>
      </c>
      <c r="C60" t="e">
        <f>#REF!</f>
        <v>#REF!</v>
      </c>
      <c r="D60" t="e">
        <f>#REF!</f>
        <v>#REF!</v>
      </c>
      <c r="E60" t="e">
        <f>#REF!</f>
        <v>#REF!</v>
      </c>
      <c r="F60" t="e">
        <f>#REF!</f>
        <v>#REF!</v>
      </c>
    </row>
    <row r="61" spans="1:6" x14ac:dyDescent="0.3">
      <c r="A61" t="e">
        <f>#REF!</f>
        <v>#REF!</v>
      </c>
      <c r="B61" t="e">
        <f>#REF!</f>
        <v>#REF!</v>
      </c>
      <c r="C61" t="e">
        <f>#REF!</f>
        <v>#REF!</v>
      </c>
      <c r="D61" t="e">
        <f>#REF!</f>
        <v>#REF!</v>
      </c>
      <c r="E61" t="e">
        <f>#REF!</f>
        <v>#REF!</v>
      </c>
      <c r="F61" t="e">
        <f>#REF!</f>
        <v>#REF!</v>
      </c>
    </row>
    <row r="62" spans="1:6" x14ac:dyDescent="0.3">
      <c r="A62" t="e">
        <f>#REF!</f>
        <v>#REF!</v>
      </c>
      <c r="B62" t="e">
        <f>#REF!</f>
        <v>#REF!</v>
      </c>
      <c r="C62" t="e">
        <f>#REF!</f>
        <v>#REF!</v>
      </c>
      <c r="D62" t="e">
        <f>#REF!</f>
        <v>#REF!</v>
      </c>
      <c r="E62" t="e">
        <f>#REF!</f>
        <v>#REF!</v>
      </c>
      <c r="F62" t="e">
        <f>#REF!</f>
        <v>#REF!</v>
      </c>
    </row>
    <row r="63" spans="1:6" x14ac:dyDescent="0.3">
      <c r="A63" t="e">
        <f>#REF!</f>
        <v>#REF!</v>
      </c>
      <c r="B63" t="e">
        <f>#REF!</f>
        <v>#REF!</v>
      </c>
      <c r="C63" t="e">
        <f>#REF!</f>
        <v>#REF!</v>
      </c>
      <c r="D63" t="e">
        <f>#REF!</f>
        <v>#REF!</v>
      </c>
      <c r="E63" t="e">
        <f>#REF!</f>
        <v>#REF!</v>
      </c>
      <c r="F63" t="e">
        <f>#REF!</f>
        <v>#REF!</v>
      </c>
    </row>
    <row r="64" spans="1:6" x14ac:dyDescent="0.3">
      <c r="A64" t="e">
        <f>#REF!</f>
        <v>#REF!</v>
      </c>
      <c r="B64" t="e">
        <f>#REF!</f>
        <v>#REF!</v>
      </c>
      <c r="C64" t="e">
        <f>#REF!</f>
        <v>#REF!</v>
      </c>
      <c r="D64" t="e">
        <f>#REF!</f>
        <v>#REF!</v>
      </c>
      <c r="E64" t="e">
        <f>#REF!</f>
        <v>#REF!</v>
      </c>
      <c r="F64" t="e">
        <f>#REF!</f>
        <v>#REF!</v>
      </c>
    </row>
    <row r="65" spans="1:6" x14ac:dyDescent="0.3">
      <c r="A65" t="e">
        <f>#REF!</f>
        <v>#REF!</v>
      </c>
      <c r="B65" t="e">
        <f>#REF!</f>
        <v>#REF!</v>
      </c>
      <c r="C65" t="e">
        <f>#REF!</f>
        <v>#REF!</v>
      </c>
      <c r="D65" t="e">
        <f>#REF!</f>
        <v>#REF!</v>
      </c>
      <c r="E65" t="e">
        <f>#REF!</f>
        <v>#REF!</v>
      </c>
      <c r="F65" t="e">
        <f>#REF!</f>
        <v>#REF!</v>
      </c>
    </row>
    <row r="66" spans="1:6" x14ac:dyDescent="0.3">
      <c r="A66" t="e">
        <f>#REF!</f>
        <v>#REF!</v>
      </c>
      <c r="B66" t="e">
        <f>#REF!</f>
        <v>#REF!</v>
      </c>
      <c r="C66" t="e">
        <f>#REF!</f>
        <v>#REF!</v>
      </c>
      <c r="D66" t="e">
        <f>#REF!</f>
        <v>#REF!</v>
      </c>
      <c r="E66" t="e">
        <f>#REF!</f>
        <v>#REF!</v>
      </c>
      <c r="F66" t="e">
        <f>#REF!</f>
        <v>#REF!</v>
      </c>
    </row>
    <row r="67" spans="1:6" x14ac:dyDescent="0.3">
      <c r="A67" t="e">
        <f>#REF!</f>
        <v>#REF!</v>
      </c>
      <c r="B67" t="e">
        <f>#REF!</f>
        <v>#REF!</v>
      </c>
      <c r="C67" t="e">
        <f>#REF!</f>
        <v>#REF!</v>
      </c>
      <c r="D67" t="e">
        <f>#REF!</f>
        <v>#REF!</v>
      </c>
      <c r="E67" t="e">
        <f>#REF!</f>
        <v>#REF!</v>
      </c>
      <c r="F67" t="e">
        <f>#REF!</f>
        <v>#REF!</v>
      </c>
    </row>
    <row r="68" spans="1:6" x14ac:dyDescent="0.3">
      <c r="A68" t="e">
        <f>#REF!</f>
        <v>#REF!</v>
      </c>
      <c r="B68" t="e">
        <f>#REF!</f>
        <v>#REF!</v>
      </c>
      <c r="C68" t="e">
        <f>#REF!</f>
        <v>#REF!</v>
      </c>
      <c r="D68" t="e">
        <f>#REF!</f>
        <v>#REF!</v>
      </c>
      <c r="E68" t="e">
        <f>#REF!</f>
        <v>#REF!</v>
      </c>
      <c r="F68" t="e">
        <f>#REF!</f>
        <v>#REF!</v>
      </c>
    </row>
    <row r="69" spans="1:6" x14ac:dyDescent="0.3">
      <c r="A69" t="e">
        <f>#REF!</f>
        <v>#REF!</v>
      </c>
      <c r="B69" t="e">
        <f>#REF!</f>
        <v>#REF!</v>
      </c>
      <c r="C69" t="e">
        <f>#REF!</f>
        <v>#REF!</v>
      </c>
      <c r="D69" t="e">
        <f>#REF!</f>
        <v>#REF!</v>
      </c>
      <c r="E69" t="e">
        <f>#REF!</f>
        <v>#REF!</v>
      </c>
      <c r="F69" t="e">
        <f>#REF!</f>
        <v>#REF!</v>
      </c>
    </row>
    <row r="70" spans="1:6" x14ac:dyDescent="0.3">
      <c r="A70" t="e">
        <f>#REF!</f>
        <v>#REF!</v>
      </c>
      <c r="B70" t="e">
        <f>#REF!</f>
        <v>#REF!</v>
      </c>
      <c r="C70" t="e">
        <f>#REF!</f>
        <v>#REF!</v>
      </c>
      <c r="D70" t="e">
        <f>#REF!</f>
        <v>#REF!</v>
      </c>
      <c r="E70" t="e">
        <f>#REF!</f>
        <v>#REF!</v>
      </c>
      <c r="F70" t="e">
        <f>#REF!</f>
        <v>#REF!</v>
      </c>
    </row>
    <row r="71" spans="1:6" x14ac:dyDescent="0.3">
      <c r="A71" t="e">
        <f>#REF!</f>
        <v>#REF!</v>
      </c>
      <c r="B71" t="e">
        <f>#REF!</f>
        <v>#REF!</v>
      </c>
      <c r="C71" t="e">
        <f>#REF!</f>
        <v>#REF!</v>
      </c>
      <c r="D71" t="e">
        <f>#REF!</f>
        <v>#REF!</v>
      </c>
      <c r="E71" t="e">
        <f>#REF!</f>
        <v>#REF!</v>
      </c>
      <c r="F71" t="e">
        <f>#REF!</f>
        <v>#REF!</v>
      </c>
    </row>
    <row r="72" spans="1:6" x14ac:dyDescent="0.3">
      <c r="A72" t="e">
        <f>#REF!</f>
        <v>#REF!</v>
      </c>
      <c r="B72" t="e">
        <f>#REF!</f>
        <v>#REF!</v>
      </c>
      <c r="C72" t="e">
        <f>#REF!</f>
        <v>#REF!</v>
      </c>
      <c r="D72" t="e">
        <f>#REF!</f>
        <v>#REF!</v>
      </c>
      <c r="E72" t="e">
        <f>#REF!</f>
        <v>#REF!</v>
      </c>
      <c r="F72" t="e">
        <f>#REF!</f>
        <v>#REF!</v>
      </c>
    </row>
    <row r="73" spans="1:6" x14ac:dyDescent="0.3">
      <c r="A73" t="e">
        <f>#REF!</f>
        <v>#REF!</v>
      </c>
      <c r="B73" t="e">
        <f>#REF!</f>
        <v>#REF!</v>
      </c>
      <c r="C73" t="e">
        <f>#REF!</f>
        <v>#REF!</v>
      </c>
      <c r="D73" t="e">
        <f>#REF!</f>
        <v>#REF!</v>
      </c>
      <c r="E73" t="e">
        <f>#REF!</f>
        <v>#REF!</v>
      </c>
      <c r="F73" t="e">
        <f>#REF!</f>
        <v>#REF!</v>
      </c>
    </row>
    <row r="74" spans="1:6" x14ac:dyDescent="0.3">
      <c r="A74" t="e">
        <f>#REF!</f>
        <v>#REF!</v>
      </c>
      <c r="B74" t="e">
        <f>#REF!</f>
        <v>#REF!</v>
      </c>
      <c r="C74" t="e">
        <f>#REF!</f>
        <v>#REF!</v>
      </c>
      <c r="D74" t="e">
        <f>#REF!</f>
        <v>#REF!</v>
      </c>
      <c r="E74" t="e">
        <f>#REF!</f>
        <v>#REF!</v>
      </c>
      <c r="F74" t="e">
        <f>#REF!</f>
        <v>#REF!</v>
      </c>
    </row>
    <row r="75" spans="1:6" x14ac:dyDescent="0.3">
      <c r="A75" t="e">
        <f>#REF!</f>
        <v>#REF!</v>
      </c>
      <c r="B75" t="e">
        <f>#REF!</f>
        <v>#REF!</v>
      </c>
      <c r="C75" t="e">
        <f>#REF!</f>
        <v>#REF!</v>
      </c>
      <c r="D75" t="e">
        <f>#REF!</f>
        <v>#REF!</v>
      </c>
      <c r="E75" t="e">
        <f>#REF!</f>
        <v>#REF!</v>
      </c>
      <c r="F75" t="e">
        <f>#REF!</f>
        <v>#REF!</v>
      </c>
    </row>
    <row r="76" spans="1:6" x14ac:dyDescent="0.3">
      <c r="A76" t="e">
        <f>#REF!</f>
        <v>#REF!</v>
      </c>
      <c r="B76" t="e">
        <f>#REF!</f>
        <v>#REF!</v>
      </c>
      <c r="C76" t="e">
        <f>#REF!</f>
        <v>#REF!</v>
      </c>
      <c r="D76" t="e">
        <f>#REF!</f>
        <v>#REF!</v>
      </c>
      <c r="E76" t="e">
        <f>#REF!</f>
        <v>#REF!</v>
      </c>
      <c r="F76" t="e">
        <f>#REF!</f>
        <v>#REF!</v>
      </c>
    </row>
    <row r="77" spans="1:6" x14ac:dyDescent="0.3">
      <c r="A77" t="e">
        <f>#REF!</f>
        <v>#REF!</v>
      </c>
      <c r="B77" t="e">
        <f>#REF!</f>
        <v>#REF!</v>
      </c>
      <c r="C77" t="e">
        <f>#REF!</f>
        <v>#REF!</v>
      </c>
      <c r="D77" t="e">
        <f>#REF!</f>
        <v>#REF!</v>
      </c>
      <c r="E77" t="e">
        <f>#REF!</f>
        <v>#REF!</v>
      </c>
      <c r="F77" t="e">
        <f>#REF!</f>
        <v>#REF!</v>
      </c>
    </row>
    <row r="78" spans="1:6" x14ac:dyDescent="0.3">
      <c r="A78" t="e">
        <f>#REF!</f>
        <v>#REF!</v>
      </c>
      <c r="B78" t="e">
        <f>#REF!</f>
        <v>#REF!</v>
      </c>
      <c r="C78" t="e">
        <f>#REF!</f>
        <v>#REF!</v>
      </c>
      <c r="D78" t="e">
        <f>#REF!</f>
        <v>#REF!</v>
      </c>
      <c r="E78" t="e">
        <f>#REF!</f>
        <v>#REF!</v>
      </c>
      <c r="F78" t="e">
        <f>#REF!</f>
        <v>#REF!</v>
      </c>
    </row>
    <row r="79" spans="1:6" x14ac:dyDescent="0.3">
      <c r="A79" t="e">
        <f>#REF!</f>
        <v>#REF!</v>
      </c>
      <c r="B79" t="e">
        <f>#REF!</f>
        <v>#REF!</v>
      </c>
      <c r="C79" t="e">
        <f>#REF!</f>
        <v>#REF!</v>
      </c>
      <c r="D79" t="e">
        <f>#REF!</f>
        <v>#REF!</v>
      </c>
      <c r="E79" t="e">
        <f>#REF!</f>
        <v>#REF!</v>
      </c>
      <c r="F79" t="e">
        <f>#REF!</f>
        <v>#REF!</v>
      </c>
    </row>
    <row r="80" spans="1:6" x14ac:dyDescent="0.3">
      <c r="A80" t="e">
        <f>#REF!</f>
        <v>#REF!</v>
      </c>
      <c r="B80" t="e">
        <f>#REF!</f>
        <v>#REF!</v>
      </c>
      <c r="C80" t="e">
        <f>#REF!</f>
        <v>#REF!</v>
      </c>
      <c r="D80" t="e">
        <f>#REF!</f>
        <v>#REF!</v>
      </c>
      <c r="E80" t="e">
        <f>#REF!</f>
        <v>#REF!</v>
      </c>
      <c r="F80" t="e">
        <f>#REF!</f>
        <v>#REF!</v>
      </c>
    </row>
    <row r="81" spans="1:6" x14ac:dyDescent="0.3">
      <c r="A81" t="e">
        <f>#REF!</f>
        <v>#REF!</v>
      </c>
      <c r="B81" t="e">
        <f>#REF!</f>
        <v>#REF!</v>
      </c>
      <c r="C81" t="e">
        <f>#REF!</f>
        <v>#REF!</v>
      </c>
      <c r="D81" t="e">
        <f>#REF!</f>
        <v>#REF!</v>
      </c>
      <c r="E81" t="e">
        <f>#REF!</f>
        <v>#REF!</v>
      </c>
      <c r="F81" t="e">
        <f>#REF!</f>
        <v>#REF!</v>
      </c>
    </row>
    <row r="82" spans="1:6" x14ac:dyDescent="0.3">
      <c r="A82" t="e">
        <f>#REF!</f>
        <v>#REF!</v>
      </c>
      <c r="B82" t="e">
        <f>#REF!</f>
        <v>#REF!</v>
      </c>
      <c r="C82" t="e">
        <f>#REF!</f>
        <v>#REF!</v>
      </c>
      <c r="D82" t="e">
        <f>#REF!</f>
        <v>#REF!</v>
      </c>
      <c r="E82" t="e">
        <f>#REF!</f>
        <v>#REF!</v>
      </c>
      <c r="F82" t="e">
        <f>#REF!</f>
        <v>#REF!</v>
      </c>
    </row>
    <row r="83" spans="1:6" x14ac:dyDescent="0.3">
      <c r="A83" t="e">
        <f>#REF!</f>
        <v>#REF!</v>
      </c>
      <c r="B83" t="e">
        <f>#REF!</f>
        <v>#REF!</v>
      </c>
      <c r="C83" t="e">
        <f>#REF!</f>
        <v>#REF!</v>
      </c>
      <c r="D83" t="e">
        <f>#REF!</f>
        <v>#REF!</v>
      </c>
      <c r="E83" t="e">
        <f>#REF!</f>
        <v>#REF!</v>
      </c>
      <c r="F83" t="e">
        <f>#REF!</f>
        <v>#REF!</v>
      </c>
    </row>
    <row r="84" spans="1:6" x14ac:dyDescent="0.3">
      <c r="A84" t="e">
        <f>#REF!</f>
        <v>#REF!</v>
      </c>
      <c r="B84" t="e">
        <f>#REF!</f>
        <v>#REF!</v>
      </c>
      <c r="C84" t="e">
        <f>#REF!</f>
        <v>#REF!</v>
      </c>
      <c r="D84" t="e">
        <f>#REF!</f>
        <v>#REF!</v>
      </c>
      <c r="E84" t="e">
        <f>#REF!</f>
        <v>#REF!</v>
      </c>
      <c r="F84" t="e">
        <f>#REF!</f>
        <v>#REF!</v>
      </c>
    </row>
    <row r="85" spans="1:6" x14ac:dyDescent="0.3">
      <c r="A85" t="e">
        <f>#REF!</f>
        <v>#REF!</v>
      </c>
      <c r="B85" t="e">
        <f>#REF!</f>
        <v>#REF!</v>
      </c>
      <c r="C85" t="e">
        <f>#REF!</f>
        <v>#REF!</v>
      </c>
      <c r="D85" t="e">
        <f>#REF!</f>
        <v>#REF!</v>
      </c>
      <c r="E85" t="e">
        <f>#REF!</f>
        <v>#REF!</v>
      </c>
      <c r="F85" t="e">
        <f>#REF!</f>
        <v>#REF!</v>
      </c>
    </row>
    <row r="86" spans="1:6" x14ac:dyDescent="0.3">
      <c r="A86" t="e">
        <f>#REF!</f>
        <v>#REF!</v>
      </c>
      <c r="B86" t="e">
        <f>#REF!</f>
        <v>#REF!</v>
      </c>
      <c r="C86" t="e">
        <f>#REF!</f>
        <v>#REF!</v>
      </c>
      <c r="D86" t="e">
        <f>#REF!</f>
        <v>#REF!</v>
      </c>
      <c r="E86" t="e">
        <f>#REF!</f>
        <v>#REF!</v>
      </c>
      <c r="F86" t="e">
        <f>#REF!</f>
        <v>#REF!</v>
      </c>
    </row>
    <row r="87" spans="1:6" x14ac:dyDescent="0.3">
      <c r="A87" t="e">
        <f>#REF!</f>
        <v>#REF!</v>
      </c>
      <c r="B87" t="e">
        <f>#REF!</f>
        <v>#REF!</v>
      </c>
      <c r="C87" t="e">
        <f>#REF!</f>
        <v>#REF!</v>
      </c>
      <c r="D87" t="e">
        <f>#REF!</f>
        <v>#REF!</v>
      </c>
      <c r="E87" t="e">
        <f>#REF!</f>
        <v>#REF!</v>
      </c>
      <c r="F87" t="e">
        <f>#REF!</f>
        <v>#REF!</v>
      </c>
    </row>
    <row r="88" spans="1:6" x14ac:dyDescent="0.3">
      <c r="A88" t="e">
        <f>#REF!</f>
        <v>#REF!</v>
      </c>
      <c r="B88" t="e">
        <f>#REF!</f>
        <v>#REF!</v>
      </c>
      <c r="C88" t="e">
        <f>#REF!</f>
        <v>#REF!</v>
      </c>
      <c r="D88" t="e">
        <f>#REF!</f>
        <v>#REF!</v>
      </c>
      <c r="E88" t="e">
        <f>#REF!</f>
        <v>#REF!</v>
      </c>
      <c r="F88" t="e">
        <f>#REF!</f>
        <v>#REF!</v>
      </c>
    </row>
    <row r="89" spans="1:6" x14ac:dyDescent="0.3">
      <c r="A89" t="e">
        <f>#REF!</f>
        <v>#REF!</v>
      </c>
      <c r="B89" t="e">
        <f>#REF!</f>
        <v>#REF!</v>
      </c>
      <c r="C89" t="e">
        <f>#REF!</f>
        <v>#REF!</v>
      </c>
      <c r="D89" t="e">
        <f>#REF!</f>
        <v>#REF!</v>
      </c>
      <c r="E89" t="e">
        <f>#REF!</f>
        <v>#REF!</v>
      </c>
      <c r="F89" t="e">
        <f>#REF!</f>
        <v>#REF!</v>
      </c>
    </row>
    <row r="90" spans="1:6" x14ac:dyDescent="0.3">
      <c r="A90" t="e">
        <f>#REF!</f>
        <v>#REF!</v>
      </c>
      <c r="B90" t="e">
        <f>#REF!</f>
        <v>#REF!</v>
      </c>
      <c r="C90" t="e">
        <f>#REF!</f>
        <v>#REF!</v>
      </c>
      <c r="D90" t="e">
        <f>#REF!</f>
        <v>#REF!</v>
      </c>
      <c r="E90" t="e">
        <f>#REF!</f>
        <v>#REF!</v>
      </c>
      <c r="F90" t="e">
        <f>#REF!</f>
        <v>#REF!</v>
      </c>
    </row>
    <row r="91" spans="1:6" x14ac:dyDescent="0.3">
      <c r="A91" t="e">
        <f>#REF!</f>
        <v>#REF!</v>
      </c>
      <c r="B91" t="e">
        <f>#REF!</f>
        <v>#REF!</v>
      </c>
      <c r="C91" t="e">
        <f>#REF!</f>
        <v>#REF!</v>
      </c>
      <c r="D91" t="e">
        <f>#REF!</f>
        <v>#REF!</v>
      </c>
      <c r="E91" t="e">
        <f>#REF!</f>
        <v>#REF!</v>
      </c>
      <c r="F91" t="e">
        <f>#REF!</f>
        <v>#REF!</v>
      </c>
    </row>
    <row r="92" spans="1:6" x14ac:dyDescent="0.3">
      <c r="A92" t="e">
        <f>#REF!</f>
        <v>#REF!</v>
      </c>
      <c r="B92" t="e">
        <f>#REF!</f>
        <v>#REF!</v>
      </c>
      <c r="C92" t="e">
        <f>#REF!</f>
        <v>#REF!</v>
      </c>
      <c r="D92" t="e">
        <f>#REF!</f>
        <v>#REF!</v>
      </c>
      <c r="E92" t="e">
        <f>#REF!</f>
        <v>#REF!</v>
      </c>
      <c r="F92" t="e">
        <f>#REF!</f>
        <v>#REF!</v>
      </c>
    </row>
    <row r="93" spans="1:6" x14ac:dyDescent="0.3">
      <c r="A93" t="e">
        <f>#REF!</f>
        <v>#REF!</v>
      </c>
      <c r="B93" t="e">
        <f>#REF!</f>
        <v>#REF!</v>
      </c>
      <c r="C93" t="e">
        <f>#REF!</f>
        <v>#REF!</v>
      </c>
      <c r="D93" t="e">
        <f>#REF!</f>
        <v>#REF!</v>
      </c>
      <c r="E93" t="e">
        <f>#REF!</f>
        <v>#REF!</v>
      </c>
      <c r="F93" t="e">
        <f>#REF!</f>
        <v>#REF!</v>
      </c>
    </row>
    <row r="94" spans="1:6" x14ac:dyDescent="0.3">
      <c r="A94" t="e">
        <f>#REF!</f>
        <v>#REF!</v>
      </c>
      <c r="B94" t="e">
        <f>#REF!</f>
        <v>#REF!</v>
      </c>
      <c r="C94" t="e">
        <f>#REF!</f>
        <v>#REF!</v>
      </c>
      <c r="D94" t="e">
        <f>#REF!</f>
        <v>#REF!</v>
      </c>
      <c r="E94" t="e">
        <f>#REF!</f>
        <v>#REF!</v>
      </c>
      <c r="F94" t="e">
        <f>#REF!</f>
        <v>#REF!</v>
      </c>
    </row>
    <row r="95" spans="1:6" x14ac:dyDescent="0.3">
      <c r="A95" t="e">
        <f>#REF!</f>
        <v>#REF!</v>
      </c>
      <c r="B95" t="e">
        <f>#REF!</f>
        <v>#REF!</v>
      </c>
      <c r="C95" t="e">
        <f>#REF!</f>
        <v>#REF!</v>
      </c>
      <c r="D95" t="e">
        <f>#REF!</f>
        <v>#REF!</v>
      </c>
      <c r="E95" t="e">
        <f>#REF!</f>
        <v>#REF!</v>
      </c>
      <c r="F95" t="e">
        <f>#REF!</f>
        <v>#REF!</v>
      </c>
    </row>
    <row r="96" spans="1:6" x14ac:dyDescent="0.3">
      <c r="A96" t="e">
        <f>#REF!</f>
        <v>#REF!</v>
      </c>
      <c r="B96" t="e">
        <f>#REF!</f>
        <v>#REF!</v>
      </c>
      <c r="C96" t="e">
        <f>#REF!</f>
        <v>#REF!</v>
      </c>
      <c r="D96" t="e">
        <f>#REF!</f>
        <v>#REF!</v>
      </c>
      <c r="E96" t="e">
        <f>#REF!</f>
        <v>#REF!</v>
      </c>
      <c r="F96" t="e">
        <f>#REF!</f>
        <v>#REF!</v>
      </c>
    </row>
    <row r="97" spans="1:6" x14ac:dyDescent="0.3">
      <c r="A97" t="e">
        <f>#REF!</f>
        <v>#REF!</v>
      </c>
      <c r="B97" t="e">
        <f>#REF!</f>
        <v>#REF!</v>
      </c>
      <c r="C97" t="e">
        <f>#REF!</f>
        <v>#REF!</v>
      </c>
      <c r="D97" t="e">
        <f>#REF!</f>
        <v>#REF!</v>
      </c>
      <c r="E97" t="e">
        <f>#REF!</f>
        <v>#REF!</v>
      </c>
      <c r="F97" t="e">
        <f>#REF!</f>
        <v>#REF!</v>
      </c>
    </row>
    <row r="98" spans="1:6" x14ac:dyDescent="0.3">
      <c r="A98" t="e">
        <f>#REF!</f>
        <v>#REF!</v>
      </c>
      <c r="B98" t="e">
        <f>#REF!</f>
        <v>#REF!</v>
      </c>
      <c r="C98" t="e">
        <f>#REF!</f>
        <v>#REF!</v>
      </c>
      <c r="D98" t="e">
        <f>#REF!</f>
        <v>#REF!</v>
      </c>
      <c r="E98" t="e">
        <f>#REF!</f>
        <v>#REF!</v>
      </c>
      <c r="F98" t="e">
        <f>#REF!</f>
        <v>#REF!</v>
      </c>
    </row>
    <row r="99" spans="1:6" x14ac:dyDescent="0.3">
      <c r="A99" t="e">
        <f>#REF!</f>
        <v>#REF!</v>
      </c>
      <c r="B99" t="e">
        <f>#REF!</f>
        <v>#REF!</v>
      </c>
      <c r="C99" t="e">
        <f>#REF!</f>
        <v>#REF!</v>
      </c>
      <c r="D99" t="e">
        <f>#REF!</f>
        <v>#REF!</v>
      </c>
      <c r="E99" t="e">
        <f>#REF!</f>
        <v>#REF!</v>
      </c>
      <c r="F99" t="e">
        <f>#REF!</f>
        <v>#REF!</v>
      </c>
    </row>
    <row r="100" spans="1:6" x14ac:dyDescent="0.3">
      <c r="A100" t="e">
        <f>#REF!</f>
        <v>#REF!</v>
      </c>
      <c r="B100" t="e">
        <f>#REF!</f>
        <v>#REF!</v>
      </c>
      <c r="C100" t="e">
        <f>#REF!</f>
        <v>#REF!</v>
      </c>
      <c r="D100" t="e">
        <f>#REF!</f>
        <v>#REF!</v>
      </c>
      <c r="E100" t="e">
        <f>#REF!</f>
        <v>#REF!</v>
      </c>
      <c r="F100" t="e">
        <f>#REF!</f>
        <v>#REF!</v>
      </c>
    </row>
    <row r="101" spans="1:6" x14ac:dyDescent="0.3">
      <c r="A101" t="e">
        <f>#REF!</f>
        <v>#REF!</v>
      </c>
      <c r="B101" t="e">
        <f>#REF!</f>
        <v>#REF!</v>
      </c>
      <c r="C101" t="e">
        <f>#REF!</f>
        <v>#REF!</v>
      </c>
      <c r="D101" t="e">
        <f>#REF!</f>
        <v>#REF!</v>
      </c>
      <c r="E101" t="e">
        <f>#REF!</f>
        <v>#REF!</v>
      </c>
      <c r="F101" t="e">
        <f>#REF!</f>
        <v>#REF!</v>
      </c>
    </row>
    <row r="102" spans="1:6" x14ac:dyDescent="0.3">
      <c r="A102" t="e">
        <f>#REF!</f>
        <v>#REF!</v>
      </c>
      <c r="B102" t="e">
        <f>#REF!</f>
        <v>#REF!</v>
      </c>
      <c r="C102" t="e">
        <f>#REF!</f>
        <v>#REF!</v>
      </c>
      <c r="D102" t="e">
        <f>#REF!</f>
        <v>#REF!</v>
      </c>
      <c r="E102" t="e">
        <f>#REF!</f>
        <v>#REF!</v>
      </c>
      <c r="F102" t="e">
        <f>#REF!</f>
        <v>#REF!</v>
      </c>
    </row>
    <row r="103" spans="1:6" x14ac:dyDescent="0.3">
      <c r="A103" t="e">
        <f>#REF!</f>
        <v>#REF!</v>
      </c>
      <c r="B103" t="e">
        <f>#REF!</f>
        <v>#REF!</v>
      </c>
      <c r="C103" t="e">
        <f>#REF!</f>
        <v>#REF!</v>
      </c>
      <c r="D103" t="e">
        <f>#REF!</f>
        <v>#REF!</v>
      </c>
      <c r="E103" t="e">
        <f>#REF!</f>
        <v>#REF!</v>
      </c>
      <c r="F103" t="e">
        <f>#REF!</f>
        <v>#REF!</v>
      </c>
    </row>
    <row r="104" spans="1:6" x14ac:dyDescent="0.3">
      <c r="A104" t="e">
        <f>#REF!</f>
        <v>#REF!</v>
      </c>
      <c r="B104" t="e">
        <f>#REF!</f>
        <v>#REF!</v>
      </c>
      <c r="C104" t="e">
        <f>#REF!</f>
        <v>#REF!</v>
      </c>
      <c r="D104" t="e">
        <f>#REF!</f>
        <v>#REF!</v>
      </c>
      <c r="E104" t="e">
        <f>#REF!</f>
        <v>#REF!</v>
      </c>
      <c r="F104" t="e">
        <f>#REF!</f>
        <v>#REF!</v>
      </c>
    </row>
    <row r="105" spans="1:6" x14ac:dyDescent="0.3">
      <c r="A105" t="e">
        <f>#REF!</f>
        <v>#REF!</v>
      </c>
      <c r="B105" t="e">
        <f>#REF!</f>
        <v>#REF!</v>
      </c>
      <c r="C105" t="e">
        <f>#REF!</f>
        <v>#REF!</v>
      </c>
      <c r="D105" t="e">
        <f>#REF!</f>
        <v>#REF!</v>
      </c>
      <c r="E105" t="e">
        <f>#REF!</f>
        <v>#REF!</v>
      </c>
      <c r="F105" t="e">
        <f>#REF!</f>
        <v>#REF!</v>
      </c>
    </row>
    <row r="106" spans="1:6" x14ac:dyDescent="0.3">
      <c r="A106" t="e">
        <f>#REF!</f>
        <v>#REF!</v>
      </c>
      <c r="B106" t="e">
        <f>#REF!</f>
        <v>#REF!</v>
      </c>
      <c r="C106" t="e">
        <f>#REF!</f>
        <v>#REF!</v>
      </c>
      <c r="D106" t="e">
        <f>#REF!</f>
        <v>#REF!</v>
      </c>
      <c r="E106" t="e">
        <f>#REF!</f>
        <v>#REF!</v>
      </c>
      <c r="F106" t="e">
        <f>#REF!</f>
        <v>#REF!</v>
      </c>
    </row>
    <row r="107" spans="1:6" x14ac:dyDescent="0.3">
      <c r="A107" t="e">
        <f>#REF!</f>
        <v>#REF!</v>
      </c>
      <c r="B107" t="e">
        <f>#REF!</f>
        <v>#REF!</v>
      </c>
      <c r="C107" t="e">
        <f>#REF!</f>
        <v>#REF!</v>
      </c>
      <c r="D107" t="e">
        <f>#REF!</f>
        <v>#REF!</v>
      </c>
      <c r="E107" t="e">
        <f>#REF!</f>
        <v>#REF!</v>
      </c>
      <c r="F107" t="e">
        <f>#REF!</f>
        <v>#REF!</v>
      </c>
    </row>
    <row r="108" spans="1:6" x14ac:dyDescent="0.3">
      <c r="A108" t="e">
        <f>#REF!</f>
        <v>#REF!</v>
      </c>
      <c r="B108" t="e">
        <f>#REF!</f>
        <v>#REF!</v>
      </c>
      <c r="C108" t="e">
        <f>#REF!</f>
        <v>#REF!</v>
      </c>
      <c r="D108" t="e">
        <f>#REF!</f>
        <v>#REF!</v>
      </c>
      <c r="E108" t="e">
        <f>#REF!</f>
        <v>#REF!</v>
      </c>
      <c r="F108" t="e">
        <f>#REF!</f>
        <v>#REF!</v>
      </c>
    </row>
    <row r="109" spans="1:6" x14ac:dyDescent="0.3">
      <c r="A109" t="e">
        <f>#REF!</f>
        <v>#REF!</v>
      </c>
      <c r="B109" t="e">
        <f>#REF!</f>
        <v>#REF!</v>
      </c>
      <c r="C109" t="e">
        <f>#REF!</f>
        <v>#REF!</v>
      </c>
      <c r="D109" t="e">
        <f>#REF!</f>
        <v>#REF!</v>
      </c>
      <c r="E109" t="e">
        <f>#REF!</f>
        <v>#REF!</v>
      </c>
      <c r="F109" t="e">
        <f>#REF!</f>
        <v>#REF!</v>
      </c>
    </row>
    <row r="110" spans="1:6" x14ac:dyDescent="0.3">
      <c r="A110" t="e">
        <f>#REF!</f>
        <v>#REF!</v>
      </c>
      <c r="B110" t="e">
        <f>#REF!</f>
        <v>#REF!</v>
      </c>
      <c r="C110" t="e">
        <f>#REF!</f>
        <v>#REF!</v>
      </c>
      <c r="D110" t="e">
        <f>#REF!</f>
        <v>#REF!</v>
      </c>
      <c r="E110" t="e">
        <f>#REF!</f>
        <v>#REF!</v>
      </c>
      <c r="F110" t="e">
        <f>#REF!</f>
        <v>#REF!</v>
      </c>
    </row>
    <row r="111" spans="1:6" x14ac:dyDescent="0.3">
      <c r="A111" t="e">
        <f>#REF!</f>
        <v>#REF!</v>
      </c>
      <c r="B111" t="e">
        <f>#REF!</f>
        <v>#REF!</v>
      </c>
      <c r="C111" t="e">
        <f>#REF!</f>
        <v>#REF!</v>
      </c>
      <c r="D111" t="e">
        <f>#REF!</f>
        <v>#REF!</v>
      </c>
      <c r="E111" t="e">
        <f>#REF!</f>
        <v>#REF!</v>
      </c>
      <c r="F111" t="e">
        <f>#REF!</f>
        <v>#REF!</v>
      </c>
    </row>
    <row r="112" spans="1:6" x14ac:dyDescent="0.3">
      <c r="A112" t="e">
        <f>#REF!</f>
        <v>#REF!</v>
      </c>
      <c r="B112" t="e">
        <f>#REF!</f>
        <v>#REF!</v>
      </c>
      <c r="C112" t="e">
        <f>#REF!</f>
        <v>#REF!</v>
      </c>
      <c r="D112" t="e">
        <f>#REF!</f>
        <v>#REF!</v>
      </c>
      <c r="E112" t="e">
        <f>#REF!</f>
        <v>#REF!</v>
      </c>
      <c r="F112" t="e">
        <f>#REF!</f>
        <v>#REF!</v>
      </c>
    </row>
    <row r="113" spans="1:6" x14ac:dyDescent="0.3">
      <c r="A113" t="e">
        <f>#REF!</f>
        <v>#REF!</v>
      </c>
      <c r="B113" t="e">
        <f>#REF!</f>
        <v>#REF!</v>
      </c>
      <c r="C113" t="e">
        <f>#REF!</f>
        <v>#REF!</v>
      </c>
      <c r="D113" t="e">
        <f>#REF!</f>
        <v>#REF!</v>
      </c>
      <c r="E113" t="e">
        <f>#REF!</f>
        <v>#REF!</v>
      </c>
      <c r="F113" t="e">
        <f>#REF!</f>
        <v>#REF!</v>
      </c>
    </row>
    <row r="114" spans="1:6" x14ac:dyDescent="0.3">
      <c r="A114" t="e">
        <f>#REF!</f>
        <v>#REF!</v>
      </c>
      <c r="B114" t="e">
        <f>#REF!</f>
        <v>#REF!</v>
      </c>
      <c r="C114" t="e">
        <f>#REF!</f>
        <v>#REF!</v>
      </c>
      <c r="D114" t="e">
        <f>#REF!</f>
        <v>#REF!</v>
      </c>
      <c r="E114" t="e">
        <f>#REF!</f>
        <v>#REF!</v>
      </c>
      <c r="F114" t="e">
        <f>#REF!</f>
        <v>#REF!</v>
      </c>
    </row>
    <row r="115" spans="1:6" x14ac:dyDescent="0.3">
      <c r="A115" t="e">
        <f>#REF!</f>
        <v>#REF!</v>
      </c>
      <c r="B115" t="e">
        <f>#REF!</f>
        <v>#REF!</v>
      </c>
      <c r="C115" t="e">
        <f>#REF!</f>
        <v>#REF!</v>
      </c>
      <c r="D115" t="e">
        <f>#REF!</f>
        <v>#REF!</v>
      </c>
      <c r="E115" t="e">
        <f>#REF!</f>
        <v>#REF!</v>
      </c>
      <c r="F115" t="e">
        <f>#REF!</f>
        <v>#REF!</v>
      </c>
    </row>
    <row r="116" spans="1:6" x14ac:dyDescent="0.3">
      <c r="A116" t="e">
        <f>#REF!</f>
        <v>#REF!</v>
      </c>
      <c r="B116" t="e">
        <f>#REF!</f>
        <v>#REF!</v>
      </c>
      <c r="C116" t="e">
        <f>#REF!</f>
        <v>#REF!</v>
      </c>
      <c r="D116" t="e">
        <f>#REF!</f>
        <v>#REF!</v>
      </c>
      <c r="E116" t="e">
        <f>#REF!</f>
        <v>#REF!</v>
      </c>
      <c r="F116" t="e">
        <f>#REF!</f>
        <v>#REF!</v>
      </c>
    </row>
    <row r="117" spans="1:6" x14ac:dyDescent="0.3">
      <c r="A117" t="e">
        <f>#REF!</f>
        <v>#REF!</v>
      </c>
      <c r="B117" t="e">
        <f>#REF!</f>
        <v>#REF!</v>
      </c>
      <c r="C117" t="e">
        <f>#REF!</f>
        <v>#REF!</v>
      </c>
      <c r="D117" t="e">
        <f>#REF!</f>
        <v>#REF!</v>
      </c>
      <c r="E117" t="e">
        <f>#REF!</f>
        <v>#REF!</v>
      </c>
      <c r="F117" t="e">
        <f>#REF!</f>
        <v>#REF!</v>
      </c>
    </row>
    <row r="118" spans="1:6" x14ac:dyDescent="0.3">
      <c r="A118" t="e">
        <f>#REF!</f>
        <v>#REF!</v>
      </c>
      <c r="B118" t="e">
        <f>#REF!</f>
        <v>#REF!</v>
      </c>
      <c r="C118" t="e">
        <f>#REF!</f>
        <v>#REF!</v>
      </c>
      <c r="D118" t="e">
        <f>#REF!</f>
        <v>#REF!</v>
      </c>
      <c r="E118" t="e">
        <f>#REF!</f>
        <v>#REF!</v>
      </c>
      <c r="F118" t="e">
        <f>#REF!</f>
        <v>#REF!</v>
      </c>
    </row>
    <row r="119" spans="1:6" x14ac:dyDescent="0.3">
      <c r="A119" t="e">
        <f>#REF!</f>
        <v>#REF!</v>
      </c>
      <c r="B119" t="e">
        <f>#REF!</f>
        <v>#REF!</v>
      </c>
      <c r="C119" t="e">
        <f>#REF!</f>
        <v>#REF!</v>
      </c>
      <c r="D119" t="e">
        <f>#REF!</f>
        <v>#REF!</v>
      </c>
      <c r="E119" t="e">
        <f>#REF!</f>
        <v>#REF!</v>
      </c>
      <c r="F119" t="e">
        <f>#REF!</f>
        <v>#REF!</v>
      </c>
    </row>
    <row r="120" spans="1:6" x14ac:dyDescent="0.3">
      <c r="A120" t="e">
        <f>#REF!</f>
        <v>#REF!</v>
      </c>
      <c r="B120" t="e">
        <f>#REF!</f>
        <v>#REF!</v>
      </c>
      <c r="C120" t="e">
        <f>#REF!</f>
        <v>#REF!</v>
      </c>
      <c r="D120" t="e">
        <f>#REF!</f>
        <v>#REF!</v>
      </c>
      <c r="E120" t="e">
        <f>#REF!</f>
        <v>#REF!</v>
      </c>
      <c r="F120" t="e">
        <f>#REF!</f>
        <v>#REF!</v>
      </c>
    </row>
    <row r="121" spans="1:6" x14ac:dyDescent="0.3">
      <c r="A121" t="e">
        <f>#REF!</f>
        <v>#REF!</v>
      </c>
      <c r="B121" t="e">
        <f>#REF!</f>
        <v>#REF!</v>
      </c>
      <c r="C121" t="e">
        <f>#REF!</f>
        <v>#REF!</v>
      </c>
      <c r="D121" t="e">
        <f>#REF!</f>
        <v>#REF!</v>
      </c>
      <c r="E121" t="e">
        <f>#REF!</f>
        <v>#REF!</v>
      </c>
      <c r="F121" t="e">
        <f>#REF!</f>
        <v>#REF!</v>
      </c>
    </row>
    <row r="122" spans="1:6" x14ac:dyDescent="0.3">
      <c r="A122" t="e">
        <f>#REF!</f>
        <v>#REF!</v>
      </c>
      <c r="B122" t="e">
        <f>#REF!</f>
        <v>#REF!</v>
      </c>
      <c r="C122" t="e">
        <f>#REF!</f>
        <v>#REF!</v>
      </c>
      <c r="D122" t="e">
        <f>#REF!</f>
        <v>#REF!</v>
      </c>
      <c r="E122" t="e">
        <f>#REF!</f>
        <v>#REF!</v>
      </c>
      <c r="F122" t="e">
        <f>#REF!</f>
        <v>#REF!</v>
      </c>
    </row>
    <row r="123" spans="1:6" x14ac:dyDescent="0.3">
      <c r="A123" t="e">
        <f>#REF!</f>
        <v>#REF!</v>
      </c>
      <c r="B123" t="e">
        <f>#REF!</f>
        <v>#REF!</v>
      </c>
      <c r="C123" t="e">
        <f>#REF!</f>
        <v>#REF!</v>
      </c>
      <c r="D123" t="e">
        <f>#REF!</f>
        <v>#REF!</v>
      </c>
      <c r="E123" t="e">
        <f>#REF!</f>
        <v>#REF!</v>
      </c>
      <c r="F123" t="e">
        <f>#REF!</f>
        <v>#REF!</v>
      </c>
    </row>
    <row r="124" spans="1:6" x14ac:dyDescent="0.3">
      <c r="A124" t="e">
        <f>#REF!</f>
        <v>#REF!</v>
      </c>
      <c r="B124" t="e">
        <f>#REF!</f>
        <v>#REF!</v>
      </c>
      <c r="C124" t="e">
        <f>#REF!</f>
        <v>#REF!</v>
      </c>
      <c r="D124" t="e">
        <f>#REF!</f>
        <v>#REF!</v>
      </c>
      <c r="E124" t="e">
        <f>#REF!</f>
        <v>#REF!</v>
      </c>
      <c r="F124" t="e">
        <f>#REF!</f>
        <v>#REF!</v>
      </c>
    </row>
    <row r="125" spans="1:6" x14ac:dyDescent="0.3">
      <c r="A125" t="e">
        <f>#REF!</f>
        <v>#REF!</v>
      </c>
      <c r="B125" t="e">
        <f>#REF!</f>
        <v>#REF!</v>
      </c>
      <c r="C125" t="e">
        <f>#REF!</f>
        <v>#REF!</v>
      </c>
      <c r="D125" t="e">
        <f>#REF!</f>
        <v>#REF!</v>
      </c>
      <c r="E125" t="e">
        <f>#REF!</f>
        <v>#REF!</v>
      </c>
      <c r="F125" t="e">
        <f>#REF!</f>
        <v>#REF!</v>
      </c>
    </row>
    <row r="126" spans="1:6" x14ac:dyDescent="0.3">
      <c r="A126" t="e">
        <f>#REF!</f>
        <v>#REF!</v>
      </c>
      <c r="B126" t="e">
        <f>#REF!</f>
        <v>#REF!</v>
      </c>
      <c r="C126" t="e">
        <f>#REF!</f>
        <v>#REF!</v>
      </c>
      <c r="D126" t="e">
        <f>#REF!</f>
        <v>#REF!</v>
      </c>
      <c r="E126" t="e">
        <f>#REF!</f>
        <v>#REF!</v>
      </c>
      <c r="F126" t="e">
        <f>#REF!</f>
        <v>#REF!</v>
      </c>
    </row>
    <row r="127" spans="1:6" x14ac:dyDescent="0.3">
      <c r="A127" t="e">
        <f>#REF!</f>
        <v>#REF!</v>
      </c>
      <c r="B127" t="e">
        <f>#REF!</f>
        <v>#REF!</v>
      </c>
      <c r="C127" t="e">
        <f>#REF!</f>
        <v>#REF!</v>
      </c>
      <c r="D127" t="e">
        <f>#REF!</f>
        <v>#REF!</v>
      </c>
      <c r="E127" t="e">
        <f>#REF!</f>
        <v>#REF!</v>
      </c>
      <c r="F127" t="e">
        <f>#REF!</f>
        <v>#REF!</v>
      </c>
    </row>
    <row r="128" spans="1:6" x14ac:dyDescent="0.3">
      <c r="A128" t="e">
        <f>#REF!</f>
        <v>#REF!</v>
      </c>
      <c r="B128" t="e">
        <f>#REF!</f>
        <v>#REF!</v>
      </c>
      <c r="C128" t="e">
        <f>#REF!</f>
        <v>#REF!</v>
      </c>
      <c r="D128" t="e">
        <f>#REF!</f>
        <v>#REF!</v>
      </c>
      <c r="E128" t="e">
        <f>#REF!</f>
        <v>#REF!</v>
      </c>
      <c r="F128" t="e">
        <f>#REF!</f>
        <v>#REF!</v>
      </c>
    </row>
    <row r="129" spans="1:6" x14ac:dyDescent="0.3">
      <c r="A129" t="e">
        <f>#REF!</f>
        <v>#REF!</v>
      </c>
      <c r="B129" t="e">
        <f>#REF!</f>
        <v>#REF!</v>
      </c>
      <c r="C129" t="e">
        <f>#REF!</f>
        <v>#REF!</v>
      </c>
      <c r="D129" t="e">
        <f>#REF!</f>
        <v>#REF!</v>
      </c>
      <c r="E129" t="e">
        <f>#REF!</f>
        <v>#REF!</v>
      </c>
      <c r="F129" t="e">
        <f>#REF!</f>
        <v>#REF!</v>
      </c>
    </row>
    <row r="130" spans="1:6" x14ac:dyDescent="0.3">
      <c r="A130" t="e">
        <f>#REF!</f>
        <v>#REF!</v>
      </c>
      <c r="B130" t="e">
        <f>#REF!</f>
        <v>#REF!</v>
      </c>
      <c r="C130" t="e">
        <f>#REF!</f>
        <v>#REF!</v>
      </c>
      <c r="D130" t="e">
        <f>#REF!</f>
        <v>#REF!</v>
      </c>
      <c r="E130" t="e">
        <f>#REF!</f>
        <v>#REF!</v>
      </c>
      <c r="F130" t="e">
        <f>#REF!</f>
        <v>#REF!</v>
      </c>
    </row>
    <row r="131" spans="1:6" x14ac:dyDescent="0.3">
      <c r="A131" t="e">
        <f>#REF!</f>
        <v>#REF!</v>
      </c>
      <c r="B131" t="e">
        <f>#REF!</f>
        <v>#REF!</v>
      </c>
      <c r="C131" t="e">
        <f>#REF!</f>
        <v>#REF!</v>
      </c>
      <c r="D131" t="e">
        <f>#REF!</f>
        <v>#REF!</v>
      </c>
      <c r="E131" t="e">
        <f>#REF!</f>
        <v>#REF!</v>
      </c>
      <c r="F131" t="e">
        <f>#REF!</f>
        <v>#REF!</v>
      </c>
    </row>
    <row r="132" spans="1:6" x14ac:dyDescent="0.3">
      <c r="A132" t="e">
        <f>#REF!</f>
        <v>#REF!</v>
      </c>
      <c r="B132" t="e">
        <f>#REF!</f>
        <v>#REF!</v>
      </c>
      <c r="C132" t="e">
        <f>#REF!</f>
        <v>#REF!</v>
      </c>
      <c r="D132" t="e">
        <f>#REF!</f>
        <v>#REF!</v>
      </c>
      <c r="E132" t="e">
        <f>#REF!</f>
        <v>#REF!</v>
      </c>
      <c r="F132" t="e">
        <f>#REF!</f>
        <v>#REF!</v>
      </c>
    </row>
    <row r="133" spans="1:6" x14ac:dyDescent="0.3">
      <c r="A133" t="e">
        <f>#REF!</f>
        <v>#REF!</v>
      </c>
      <c r="B133" t="e">
        <f>#REF!</f>
        <v>#REF!</v>
      </c>
      <c r="C133" t="e">
        <f>#REF!</f>
        <v>#REF!</v>
      </c>
      <c r="D133" t="e">
        <f>#REF!</f>
        <v>#REF!</v>
      </c>
      <c r="E133" t="e">
        <f>#REF!</f>
        <v>#REF!</v>
      </c>
      <c r="F133" t="e">
        <f>#REF!</f>
        <v>#REF!</v>
      </c>
    </row>
    <row r="134" spans="1:6" x14ac:dyDescent="0.3">
      <c r="A134" t="e">
        <f>#REF!</f>
        <v>#REF!</v>
      </c>
      <c r="B134" t="e">
        <f>#REF!</f>
        <v>#REF!</v>
      </c>
      <c r="C134" t="e">
        <f>#REF!</f>
        <v>#REF!</v>
      </c>
      <c r="D134" t="e">
        <f>#REF!</f>
        <v>#REF!</v>
      </c>
      <c r="E134" t="e">
        <f>#REF!</f>
        <v>#REF!</v>
      </c>
      <c r="F134" t="e">
        <f>#REF!</f>
        <v>#REF!</v>
      </c>
    </row>
    <row r="135" spans="1:6" x14ac:dyDescent="0.3">
      <c r="A135" t="e">
        <f>#REF!</f>
        <v>#REF!</v>
      </c>
      <c r="B135" t="e">
        <f>#REF!</f>
        <v>#REF!</v>
      </c>
      <c r="C135" t="e">
        <f>#REF!</f>
        <v>#REF!</v>
      </c>
      <c r="D135" t="e">
        <f>#REF!</f>
        <v>#REF!</v>
      </c>
      <c r="E135" t="e">
        <f>#REF!</f>
        <v>#REF!</v>
      </c>
      <c r="F135" t="e">
        <f>#REF!</f>
        <v>#REF!</v>
      </c>
    </row>
    <row r="136" spans="1:6" x14ac:dyDescent="0.3">
      <c r="A136" t="e">
        <f>#REF!</f>
        <v>#REF!</v>
      </c>
      <c r="B136" t="e">
        <f>#REF!</f>
        <v>#REF!</v>
      </c>
      <c r="C136" t="e">
        <f>#REF!</f>
        <v>#REF!</v>
      </c>
      <c r="D136" t="e">
        <f>#REF!</f>
        <v>#REF!</v>
      </c>
      <c r="E136" t="e">
        <f>#REF!</f>
        <v>#REF!</v>
      </c>
      <c r="F136" t="e">
        <f>#REF!</f>
        <v>#REF!</v>
      </c>
    </row>
    <row r="137" spans="1:6" x14ac:dyDescent="0.3">
      <c r="A137" t="e">
        <f>#REF!</f>
        <v>#REF!</v>
      </c>
      <c r="B137" t="e">
        <f>#REF!</f>
        <v>#REF!</v>
      </c>
      <c r="C137" t="e">
        <f>#REF!</f>
        <v>#REF!</v>
      </c>
      <c r="D137" t="e">
        <f>#REF!</f>
        <v>#REF!</v>
      </c>
      <c r="E137" t="e">
        <f>#REF!</f>
        <v>#REF!</v>
      </c>
      <c r="F137" t="e">
        <f>#REF!</f>
        <v>#REF!</v>
      </c>
    </row>
    <row r="138" spans="1:6" x14ac:dyDescent="0.3">
      <c r="A138" t="e">
        <f>#REF!</f>
        <v>#REF!</v>
      </c>
      <c r="B138" t="e">
        <f>#REF!</f>
        <v>#REF!</v>
      </c>
      <c r="C138" t="e">
        <f>#REF!</f>
        <v>#REF!</v>
      </c>
      <c r="D138" t="e">
        <f>#REF!</f>
        <v>#REF!</v>
      </c>
      <c r="E138" t="e">
        <f>#REF!</f>
        <v>#REF!</v>
      </c>
      <c r="F138" t="e">
        <f>#REF!</f>
        <v>#REF!</v>
      </c>
    </row>
    <row r="139" spans="1:6" x14ac:dyDescent="0.3">
      <c r="A139" t="e">
        <f>#REF!</f>
        <v>#REF!</v>
      </c>
      <c r="B139" t="e">
        <f>#REF!</f>
        <v>#REF!</v>
      </c>
      <c r="C139" t="e">
        <f>#REF!</f>
        <v>#REF!</v>
      </c>
      <c r="D139" t="e">
        <f>#REF!</f>
        <v>#REF!</v>
      </c>
      <c r="E139" t="e">
        <f>#REF!</f>
        <v>#REF!</v>
      </c>
      <c r="F139" t="e">
        <f>#REF!</f>
        <v>#REF!</v>
      </c>
    </row>
    <row r="140" spans="1:6" x14ac:dyDescent="0.3">
      <c r="A140" t="e">
        <f>#REF!</f>
        <v>#REF!</v>
      </c>
      <c r="B140" t="e">
        <f>#REF!</f>
        <v>#REF!</v>
      </c>
      <c r="C140" t="e">
        <f>#REF!</f>
        <v>#REF!</v>
      </c>
      <c r="D140" t="e">
        <f>#REF!</f>
        <v>#REF!</v>
      </c>
      <c r="E140" t="e">
        <f>#REF!</f>
        <v>#REF!</v>
      </c>
      <c r="F140" t="e">
        <f>#REF!</f>
        <v>#REF!</v>
      </c>
    </row>
    <row r="141" spans="1:6" x14ac:dyDescent="0.3">
      <c r="A141" t="e">
        <f>#REF!</f>
        <v>#REF!</v>
      </c>
      <c r="B141" t="e">
        <f>#REF!</f>
        <v>#REF!</v>
      </c>
      <c r="C141" t="e">
        <f>#REF!</f>
        <v>#REF!</v>
      </c>
      <c r="D141" t="e">
        <f>#REF!</f>
        <v>#REF!</v>
      </c>
      <c r="E141" t="e">
        <f>#REF!</f>
        <v>#REF!</v>
      </c>
      <c r="F141" t="e">
        <f>#REF!</f>
        <v>#REF!</v>
      </c>
    </row>
    <row r="142" spans="1:6" x14ac:dyDescent="0.3">
      <c r="A142" t="e">
        <f>#REF!</f>
        <v>#REF!</v>
      </c>
      <c r="B142" t="e">
        <f>#REF!</f>
        <v>#REF!</v>
      </c>
      <c r="C142" t="e">
        <f>#REF!</f>
        <v>#REF!</v>
      </c>
      <c r="D142" t="e">
        <f>#REF!</f>
        <v>#REF!</v>
      </c>
      <c r="E142" t="e">
        <f>#REF!</f>
        <v>#REF!</v>
      </c>
      <c r="F142" t="e">
        <f>#REF!</f>
        <v>#REF!</v>
      </c>
    </row>
    <row r="143" spans="1:6" x14ac:dyDescent="0.3">
      <c r="A143" t="e">
        <f>#REF!</f>
        <v>#REF!</v>
      </c>
      <c r="B143" t="e">
        <f>#REF!</f>
        <v>#REF!</v>
      </c>
      <c r="C143" t="e">
        <f>#REF!</f>
        <v>#REF!</v>
      </c>
      <c r="D143" t="e">
        <f>#REF!</f>
        <v>#REF!</v>
      </c>
      <c r="E143" t="e">
        <f>#REF!</f>
        <v>#REF!</v>
      </c>
      <c r="F143" t="e">
        <f>#REF!</f>
        <v>#REF!</v>
      </c>
    </row>
    <row r="144" spans="1:6" x14ac:dyDescent="0.3">
      <c r="A144" t="e">
        <f>#REF!</f>
        <v>#REF!</v>
      </c>
      <c r="B144" t="e">
        <f>#REF!</f>
        <v>#REF!</v>
      </c>
      <c r="C144" t="e">
        <f>#REF!</f>
        <v>#REF!</v>
      </c>
      <c r="D144" t="e">
        <f>#REF!</f>
        <v>#REF!</v>
      </c>
      <c r="E144" t="e">
        <f>#REF!</f>
        <v>#REF!</v>
      </c>
      <c r="F144" t="e">
        <f>#REF!</f>
        <v>#REF!</v>
      </c>
    </row>
    <row r="145" spans="1:6" x14ac:dyDescent="0.3">
      <c r="A145" t="e">
        <f>#REF!</f>
        <v>#REF!</v>
      </c>
      <c r="B145" t="e">
        <f>#REF!</f>
        <v>#REF!</v>
      </c>
      <c r="C145" t="e">
        <f>#REF!</f>
        <v>#REF!</v>
      </c>
      <c r="D145" t="e">
        <f>#REF!</f>
        <v>#REF!</v>
      </c>
      <c r="E145" t="e">
        <f>#REF!</f>
        <v>#REF!</v>
      </c>
      <c r="F145" t="e">
        <f>#REF!</f>
        <v>#REF!</v>
      </c>
    </row>
    <row r="146" spans="1:6" x14ac:dyDescent="0.3">
      <c r="A146" t="e">
        <f>#REF!</f>
        <v>#REF!</v>
      </c>
      <c r="B146" t="e">
        <f>#REF!</f>
        <v>#REF!</v>
      </c>
      <c r="C146" t="e">
        <f>#REF!</f>
        <v>#REF!</v>
      </c>
      <c r="D146" t="e">
        <f>#REF!</f>
        <v>#REF!</v>
      </c>
      <c r="E146" t="e">
        <f>#REF!</f>
        <v>#REF!</v>
      </c>
      <c r="F146" t="e">
        <f>#REF!</f>
        <v>#REF!</v>
      </c>
    </row>
    <row r="147" spans="1:6" x14ac:dyDescent="0.3">
      <c r="A147" t="e">
        <f>#REF!</f>
        <v>#REF!</v>
      </c>
      <c r="B147" t="e">
        <f>#REF!</f>
        <v>#REF!</v>
      </c>
      <c r="C147" t="e">
        <f>#REF!</f>
        <v>#REF!</v>
      </c>
      <c r="D147" t="e">
        <f>#REF!</f>
        <v>#REF!</v>
      </c>
      <c r="E147" t="e">
        <f>#REF!</f>
        <v>#REF!</v>
      </c>
      <c r="F147" t="e">
        <f>#REF!</f>
        <v>#REF!</v>
      </c>
    </row>
    <row r="148" spans="1:6" x14ac:dyDescent="0.3">
      <c r="A148" t="e">
        <f>#REF!</f>
        <v>#REF!</v>
      </c>
      <c r="B148" t="e">
        <f>#REF!</f>
        <v>#REF!</v>
      </c>
      <c r="C148" t="e">
        <f>#REF!</f>
        <v>#REF!</v>
      </c>
      <c r="D148" t="e">
        <f>#REF!</f>
        <v>#REF!</v>
      </c>
      <c r="E148" t="e">
        <f>#REF!</f>
        <v>#REF!</v>
      </c>
      <c r="F148" t="e">
        <f>#REF!</f>
        <v>#REF!</v>
      </c>
    </row>
    <row r="149" spans="1:6" x14ac:dyDescent="0.3">
      <c r="A149" t="e">
        <f>#REF!</f>
        <v>#REF!</v>
      </c>
      <c r="B149" t="e">
        <f>#REF!</f>
        <v>#REF!</v>
      </c>
      <c r="C149" t="e">
        <f>#REF!</f>
        <v>#REF!</v>
      </c>
      <c r="D149" t="e">
        <f>#REF!</f>
        <v>#REF!</v>
      </c>
      <c r="E149" t="e">
        <f>#REF!</f>
        <v>#REF!</v>
      </c>
      <c r="F149" t="e">
        <f>#REF!</f>
        <v>#REF!</v>
      </c>
    </row>
    <row r="150" spans="1:6" x14ac:dyDescent="0.3">
      <c r="A150" t="e">
        <f>#REF!</f>
        <v>#REF!</v>
      </c>
      <c r="B150" t="e">
        <f>#REF!</f>
        <v>#REF!</v>
      </c>
      <c r="C150" t="e">
        <f>#REF!</f>
        <v>#REF!</v>
      </c>
      <c r="D150" t="e">
        <f>#REF!</f>
        <v>#REF!</v>
      </c>
      <c r="E150" t="e">
        <f>#REF!</f>
        <v>#REF!</v>
      </c>
      <c r="F150" t="e">
        <f>#REF!</f>
        <v>#REF!</v>
      </c>
    </row>
    <row r="151" spans="1:6" x14ac:dyDescent="0.3">
      <c r="A151" t="e">
        <f>#REF!</f>
        <v>#REF!</v>
      </c>
      <c r="B151" t="e">
        <f>#REF!</f>
        <v>#REF!</v>
      </c>
      <c r="C151" t="e">
        <f>#REF!</f>
        <v>#REF!</v>
      </c>
      <c r="D151" t="e">
        <f>#REF!</f>
        <v>#REF!</v>
      </c>
      <c r="E151" t="e">
        <f>#REF!</f>
        <v>#REF!</v>
      </c>
      <c r="F151" t="e">
        <f>#REF!</f>
        <v>#REF!</v>
      </c>
    </row>
    <row r="152" spans="1:6" x14ac:dyDescent="0.3">
      <c r="A152" t="e">
        <f>#REF!</f>
        <v>#REF!</v>
      </c>
      <c r="B152" t="e">
        <f>#REF!</f>
        <v>#REF!</v>
      </c>
      <c r="C152" t="e">
        <f>#REF!</f>
        <v>#REF!</v>
      </c>
      <c r="D152" t="e">
        <f>#REF!</f>
        <v>#REF!</v>
      </c>
      <c r="E152" t="e">
        <f>#REF!</f>
        <v>#REF!</v>
      </c>
      <c r="F152" t="e">
        <f>#REF!</f>
        <v>#REF!</v>
      </c>
    </row>
    <row r="153" spans="1:6" x14ac:dyDescent="0.3">
      <c r="A153" t="e">
        <f>#REF!</f>
        <v>#REF!</v>
      </c>
      <c r="B153" t="e">
        <f>#REF!</f>
        <v>#REF!</v>
      </c>
      <c r="C153" t="e">
        <f>#REF!</f>
        <v>#REF!</v>
      </c>
      <c r="D153" t="e">
        <f>#REF!</f>
        <v>#REF!</v>
      </c>
      <c r="E153" t="e">
        <f>#REF!</f>
        <v>#REF!</v>
      </c>
      <c r="F153" t="e">
        <f>#REF!</f>
        <v>#REF!</v>
      </c>
    </row>
    <row r="154" spans="1:6" x14ac:dyDescent="0.3">
      <c r="A154" t="e">
        <f>#REF!</f>
        <v>#REF!</v>
      </c>
      <c r="B154" t="e">
        <f>#REF!</f>
        <v>#REF!</v>
      </c>
      <c r="C154" t="e">
        <f>#REF!</f>
        <v>#REF!</v>
      </c>
      <c r="D154" t="e">
        <f>#REF!</f>
        <v>#REF!</v>
      </c>
      <c r="E154" t="e">
        <f>#REF!</f>
        <v>#REF!</v>
      </c>
      <c r="F154" t="e">
        <f>#REF!</f>
        <v>#REF!</v>
      </c>
    </row>
    <row r="155" spans="1:6" x14ac:dyDescent="0.3">
      <c r="A155" t="e">
        <f>#REF!</f>
        <v>#REF!</v>
      </c>
      <c r="B155" t="e">
        <f>#REF!</f>
        <v>#REF!</v>
      </c>
      <c r="C155" t="e">
        <f>#REF!</f>
        <v>#REF!</v>
      </c>
      <c r="D155" t="e">
        <f>#REF!</f>
        <v>#REF!</v>
      </c>
      <c r="E155" t="e">
        <f>#REF!</f>
        <v>#REF!</v>
      </c>
      <c r="F155" t="e">
        <f>#REF!</f>
        <v>#REF!</v>
      </c>
    </row>
    <row r="156" spans="1:6" x14ac:dyDescent="0.3">
      <c r="A156" t="e">
        <f>#REF!</f>
        <v>#REF!</v>
      </c>
      <c r="B156" t="e">
        <f>#REF!</f>
        <v>#REF!</v>
      </c>
      <c r="C156" t="e">
        <f>#REF!</f>
        <v>#REF!</v>
      </c>
      <c r="D156" t="e">
        <f>#REF!</f>
        <v>#REF!</v>
      </c>
      <c r="E156" t="e">
        <f>#REF!</f>
        <v>#REF!</v>
      </c>
      <c r="F156" t="e">
        <f>#REF!</f>
        <v>#REF!</v>
      </c>
    </row>
    <row r="157" spans="1:6" x14ac:dyDescent="0.3">
      <c r="A157" t="e">
        <f>#REF!</f>
        <v>#REF!</v>
      </c>
      <c r="B157" t="e">
        <f>#REF!</f>
        <v>#REF!</v>
      </c>
      <c r="C157" t="e">
        <f>#REF!</f>
        <v>#REF!</v>
      </c>
      <c r="D157" t="e">
        <f>#REF!</f>
        <v>#REF!</v>
      </c>
      <c r="E157" t="e">
        <f>#REF!</f>
        <v>#REF!</v>
      </c>
      <c r="F157" t="e">
        <f>#REF!</f>
        <v>#REF!</v>
      </c>
    </row>
    <row r="158" spans="1:6" x14ac:dyDescent="0.3">
      <c r="A158" t="e">
        <f>#REF!</f>
        <v>#REF!</v>
      </c>
      <c r="B158" t="e">
        <f>#REF!</f>
        <v>#REF!</v>
      </c>
      <c r="C158" t="e">
        <f>#REF!</f>
        <v>#REF!</v>
      </c>
      <c r="D158" t="e">
        <f>#REF!</f>
        <v>#REF!</v>
      </c>
      <c r="E158" t="e">
        <f>#REF!</f>
        <v>#REF!</v>
      </c>
      <c r="F158" t="e">
        <f>#REF!</f>
        <v>#REF!</v>
      </c>
    </row>
    <row r="159" spans="1:6" x14ac:dyDescent="0.3">
      <c r="A159" t="e">
        <f>#REF!</f>
        <v>#REF!</v>
      </c>
      <c r="B159" t="e">
        <f>#REF!</f>
        <v>#REF!</v>
      </c>
      <c r="C159" t="e">
        <f>#REF!</f>
        <v>#REF!</v>
      </c>
      <c r="D159" t="e">
        <f>#REF!</f>
        <v>#REF!</v>
      </c>
      <c r="E159" t="e">
        <f>#REF!</f>
        <v>#REF!</v>
      </c>
      <c r="F159" t="e">
        <f>#REF!</f>
        <v>#REF!</v>
      </c>
    </row>
    <row r="160" spans="1:6" x14ac:dyDescent="0.3">
      <c r="A160" t="e">
        <f>#REF!</f>
        <v>#REF!</v>
      </c>
      <c r="B160" t="e">
        <f>#REF!</f>
        <v>#REF!</v>
      </c>
      <c r="C160" t="e">
        <f>#REF!</f>
        <v>#REF!</v>
      </c>
      <c r="D160" t="e">
        <f>#REF!</f>
        <v>#REF!</v>
      </c>
      <c r="E160" t="e">
        <f>#REF!</f>
        <v>#REF!</v>
      </c>
      <c r="F160" t="e">
        <f>#REF!</f>
        <v>#REF!</v>
      </c>
    </row>
    <row r="161" spans="1:6" x14ac:dyDescent="0.3">
      <c r="A161" t="e">
        <f>#REF!</f>
        <v>#REF!</v>
      </c>
      <c r="B161" t="e">
        <f>#REF!</f>
        <v>#REF!</v>
      </c>
      <c r="C161" t="e">
        <f>#REF!</f>
        <v>#REF!</v>
      </c>
      <c r="D161" t="e">
        <f>#REF!</f>
        <v>#REF!</v>
      </c>
      <c r="E161" t="e">
        <f>#REF!</f>
        <v>#REF!</v>
      </c>
      <c r="F161" t="e">
        <f>#REF!</f>
        <v>#REF!</v>
      </c>
    </row>
    <row r="162" spans="1:6" x14ac:dyDescent="0.3">
      <c r="A162" t="e">
        <f>#REF!</f>
        <v>#REF!</v>
      </c>
      <c r="B162" t="e">
        <f>#REF!</f>
        <v>#REF!</v>
      </c>
      <c r="C162" t="e">
        <f>#REF!</f>
        <v>#REF!</v>
      </c>
      <c r="D162" t="e">
        <f>#REF!</f>
        <v>#REF!</v>
      </c>
      <c r="E162" t="e">
        <f>#REF!</f>
        <v>#REF!</v>
      </c>
      <c r="F162" t="e">
        <f>#REF!</f>
        <v>#REF!</v>
      </c>
    </row>
    <row r="163" spans="1:6" x14ac:dyDescent="0.3">
      <c r="A163" t="e">
        <f>#REF!</f>
        <v>#REF!</v>
      </c>
      <c r="B163" t="e">
        <f>#REF!</f>
        <v>#REF!</v>
      </c>
      <c r="C163" t="e">
        <f>#REF!</f>
        <v>#REF!</v>
      </c>
      <c r="D163" t="e">
        <f>#REF!</f>
        <v>#REF!</v>
      </c>
      <c r="E163" t="e">
        <f>#REF!</f>
        <v>#REF!</v>
      </c>
      <c r="F163" t="e">
        <f>#REF!</f>
        <v>#REF!</v>
      </c>
    </row>
    <row r="164" spans="1:6" x14ac:dyDescent="0.3">
      <c r="A164" t="e">
        <f>#REF!</f>
        <v>#REF!</v>
      </c>
      <c r="B164" t="e">
        <f>#REF!</f>
        <v>#REF!</v>
      </c>
      <c r="C164" t="e">
        <f>#REF!</f>
        <v>#REF!</v>
      </c>
      <c r="D164" t="e">
        <f>#REF!</f>
        <v>#REF!</v>
      </c>
      <c r="E164" t="e">
        <f>#REF!</f>
        <v>#REF!</v>
      </c>
      <c r="F164" t="e">
        <f>#REF!</f>
        <v>#REF!</v>
      </c>
    </row>
    <row r="165" spans="1:6" x14ac:dyDescent="0.3">
      <c r="A165" t="e">
        <f>#REF!</f>
        <v>#REF!</v>
      </c>
      <c r="B165" t="e">
        <f>#REF!</f>
        <v>#REF!</v>
      </c>
      <c r="C165" t="e">
        <f>#REF!</f>
        <v>#REF!</v>
      </c>
      <c r="D165" t="e">
        <f>#REF!</f>
        <v>#REF!</v>
      </c>
      <c r="E165" t="e">
        <f>#REF!</f>
        <v>#REF!</v>
      </c>
      <c r="F165" t="e">
        <f>#REF!</f>
        <v>#REF!</v>
      </c>
    </row>
    <row r="166" spans="1:6" x14ac:dyDescent="0.3">
      <c r="A166" t="e">
        <f>#REF!</f>
        <v>#REF!</v>
      </c>
      <c r="B166" t="e">
        <f>#REF!</f>
        <v>#REF!</v>
      </c>
      <c r="C166" t="e">
        <f>#REF!</f>
        <v>#REF!</v>
      </c>
      <c r="D166" t="e">
        <f>#REF!</f>
        <v>#REF!</v>
      </c>
      <c r="E166" t="e">
        <f>#REF!</f>
        <v>#REF!</v>
      </c>
      <c r="F166" t="e">
        <f>#REF!</f>
        <v>#REF!</v>
      </c>
    </row>
    <row r="167" spans="1:6" x14ac:dyDescent="0.3">
      <c r="A167" t="e">
        <f>#REF!</f>
        <v>#REF!</v>
      </c>
      <c r="B167" t="e">
        <f>#REF!</f>
        <v>#REF!</v>
      </c>
      <c r="C167" t="e">
        <f>#REF!</f>
        <v>#REF!</v>
      </c>
      <c r="D167" t="e">
        <f>#REF!</f>
        <v>#REF!</v>
      </c>
      <c r="E167" t="e">
        <f>#REF!</f>
        <v>#REF!</v>
      </c>
      <c r="F167" t="e">
        <f>#REF!</f>
        <v>#REF!</v>
      </c>
    </row>
    <row r="168" spans="1:6" x14ac:dyDescent="0.3">
      <c r="A168" t="e">
        <f>#REF!</f>
        <v>#REF!</v>
      </c>
      <c r="B168" t="e">
        <f>#REF!</f>
        <v>#REF!</v>
      </c>
      <c r="C168" t="e">
        <f>#REF!</f>
        <v>#REF!</v>
      </c>
      <c r="D168" t="e">
        <f>#REF!</f>
        <v>#REF!</v>
      </c>
      <c r="E168" t="e">
        <f>#REF!</f>
        <v>#REF!</v>
      </c>
      <c r="F168" t="e">
        <f>#REF!</f>
        <v>#REF!</v>
      </c>
    </row>
    <row r="169" spans="1:6" x14ac:dyDescent="0.3">
      <c r="A169" t="e">
        <f>#REF!</f>
        <v>#REF!</v>
      </c>
      <c r="B169" t="e">
        <f>#REF!</f>
        <v>#REF!</v>
      </c>
      <c r="C169" t="e">
        <f>#REF!</f>
        <v>#REF!</v>
      </c>
      <c r="D169" t="e">
        <f>#REF!</f>
        <v>#REF!</v>
      </c>
      <c r="E169" t="e">
        <f>#REF!</f>
        <v>#REF!</v>
      </c>
      <c r="F169" t="e">
        <f>#REF!</f>
        <v>#REF!</v>
      </c>
    </row>
    <row r="170" spans="1:6" x14ac:dyDescent="0.3">
      <c r="A170" t="e">
        <f>#REF!</f>
        <v>#REF!</v>
      </c>
      <c r="B170" t="e">
        <f>#REF!</f>
        <v>#REF!</v>
      </c>
      <c r="C170" t="e">
        <f>#REF!</f>
        <v>#REF!</v>
      </c>
      <c r="D170" t="e">
        <f>#REF!</f>
        <v>#REF!</v>
      </c>
      <c r="E170" t="e">
        <f>#REF!</f>
        <v>#REF!</v>
      </c>
      <c r="F170" t="e">
        <f>#REF!</f>
        <v>#REF!</v>
      </c>
    </row>
    <row r="171" spans="1:6" x14ac:dyDescent="0.3">
      <c r="A171" t="e">
        <f>#REF!</f>
        <v>#REF!</v>
      </c>
      <c r="B171" t="e">
        <f>#REF!</f>
        <v>#REF!</v>
      </c>
      <c r="C171" t="e">
        <f>#REF!</f>
        <v>#REF!</v>
      </c>
      <c r="D171" t="e">
        <f>#REF!</f>
        <v>#REF!</v>
      </c>
      <c r="E171" t="e">
        <f>#REF!</f>
        <v>#REF!</v>
      </c>
      <c r="F171" t="e">
        <f>#REF!</f>
        <v>#REF!</v>
      </c>
    </row>
    <row r="172" spans="1:6" x14ac:dyDescent="0.3">
      <c r="A172" t="e">
        <f>#REF!</f>
        <v>#REF!</v>
      </c>
      <c r="B172" t="e">
        <f>#REF!</f>
        <v>#REF!</v>
      </c>
      <c r="C172" t="e">
        <f>#REF!</f>
        <v>#REF!</v>
      </c>
      <c r="D172" t="e">
        <f>#REF!</f>
        <v>#REF!</v>
      </c>
      <c r="E172" t="e">
        <f>#REF!</f>
        <v>#REF!</v>
      </c>
      <c r="F172" t="e">
        <f>#REF!</f>
        <v>#REF!</v>
      </c>
    </row>
    <row r="173" spans="1:6" x14ac:dyDescent="0.3">
      <c r="A173" t="e">
        <f>#REF!</f>
        <v>#REF!</v>
      </c>
      <c r="B173" t="e">
        <f>#REF!</f>
        <v>#REF!</v>
      </c>
      <c r="C173" t="e">
        <f>#REF!</f>
        <v>#REF!</v>
      </c>
      <c r="D173" t="e">
        <f>#REF!</f>
        <v>#REF!</v>
      </c>
      <c r="E173" t="e">
        <f>#REF!</f>
        <v>#REF!</v>
      </c>
      <c r="F173" t="e">
        <f>#REF!</f>
        <v>#REF!</v>
      </c>
    </row>
    <row r="174" spans="1:6" x14ac:dyDescent="0.3">
      <c r="A174" t="e">
        <f>#REF!</f>
        <v>#REF!</v>
      </c>
      <c r="B174" t="e">
        <f>#REF!</f>
        <v>#REF!</v>
      </c>
      <c r="C174" t="e">
        <f>#REF!</f>
        <v>#REF!</v>
      </c>
      <c r="D174" t="e">
        <f>#REF!</f>
        <v>#REF!</v>
      </c>
      <c r="E174" t="e">
        <f>#REF!</f>
        <v>#REF!</v>
      </c>
      <c r="F174" t="e">
        <f>#REF!</f>
        <v>#REF!</v>
      </c>
    </row>
    <row r="175" spans="1:6" x14ac:dyDescent="0.3">
      <c r="A175" t="e">
        <f>#REF!</f>
        <v>#REF!</v>
      </c>
      <c r="B175" t="e">
        <f>#REF!</f>
        <v>#REF!</v>
      </c>
      <c r="C175" t="e">
        <f>#REF!</f>
        <v>#REF!</v>
      </c>
      <c r="D175" t="e">
        <f>#REF!</f>
        <v>#REF!</v>
      </c>
      <c r="E175" t="e">
        <f>#REF!</f>
        <v>#REF!</v>
      </c>
      <c r="F175" t="e">
        <f>#REF!</f>
        <v>#REF!</v>
      </c>
    </row>
    <row r="176" spans="1:6" x14ac:dyDescent="0.3">
      <c r="A176" t="e">
        <f>#REF!</f>
        <v>#REF!</v>
      </c>
      <c r="B176" t="e">
        <f>#REF!</f>
        <v>#REF!</v>
      </c>
      <c r="C176" t="e">
        <f>#REF!</f>
        <v>#REF!</v>
      </c>
      <c r="D176" t="e">
        <f>#REF!</f>
        <v>#REF!</v>
      </c>
      <c r="E176" t="e">
        <f>#REF!</f>
        <v>#REF!</v>
      </c>
      <c r="F176" t="e">
        <f>#REF!</f>
        <v>#REF!</v>
      </c>
    </row>
    <row r="177" spans="1:6" x14ac:dyDescent="0.3">
      <c r="A177" t="e">
        <f>#REF!</f>
        <v>#REF!</v>
      </c>
      <c r="B177" t="e">
        <f>#REF!</f>
        <v>#REF!</v>
      </c>
      <c r="C177" t="e">
        <f>#REF!</f>
        <v>#REF!</v>
      </c>
      <c r="D177" t="e">
        <f>#REF!</f>
        <v>#REF!</v>
      </c>
      <c r="E177" t="e">
        <f>#REF!</f>
        <v>#REF!</v>
      </c>
      <c r="F177" t="e">
        <f>#REF!</f>
        <v>#REF!</v>
      </c>
    </row>
    <row r="178" spans="1:6" x14ac:dyDescent="0.3">
      <c r="A178" t="e">
        <f>#REF!</f>
        <v>#REF!</v>
      </c>
      <c r="B178" t="e">
        <f>#REF!</f>
        <v>#REF!</v>
      </c>
      <c r="C178" t="e">
        <f>#REF!</f>
        <v>#REF!</v>
      </c>
      <c r="D178" t="e">
        <f>#REF!</f>
        <v>#REF!</v>
      </c>
      <c r="E178" t="e">
        <f>#REF!</f>
        <v>#REF!</v>
      </c>
      <c r="F178" t="e">
        <f>#REF!</f>
        <v>#REF!</v>
      </c>
    </row>
    <row r="179" spans="1:6" x14ac:dyDescent="0.3">
      <c r="A179" t="e">
        <f>#REF!</f>
        <v>#REF!</v>
      </c>
      <c r="B179" t="e">
        <f>#REF!</f>
        <v>#REF!</v>
      </c>
      <c r="C179" t="e">
        <f>#REF!</f>
        <v>#REF!</v>
      </c>
      <c r="D179" t="e">
        <f>#REF!</f>
        <v>#REF!</v>
      </c>
      <c r="E179" t="e">
        <f>#REF!</f>
        <v>#REF!</v>
      </c>
      <c r="F179" t="e">
        <f>#REF!</f>
        <v>#REF!</v>
      </c>
    </row>
    <row r="180" spans="1:6" x14ac:dyDescent="0.3">
      <c r="A180" t="e">
        <f>#REF!</f>
        <v>#REF!</v>
      </c>
      <c r="B180" t="e">
        <f>#REF!</f>
        <v>#REF!</v>
      </c>
      <c r="C180" t="e">
        <f>#REF!</f>
        <v>#REF!</v>
      </c>
      <c r="D180" t="e">
        <f>#REF!</f>
        <v>#REF!</v>
      </c>
      <c r="E180" t="e">
        <f>#REF!</f>
        <v>#REF!</v>
      </c>
      <c r="F180" t="e">
        <f>#REF!</f>
        <v>#REF!</v>
      </c>
    </row>
    <row r="181" spans="1:6" x14ac:dyDescent="0.3">
      <c r="A181" t="e">
        <f>#REF!</f>
        <v>#REF!</v>
      </c>
      <c r="B181" t="e">
        <f>#REF!</f>
        <v>#REF!</v>
      </c>
      <c r="C181" t="e">
        <f>#REF!</f>
        <v>#REF!</v>
      </c>
      <c r="D181" t="e">
        <f>#REF!</f>
        <v>#REF!</v>
      </c>
      <c r="E181" t="e">
        <f>#REF!</f>
        <v>#REF!</v>
      </c>
      <c r="F181" t="e">
        <f>#REF!</f>
        <v>#REF!</v>
      </c>
    </row>
    <row r="182" spans="1:6" x14ac:dyDescent="0.3">
      <c r="A182" t="e">
        <f>#REF!</f>
        <v>#REF!</v>
      </c>
      <c r="B182" t="e">
        <f>#REF!</f>
        <v>#REF!</v>
      </c>
      <c r="C182" t="e">
        <f>#REF!</f>
        <v>#REF!</v>
      </c>
      <c r="D182" t="e">
        <f>#REF!</f>
        <v>#REF!</v>
      </c>
      <c r="E182" t="e">
        <f>#REF!</f>
        <v>#REF!</v>
      </c>
      <c r="F182" t="e">
        <f>#REF!</f>
        <v>#REF!</v>
      </c>
    </row>
    <row r="183" spans="1:6" x14ac:dyDescent="0.3">
      <c r="A183" t="e">
        <f>#REF!</f>
        <v>#REF!</v>
      </c>
      <c r="B183" t="e">
        <f>#REF!</f>
        <v>#REF!</v>
      </c>
      <c r="C183" t="e">
        <f>#REF!</f>
        <v>#REF!</v>
      </c>
      <c r="D183" t="e">
        <f>#REF!</f>
        <v>#REF!</v>
      </c>
      <c r="E183" t="e">
        <f>#REF!</f>
        <v>#REF!</v>
      </c>
      <c r="F183" t="e">
        <f>#REF!</f>
        <v>#REF!</v>
      </c>
    </row>
    <row r="184" spans="1:6" x14ac:dyDescent="0.3">
      <c r="A184" t="e">
        <f>#REF!</f>
        <v>#REF!</v>
      </c>
      <c r="B184" t="e">
        <f>#REF!</f>
        <v>#REF!</v>
      </c>
      <c r="C184" t="e">
        <f>#REF!</f>
        <v>#REF!</v>
      </c>
      <c r="D184" t="e">
        <f>#REF!</f>
        <v>#REF!</v>
      </c>
      <c r="E184" t="e">
        <f>#REF!</f>
        <v>#REF!</v>
      </c>
      <c r="F184" t="e">
        <f>#REF!</f>
        <v>#REF!</v>
      </c>
    </row>
    <row r="185" spans="1:6" x14ac:dyDescent="0.3">
      <c r="A185" t="e">
        <f>#REF!</f>
        <v>#REF!</v>
      </c>
      <c r="B185" t="e">
        <f>#REF!</f>
        <v>#REF!</v>
      </c>
      <c r="C185" t="e">
        <f>#REF!</f>
        <v>#REF!</v>
      </c>
      <c r="D185" t="e">
        <f>#REF!</f>
        <v>#REF!</v>
      </c>
      <c r="E185" t="e">
        <f>#REF!</f>
        <v>#REF!</v>
      </c>
      <c r="F185" t="e">
        <f>#REF!</f>
        <v>#REF!</v>
      </c>
    </row>
    <row r="186" spans="1:6" x14ac:dyDescent="0.3">
      <c r="A186" t="e">
        <f>#REF!</f>
        <v>#REF!</v>
      </c>
      <c r="B186" t="e">
        <f>#REF!</f>
        <v>#REF!</v>
      </c>
      <c r="C186" t="e">
        <f>#REF!</f>
        <v>#REF!</v>
      </c>
      <c r="D186" t="e">
        <f>#REF!</f>
        <v>#REF!</v>
      </c>
      <c r="E186" t="e">
        <f>#REF!</f>
        <v>#REF!</v>
      </c>
      <c r="F186" t="e">
        <f>#REF!</f>
        <v>#REF!</v>
      </c>
    </row>
    <row r="187" spans="1:6" x14ac:dyDescent="0.3">
      <c r="A187" t="e">
        <f>#REF!</f>
        <v>#REF!</v>
      </c>
      <c r="B187" t="e">
        <f>#REF!</f>
        <v>#REF!</v>
      </c>
      <c r="C187" t="e">
        <f>#REF!</f>
        <v>#REF!</v>
      </c>
      <c r="D187" t="e">
        <f>#REF!</f>
        <v>#REF!</v>
      </c>
      <c r="E187" t="e">
        <f>#REF!</f>
        <v>#REF!</v>
      </c>
      <c r="F187" t="e">
        <f>#REF!</f>
        <v>#REF!</v>
      </c>
    </row>
    <row r="188" spans="1:6" x14ac:dyDescent="0.3">
      <c r="A188" t="e">
        <f>#REF!</f>
        <v>#REF!</v>
      </c>
      <c r="B188" t="e">
        <f>#REF!</f>
        <v>#REF!</v>
      </c>
      <c r="C188" t="e">
        <f>#REF!</f>
        <v>#REF!</v>
      </c>
      <c r="D188" t="e">
        <f>#REF!</f>
        <v>#REF!</v>
      </c>
      <c r="E188" t="e">
        <f>#REF!</f>
        <v>#REF!</v>
      </c>
      <c r="F188" t="e">
        <f>#REF!</f>
        <v>#REF!</v>
      </c>
    </row>
    <row r="189" spans="1:6" x14ac:dyDescent="0.3">
      <c r="A189" t="e">
        <f>#REF!</f>
        <v>#REF!</v>
      </c>
      <c r="B189" t="e">
        <f>#REF!</f>
        <v>#REF!</v>
      </c>
      <c r="C189" t="e">
        <f>#REF!</f>
        <v>#REF!</v>
      </c>
      <c r="D189" t="e">
        <f>#REF!</f>
        <v>#REF!</v>
      </c>
      <c r="E189" t="e">
        <f>#REF!</f>
        <v>#REF!</v>
      </c>
      <c r="F189" t="e">
        <f>#REF!</f>
        <v>#REF!</v>
      </c>
    </row>
    <row r="190" spans="1:6" x14ac:dyDescent="0.3">
      <c r="A190" t="e">
        <f>#REF!</f>
        <v>#REF!</v>
      </c>
      <c r="B190" t="e">
        <f>#REF!</f>
        <v>#REF!</v>
      </c>
      <c r="C190" t="e">
        <f>#REF!</f>
        <v>#REF!</v>
      </c>
      <c r="D190" t="e">
        <f>#REF!</f>
        <v>#REF!</v>
      </c>
      <c r="E190" t="e">
        <f>#REF!</f>
        <v>#REF!</v>
      </c>
      <c r="F190" t="e">
        <f>#REF!</f>
        <v>#REF!</v>
      </c>
    </row>
    <row r="191" spans="1:6" x14ac:dyDescent="0.3">
      <c r="A191" t="e">
        <f>#REF!</f>
        <v>#REF!</v>
      </c>
      <c r="B191" t="e">
        <f>#REF!</f>
        <v>#REF!</v>
      </c>
      <c r="C191" t="e">
        <f>#REF!</f>
        <v>#REF!</v>
      </c>
      <c r="D191" t="e">
        <f>#REF!</f>
        <v>#REF!</v>
      </c>
      <c r="E191" t="e">
        <f>#REF!</f>
        <v>#REF!</v>
      </c>
      <c r="F191" t="e">
        <f>#REF!</f>
        <v>#REF!</v>
      </c>
    </row>
    <row r="192" spans="1:6" x14ac:dyDescent="0.3">
      <c r="A192" t="e">
        <f>#REF!</f>
        <v>#REF!</v>
      </c>
      <c r="B192" t="e">
        <f>#REF!</f>
        <v>#REF!</v>
      </c>
      <c r="C192" t="e">
        <f>#REF!</f>
        <v>#REF!</v>
      </c>
      <c r="D192" t="e">
        <f>#REF!</f>
        <v>#REF!</v>
      </c>
      <c r="E192" t="e">
        <f>#REF!</f>
        <v>#REF!</v>
      </c>
      <c r="F192" t="e">
        <f>#REF!</f>
        <v>#REF!</v>
      </c>
    </row>
    <row r="193" spans="1:6" x14ac:dyDescent="0.3">
      <c r="A193" t="e">
        <f>#REF!</f>
        <v>#REF!</v>
      </c>
      <c r="B193" t="e">
        <f>#REF!</f>
        <v>#REF!</v>
      </c>
      <c r="C193" t="e">
        <f>#REF!</f>
        <v>#REF!</v>
      </c>
      <c r="D193" t="e">
        <f>#REF!</f>
        <v>#REF!</v>
      </c>
      <c r="E193" t="e">
        <f>#REF!</f>
        <v>#REF!</v>
      </c>
      <c r="F193" t="e">
        <f>#REF!</f>
        <v>#REF!</v>
      </c>
    </row>
    <row r="194" spans="1:6" x14ac:dyDescent="0.3">
      <c r="A194" t="e">
        <f>#REF!</f>
        <v>#REF!</v>
      </c>
      <c r="B194" t="e">
        <f>#REF!</f>
        <v>#REF!</v>
      </c>
      <c r="C194" t="e">
        <f>#REF!</f>
        <v>#REF!</v>
      </c>
      <c r="D194" t="e">
        <f>#REF!</f>
        <v>#REF!</v>
      </c>
      <c r="E194" t="e">
        <f>#REF!</f>
        <v>#REF!</v>
      </c>
      <c r="F194" t="e">
        <f>#REF!</f>
        <v>#REF!</v>
      </c>
    </row>
    <row r="195" spans="1:6" x14ac:dyDescent="0.3">
      <c r="A195" t="e">
        <f>#REF!</f>
        <v>#REF!</v>
      </c>
      <c r="B195" t="e">
        <f>#REF!</f>
        <v>#REF!</v>
      </c>
      <c r="C195" t="e">
        <f>#REF!</f>
        <v>#REF!</v>
      </c>
      <c r="D195" t="e">
        <f>#REF!</f>
        <v>#REF!</v>
      </c>
      <c r="E195" t="e">
        <f>#REF!</f>
        <v>#REF!</v>
      </c>
      <c r="F195" t="e">
        <f>#REF!</f>
        <v>#REF!</v>
      </c>
    </row>
    <row r="196" spans="1:6" x14ac:dyDescent="0.3">
      <c r="A196" t="e">
        <f>#REF!</f>
        <v>#REF!</v>
      </c>
      <c r="B196" t="e">
        <f>#REF!</f>
        <v>#REF!</v>
      </c>
      <c r="C196" t="e">
        <f>#REF!</f>
        <v>#REF!</v>
      </c>
      <c r="D196" t="e">
        <f>#REF!</f>
        <v>#REF!</v>
      </c>
      <c r="E196" t="e">
        <f>#REF!</f>
        <v>#REF!</v>
      </c>
      <c r="F196" t="e">
        <f>#REF!</f>
        <v>#REF!</v>
      </c>
    </row>
    <row r="197" spans="1:6" x14ac:dyDescent="0.3">
      <c r="A197" t="e">
        <f>#REF!</f>
        <v>#REF!</v>
      </c>
      <c r="B197" t="e">
        <f>#REF!</f>
        <v>#REF!</v>
      </c>
      <c r="C197" t="e">
        <f>#REF!</f>
        <v>#REF!</v>
      </c>
      <c r="D197" t="e">
        <f>#REF!</f>
        <v>#REF!</v>
      </c>
      <c r="E197" t="e">
        <f>#REF!</f>
        <v>#REF!</v>
      </c>
      <c r="F197" t="e">
        <f>#REF!</f>
        <v>#REF!</v>
      </c>
    </row>
    <row r="198" spans="1:6" x14ac:dyDescent="0.3">
      <c r="A198" t="e">
        <f>#REF!</f>
        <v>#REF!</v>
      </c>
      <c r="B198" t="e">
        <f>#REF!</f>
        <v>#REF!</v>
      </c>
      <c r="C198" t="e">
        <f>#REF!</f>
        <v>#REF!</v>
      </c>
      <c r="D198" t="e">
        <f>#REF!</f>
        <v>#REF!</v>
      </c>
      <c r="E198" t="e">
        <f>#REF!</f>
        <v>#REF!</v>
      </c>
      <c r="F198" t="e">
        <f>#REF!</f>
        <v>#REF!</v>
      </c>
    </row>
    <row r="199" spans="1:6" x14ac:dyDescent="0.3">
      <c r="A199" t="e">
        <f>#REF!</f>
        <v>#REF!</v>
      </c>
      <c r="B199" t="e">
        <f>#REF!</f>
        <v>#REF!</v>
      </c>
      <c r="C199" t="e">
        <f>#REF!</f>
        <v>#REF!</v>
      </c>
      <c r="D199" t="e">
        <f>#REF!</f>
        <v>#REF!</v>
      </c>
      <c r="E199" t="e">
        <f>#REF!</f>
        <v>#REF!</v>
      </c>
      <c r="F199" t="e">
        <f>#REF!</f>
        <v>#REF!</v>
      </c>
    </row>
    <row r="200" spans="1:6" x14ac:dyDescent="0.3">
      <c r="A200" t="e">
        <f>#REF!</f>
        <v>#REF!</v>
      </c>
      <c r="B200" t="e">
        <f>#REF!</f>
        <v>#REF!</v>
      </c>
      <c r="C200" t="e">
        <f>#REF!</f>
        <v>#REF!</v>
      </c>
      <c r="D200" t="e">
        <f>#REF!</f>
        <v>#REF!</v>
      </c>
      <c r="E200" t="e">
        <f>#REF!</f>
        <v>#REF!</v>
      </c>
      <c r="F200" t="e">
        <f>#REF!</f>
        <v>#REF!</v>
      </c>
    </row>
    <row r="201" spans="1:6" x14ac:dyDescent="0.3">
      <c r="A201" t="e">
        <f>#REF!</f>
        <v>#REF!</v>
      </c>
      <c r="B201" t="e">
        <f>#REF!</f>
        <v>#REF!</v>
      </c>
      <c r="C201" t="e">
        <f>#REF!</f>
        <v>#REF!</v>
      </c>
      <c r="D201" t="e">
        <f>#REF!</f>
        <v>#REF!</v>
      </c>
      <c r="E201" t="e">
        <f>#REF!</f>
        <v>#REF!</v>
      </c>
      <c r="F201" t="e">
        <f>#REF!</f>
        <v>#REF!</v>
      </c>
    </row>
    <row r="202" spans="1:6" x14ac:dyDescent="0.3">
      <c r="A202" t="e">
        <f>#REF!</f>
        <v>#REF!</v>
      </c>
      <c r="B202" t="e">
        <f>#REF!</f>
        <v>#REF!</v>
      </c>
      <c r="C202" t="e">
        <f>#REF!</f>
        <v>#REF!</v>
      </c>
      <c r="D202" t="e">
        <f>#REF!</f>
        <v>#REF!</v>
      </c>
      <c r="E202" t="e">
        <f>#REF!</f>
        <v>#REF!</v>
      </c>
      <c r="F202" t="e">
        <f>#REF!</f>
        <v>#REF!</v>
      </c>
    </row>
    <row r="203" spans="1:6" x14ac:dyDescent="0.3">
      <c r="A203" t="e">
        <f>#REF!</f>
        <v>#REF!</v>
      </c>
      <c r="B203" t="e">
        <f>#REF!</f>
        <v>#REF!</v>
      </c>
      <c r="C203" t="e">
        <f>#REF!</f>
        <v>#REF!</v>
      </c>
      <c r="D203" t="e">
        <f>#REF!</f>
        <v>#REF!</v>
      </c>
      <c r="E203" t="e">
        <f>#REF!</f>
        <v>#REF!</v>
      </c>
      <c r="F203" t="e">
        <f>#REF!</f>
        <v>#REF!</v>
      </c>
    </row>
    <row r="204" spans="1:6" x14ac:dyDescent="0.3">
      <c r="A204" t="e">
        <f>#REF!</f>
        <v>#REF!</v>
      </c>
      <c r="B204" t="e">
        <f>#REF!</f>
        <v>#REF!</v>
      </c>
      <c r="C204" t="e">
        <f>#REF!</f>
        <v>#REF!</v>
      </c>
      <c r="D204" t="e">
        <f>#REF!</f>
        <v>#REF!</v>
      </c>
      <c r="E204" t="e">
        <f>#REF!</f>
        <v>#REF!</v>
      </c>
      <c r="F204" t="e">
        <f>#REF!</f>
        <v>#REF!</v>
      </c>
    </row>
    <row r="205" spans="1:6" x14ac:dyDescent="0.3">
      <c r="A205" t="e">
        <f>#REF!</f>
        <v>#REF!</v>
      </c>
      <c r="B205" t="e">
        <f>#REF!</f>
        <v>#REF!</v>
      </c>
      <c r="C205" t="e">
        <f>#REF!</f>
        <v>#REF!</v>
      </c>
      <c r="D205" t="e">
        <f>#REF!</f>
        <v>#REF!</v>
      </c>
      <c r="E205" t="e">
        <f>#REF!</f>
        <v>#REF!</v>
      </c>
      <c r="F205" t="e">
        <f>#REF!</f>
        <v>#REF!</v>
      </c>
    </row>
    <row r="206" spans="1:6" x14ac:dyDescent="0.3">
      <c r="A206" t="e">
        <f>#REF!</f>
        <v>#REF!</v>
      </c>
      <c r="B206" t="e">
        <f>#REF!</f>
        <v>#REF!</v>
      </c>
      <c r="C206" t="e">
        <f>#REF!</f>
        <v>#REF!</v>
      </c>
      <c r="D206" t="e">
        <f>#REF!</f>
        <v>#REF!</v>
      </c>
      <c r="E206" t="e">
        <f>#REF!</f>
        <v>#REF!</v>
      </c>
      <c r="F206" t="e">
        <f>#REF!</f>
        <v>#REF!</v>
      </c>
    </row>
    <row r="207" spans="1:6" x14ac:dyDescent="0.3">
      <c r="A207" t="e">
        <f>#REF!</f>
        <v>#REF!</v>
      </c>
      <c r="B207" t="e">
        <f>#REF!</f>
        <v>#REF!</v>
      </c>
      <c r="C207" t="e">
        <f>#REF!</f>
        <v>#REF!</v>
      </c>
      <c r="D207" t="e">
        <f>#REF!</f>
        <v>#REF!</v>
      </c>
      <c r="E207" t="e">
        <f>#REF!</f>
        <v>#REF!</v>
      </c>
      <c r="F207" t="e">
        <f>#REF!</f>
        <v>#REF!</v>
      </c>
    </row>
    <row r="208" spans="1:6" x14ac:dyDescent="0.3">
      <c r="A208" t="e">
        <f>#REF!</f>
        <v>#REF!</v>
      </c>
      <c r="B208" t="e">
        <f>#REF!</f>
        <v>#REF!</v>
      </c>
      <c r="C208" t="e">
        <f>#REF!</f>
        <v>#REF!</v>
      </c>
      <c r="D208" t="e">
        <f>#REF!</f>
        <v>#REF!</v>
      </c>
      <c r="E208" t="e">
        <f>#REF!</f>
        <v>#REF!</v>
      </c>
      <c r="F208" t="e">
        <f>#REF!</f>
        <v>#REF!</v>
      </c>
    </row>
    <row r="209" spans="1:6" x14ac:dyDescent="0.3">
      <c r="A209" t="e">
        <f>#REF!</f>
        <v>#REF!</v>
      </c>
      <c r="B209" t="e">
        <f>#REF!</f>
        <v>#REF!</v>
      </c>
      <c r="C209" t="e">
        <f>#REF!</f>
        <v>#REF!</v>
      </c>
      <c r="D209" t="e">
        <f>#REF!</f>
        <v>#REF!</v>
      </c>
      <c r="E209" t="e">
        <f>#REF!</f>
        <v>#REF!</v>
      </c>
      <c r="F209" t="e">
        <f>#REF!</f>
        <v>#REF!</v>
      </c>
    </row>
    <row r="210" spans="1:6" x14ac:dyDescent="0.3">
      <c r="A210" t="e">
        <f>#REF!</f>
        <v>#REF!</v>
      </c>
      <c r="B210" t="e">
        <f>#REF!</f>
        <v>#REF!</v>
      </c>
      <c r="C210" t="e">
        <f>#REF!</f>
        <v>#REF!</v>
      </c>
      <c r="D210" t="e">
        <f>#REF!</f>
        <v>#REF!</v>
      </c>
      <c r="E210" t="e">
        <f>#REF!</f>
        <v>#REF!</v>
      </c>
      <c r="F210" t="e">
        <f>#REF!</f>
        <v>#REF!</v>
      </c>
    </row>
    <row r="211" spans="1:6" x14ac:dyDescent="0.3">
      <c r="A211" t="e">
        <f>#REF!</f>
        <v>#REF!</v>
      </c>
      <c r="B211" t="e">
        <f>#REF!</f>
        <v>#REF!</v>
      </c>
      <c r="C211" t="e">
        <f>#REF!</f>
        <v>#REF!</v>
      </c>
      <c r="D211" t="e">
        <f>#REF!</f>
        <v>#REF!</v>
      </c>
      <c r="E211" t="e">
        <f>#REF!</f>
        <v>#REF!</v>
      </c>
      <c r="F211" t="e">
        <f>#REF!</f>
        <v>#REF!</v>
      </c>
    </row>
    <row r="212" spans="1:6" x14ac:dyDescent="0.3">
      <c r="A212" t="e">
        <f>#REF!</f>
        <v>#REF!</v>
      </c>
      <c r="B212" t="e">
        <f>#REF!</f>
        <v>#REF!</v>
      </c>
      <c r="C212" t="e">
        <f>#REF!</f>
        <v>#REF!</v>
      </c>
      <c r="D212" t="e">
        <f>#REF!</f>
        <v>#REF!</v>
      </c>
      <c r="E212" t="e">
        <f>#REF!</f>
        <v>#REF!</v>
      </c>
      <c r="F212" t="e">
        <f>#REF!</f>
        <v>#REF!</v>
      </c>
    </row>
    <row r="213" spans="1:6" x14ac:dyDescent="0.3">
      <c r="A213" t="e">
        <f>#REF!</f>
        <v>#REF!</v>
      </c>
      <c r="B213" t="e">
        <f>#REF!</f>
        <v>#REF!</v>
      </c>
      <c r="C213" t="e">
        <f>#REF!</f>
        <v>#REF!</v>
      </c>
      <c r="D213" t="e">
        <f>#REF!</f>
        <v>#REF!</v>
      </c>
      <c r="E213" t="e">
        <f>#REF!</f>
        <v>#REF!</v>
      </c>
      <c r="F213" t="e">
        <f>#REF!</f>
        <v>#REF!</v>
      </c>
    </row>
    <row r="214" spans="1:6" x14ac:dyDescent="0.3">
      <c r="A214" t="e">
        <f>#REF!</f>
        <v>#REF!</v>
      </c>
      <c r="B214" t="e">
        <f>#REF!</f>
        <v>#REF!</v>
      </c>
      <c r="C214" t="e">
        <f>#REF!</f>
        <v>#REF!</v>
      </c>
      <c r="D214" t="e">
        <f>#REF!</f>
        <v>#REF!</v>
      </c>
      <c r="E214" t="e">
        <f>#REF!</f>
        <v>#REF!</v>
      </c>
      <c r="F214" t="e">
        <f>#REF!</f>
        <v>#REF!</v>
      </c>
    </row>
    <row r="215" spans="1:6" x14ac:dyDescent="0.3">
      <c r="A215" t="e">
        <f>#REF!</f>
        <v>#REF!</v>
      </c>
      <c r="B215" t="e">
        <f>#REF!</f>
        <v>#REF!</v>
      </c>
      <c r="C215" t="e">
        <f>#REF!</f>
        <v>#REF!</v>
      </c>
      <c r="D215" t="e">
        <f>#REF!</f>
        <v>#REF!</v>
      </c>
      <c r="E215" t="e">
        <f>#REF!</f>
        <v>#REF!</v>
      </c>
      <c r="F215" t="e">
        <f>#REF!</f>
        <v>#REF!</v>
      </c>
    </row>
    <row r="216" spans="1:6" x14ac:dyDescent="0.3">
      <c r="A216" t="e">
        <f>#REF!</f>
        <v>#REF!</v>
      </c>
      <c r="B216" t="e">
        <f>#REF!</f>
        <v>#REF!</v>
      </c>
      <c r="C216" t="e">
        <f>#REF!</f>
        <v>#REF!</v>
      </c>
      <c r="D216" t="e">
        <f>#REF!</f>
        <v>#REF!</v>
      </c>
      <c r="E216" t="e">
        <f>#REF!</f>
        <v>#REF!</v>
      </c>
      <c r="F216" t="e">
        <f>#REF!</f>
        <v>#REF!</v>
      </c>
    </row>
    <row r="217" spans="1:6" x14ac:dyDescent="0.3">
      <c r="A217" t="e">
        <f>#REF!</f>
        <v>#REF!</v>
      </c>
      <c r="B217" t="e">
        <f>#REF!</f>
        <v>#REF!</v>
      </c>
      <c r="C217" t="e">
        <f>#REF!</f>
        <v>#REF!</v>
      </c>
      <c r="D217" t="e">
        <f>#REF!</f>
        <v>#REF!</v>
      </c>
      <c r="E217" t="e">
        <f>#REF!</f>
        <v>#REF!</v>
      </c>
      <c r="F217" t="e">
        <f>#REF!</f>
        <v>#REF!</v>
      </c>
    </row>
    <row r="218" spans="1:6" x14ac:dyDescent="0.3">
      <c r="A218" t="e">
        <f>#REF!</f>
        <v>#REF!</v>
      </c>
      <c r="B218" t="e">
        <f>#REF!</f>
        <v>#REF!</v>
      </c>
      <c r="C218" t="e">
        <f>#REF!</f>
        <v>#REF!</v>
      </c>
      <c r="D218" t="e">
        <f>#REF!</f>
        <v>#REF!</v>
      </c>
      <c r="E218" t="e">
        <f>#REF!</f>
        <v>#REF!</v>
      </c>
      <c r="F218" t="e">
        <f>#REF!</f>
        <v>#REF!</v>
      </c>
    </row>
    <row r="219" spans="1:6" x14ac:dyDescent="0.3">
      <c r="A219" t="e">
        <f>#REF!</f>
        <v>#REF!</v>
      </c>
      <c r="B219" t="e">
        <f>#REF!</f>
        <v>#REF!</v>
      </c>
      <c r="C219" t="e">
        <f>#REF!</f>
        <v>#REF!</v>
      </c>
      <c r="D219" t="e">
        <f>#REF!</f>
        <v>#REF!</v>
      </c>
      <c r="E219" t="e">
        <f>#REF!</f>
        <v>#REF!</v>
      </c>
      <c r="F219" t="e">
        <f>#REF!</f>
        <v>#REF!</v>
      </c>
    </row>
    <row r="220" spans="1:6" x14ac:dyDescent="0.3">
      <c r="A220" t="e">
        <f>#REF!</f>
        <v>#REF!</v>
      </c>
      <c r="B220" t="e">
        <f>#REF!</f>
        <v>#REF!</v>
      </c>
      <c r="C220" t="e">
        <f>#REF!</f>
        <v>#REF!</v>
      </c>
      <c r="D220" t="e">
        <f>#REF!</f>
        <v>#REF!</v>
      </c>
      <c r="E220" t="e">
        <f>#REF!</f>
        <v>#REF!</v>
      </c>
      <c r="F220" t="e">
        <f>#REF!</f>
        <v>#REF!</v>
      </c>
    </row>
    <row r="221" spans="1:6" x14ac:dyDescent="0.3">
      <c r="A221" t="e">
        <f>#REF!</f>
        <v>#REF!</v>
      </c>
      <c r="B221" t="e">
        <f>#REF!</f>
        <v>#REF!</v>
      </c>
      <c r="C221" t="e">
        <f>#REF!</f>
        <v>#REF!</v>
      </c>
      <c r="D221" t="e">
        <f>#REF!</f>
        <v>#REF!</v>
      </c>
      <c r="E221" t="e">
        <f>#REF!</f>
        <v>#REF!</v>
      </c>
      <c r="F221" t="e">
        <f>#REF!</f>
        <v>#REF!</v>
      </c>
    </row>
    <row r="222" spans="1:6" x14ac:dyDescent="0.3">
      <c r="A222" t="e">
        <f>#REF!</f>
        <v>#REF!</v>
      </c>
      <c r="B222" t="e">
        <f>#REF!</f>
        <v>#REF!</v>
      </c>
      <c r="C222" t="e">
        <f>#REF!</f>
        <v>#REF!</v>
      </c>
      <c r="D222" t="e">
        <f>#REF!</f>
        <v>#REF!</v>
      </c>
      <c r="E222" t="e">
        <f>#REF!</f>
        <v>#REF!</v>
      </c>
      <c r="F222" t="e">
        <f>#REF!</f>
        <v>#REF!</v>
      </c>
    </row>
    <row r="223" spans="1:6" x14ac:dyDescent="0.3">
      <c r="A223" t="e">
        <f>#REF!</f>
        <v>#REF!</v>
      </c>
      <c r="B223" t="e">
        <f>#REF!</f>
        <v>#REF!</v>
      </c>
      <c r="C223" t="e">
        <f>#REF!</f>
        <v>#REF!</v>
      </c>
      <c r="D223" t="e">
        <f>#REF!</f>
        <v>#REF!</v>
      </c>
      <c r="E223" t="e">
        <f>#REF!</f>
        <v>#REF!</v>
      </c>
      <c r="F223" t="e">
        <f>#REF!</f>
        <v>#REF!</v>
      </c>
    </row>
    <row r="224" spans="1:6" x14ac:dyDescent="0.3">
      <c r="A224" t="e">
        <f>#REF!</f>
        <v>#REF!</v>
      </c>
      <c r="B224" t="e">
        <f>#REF!</f>
        <v>#REF!</v>
      </c>
      <c r="C224" t="e">
        <f>#REF!</f>
        <v>#REF!</v>
      </c>
      <c r="D224" t="e">
        <f>#REF!</f>
        <v>#REF!</v>
      </c>
      <c r="E224" t="e">
        <f>#REF!</f>
        <v>#REF!</v>
      </c>
      <c r="F224" t="e">
        <f>#REF!</f>
        <v>#REF!</v>
      </c>
    </row>
    <row r="225" spans="1:6" x14ac:dyDescent="0.3">
      <c r="A225" t="e">
        <f>#REF!</f>
        <v>#REF!</v>
      </c>
      <c r="B225" t="e">
        <f>#REF!</f>
        <v>#REF!</v>
      </c>
      <c r="C225" t="e">
        <f>#REF!</f>
        <v>#REF!</v>
      </c>
      <c r="D225" t="e">
        <f>#REF!</f>
        <v>#REF!</v>
      </c>
      <c r="E225" t="e">
        <f>#REF!</f>
        <v>#REF!</v>
      </c>
      <c r="F225" t="e">
        <f>#REF!</f>
        <v>#REF!</v>
      </c>
    </row>
    <row r="226" spans="1:6" x14ac:dyDescent="0.3">
      <c r="A226" t="e">
        <f>#REF!</f>
        <v>#REF!</v>
      </c>
      <c r="B226" t="e">
        <f>#REF!</f>
        <v>#REF!</v>
      </c>
      <c r="C226" t="e">
        <f>#REF!</f>
        <v>#REF!</v>
      </c>
      <c r="D226" t="e">
        <f>#REF!</f>
        <v>#REF!</v>
      </c>
      <c r="E226" t="e">
        <f>#REF!</f>
        <v>#REF!</v>
      </c>
      <c r="F226" t="e">
        <f>#REF!</f>
        <v>#REF!</v>
      </c>
    </row>
    <row r="227" spans="1:6" x14ac:dyDescent="0.3">
      <c r="A227" t="e">
        <f>#REF!</f>
        <v>#REF!</v>
      </c>
      <c r="B227" t="e">
        <f>#REF!</f>
        <v>#REF!</v>
      </c>
      <c r="C227" t="e">
        <f>#REF!</f>
        <v>#REF!</v>
      </c>
      <c r="D227" t="e">
        <f>#REF!</f>
        <v>#REF!</v>
      </c>
      <c r="E227" t="e">
        <f>#REF!</f>
        <v>#REF!</v>
      </c>
      <c r="F227" t="e">
        <f>#REF!</f>
        <v>#REF!</v>
      </c>
    </row>
    <row r="228" spans="1:6" x14ac:dyDescent="0.3">
      <c r="A228" t="e">
        <f>#REF!</f>
        <v>#REF!</v>
      </c>
      <c r="B228" t="e">
        <f>#REF!</f>
        <v>#REF!</v>
      </c>
      <c r="C228" t="e">
        <f>#REF!</f>
        <v>#REF!</v>
      </c>
      <c r="D228" t="e">
        <f>#REF!</f>
        <v>#REF!</v>
      </c>
      <c r="E228" t="e">
        <f>#REF!</f>
        <v>#REF!</v>
      </c>
      <c r="F228" t="e">
        <f>#REF!</f>
        <v>#REF!</v>
      </c>
    </row>
    <row r="229" spans="1:6" x14ac:dyDescent="0.3">
      <c r="A229" t="e">
        <f>#REF!</f>
        <v>#REF!</v>
      </c>
      <c r="B229" t="e">
        <f>#REF!</f>
        <v>#REF!</v>
      </c>
      <c r="C229" t="e">
        <f>#REF!</f>
        <v>#REF!</v>
      </c>
      <c r="D229" t="e">
        <f>#REF!</f>
        <v>#REF!</v>
      </c>
      <c r="E229" t="e">
        <f>#REF!</f>
        <v>#REF!</v>
      </c>
      <c r="F229" t="e">
        <f>#REF!</f>
        <v>#REF!</v>
      </c>
    </row>
    <row r="230" spans="1:6" x14ac:dyDescent="0.3">
      <c r="A230" t="e">
        <f>#REF!</f>
        <v>#REF!</v>
      </c>
      <c r="B230" t="e">
        <f>#REF!</f>
        <v>#REF!</v>
      </c>
      <c r="C230" t="e">
        <f>#REF!</f>
        <v>#REF!</v>
      </c>
      <c r="D230" t="e">
        <f>#REF!</f>
        <v>#REF!</v>
      </c>
      <c r="E230" t="e">
        <f>#REF!</f>
        <v>#REF!</v>
      </c>
      <c r="F230" t="e">
        <f>#REF!</f>
        <v>#REF!</v>
      </c>
    </row>
    <row r="231" spans="1:6" x14ac:dyDescent="0.3">
      <c r="A231" t="e">
        <f>#REF!</f>
        <v>#REF!</v>
      </c>
      <c r="B231" t="e">
        <f>#REF!</f>
        <v>#REF!</v>
      </c>
      <c r="C231" t="e">
        <f>#REF!</f>
        <v>#REF!</v>
      </c>
      <c r="D231" t="e">
        <f>#REF!</f>
        <v>#REF!</v>
      </c>
      <c r="E231" t="e">
        <f>#REF!</f>
        <v>#REF!</v>
      </c>
      <c r="F231" t="e">
        <f>#REF!</f>
        <v>#REF!</v>
      </c>
    </row>
    <row r="232" spans="1:6" x14ac:dyDescent="0.3">
      <c r="A232" t="e">
        <f>#REF!</f>
        <v>#REF!</v>
      </c>
      <c r="B232" t="e">
        <f>#REF!</f>
        <v>#REF!</v>
      </c>
      <c r="C232" t="e">
        <f>#REF!</f>
        <v>#REF!</v>
      </c>
      <c r="D232" t="e">
        <f>#REF!</f>
        <v>#REF!</v>
      </c>
      <c r="E232" t="e">
        <f>#REF!</f>
        <v>#REF!</v>
      </c>
      <c r="F232" t="e">
        <f>#REF!</f>
        <v>#REF!</v>
      </c>
    </row>
    <row r="233" spans="1:6" x14ac:dyDescent="0.3">
      <c r="A233" t="e">
        <f>#REF!</f>
        <v>#REF!</v>
      </c>
      <c r="B233" t="e">
        <f>#REF!</f>
        <v>#REF!</v>
      </c>
      <c r="C233" t="e">
        <f>#REF!</f>
        <v>#REF!</v>
      </c>
      <c r="D233" t="e">
        <f>#REF!</f>
        <v>#REF!</v>
      </c>
      <c r="E233" t="e">
        <f>#REF!</f>
        <v>#REF!</v>
      </c>
      <c r="F233" t="e">
        <f>#REF!</f>
        <v>#REF!</v>
      </c>
    </row>
    <row r="234" spans="1:6" x14ac:dyDescent="0.3">
      <c r="A234" t="e">
        <f>#REF!</f>
        <v>#REF!</v>
      </c>
      <c r="B234" t="e">
        <f>#REF!</f>
        <v>#REF!</v>
      </c>
      <c r="C234" t="e">
        <f>#REF!</f>
        <v>#REF!</v>
      </c>
      <c r="D234" t="e">
        <f>#REF!</f>
        <v>#REF!</v>
      </c>
      <c r="E234" t="e">
        <f>#REF!</f>
        <v>#REF!</v>
      </c>
      <c r="F234" t="e">
        <f>#REF!</f>
        <v>#REF!</v>
      </c>
    </row>
    <row r="235" spans="1:6" x14ac:dyDescent="0.3">
      <c r="A235" t="e">
        <f>#REF!</f>
        <v>#REF!</v>
      </c>
      <c r="B235" t="e">
        <f>#REF!</f>
        <v>#REF!</v>
      </c>
      <c r="C235" t="e">
        <f>#REF!</f>
        <v>#REF!</v>
      </c>
      <c r="D235" t="e">
        <f>#REF!</f>
        <v>#REF!</v>
      </c>
      <c r="E235" t="e">
        <f>#REF!</f>
        <v>#REF!</v>
      </c>
      <c r="F235" t="e">
        <f>#REF!</f>
        <v>#REF!</v>
      </c>
    </row>
    <row r="236" spans="1:6" x14ac:dyDescent="0.3">
      <c r="A236" t="e">
        <f>#REF!</f>
        <v>#REF!</v>
      </c>
      <c r="B236" t="e">
        <f>#REF!</f>
        <v>#REF!</v>
      </c>
      <c r="C236" t="e">
        <f>#REF!</f>
        <v>#REF!</v>
      </c>
      <c r="D236" t="e">
        <f>#REF!</f>
        <v>#REF!</v>
      </c>
      <c r="E236" t="e">
        <f>#REF!</f>
        <v>#REF!</v>
      </c>
      <c r="F236" t="e">
        <f>#REF!</f>
        <v>#REF!</v>
      </c>
    </row>
    <row r="237" spans="1:6" x14ac:dyDescent="0.3">
      <c r="A237" t="e">
        <f>#REF!</f>
        <v>#REF!</v>
      </c>
      <c r="B237" t="e">
        <f>#REF!</f>
        <v>#REF!</v>
      </c>
      <c r="C237" t="e">
        <f>#REF!</f>
        <v>#REF!</v>
      </c>
      <c r="D237" t="e">
        <f>#REF!</f>
        <v>#REF!</v>
      </c>
      <c r="E237" t="e">
        <f>#REF!</f>
        <v>#REF!</v>
      </c>
      <c r="F237" t="e">
        <f>#REF!</f>
        <v>#REF!</v>
      </c>
    </row>
    <row r="238" spans="1:6" x14ac:dyDescent="0.3">
      <c r="A238" t="e">
        <f>#REF!</f>
        <v>#REF!</v>
      </c>
      <c r="B238" t="e">
        <f>#REF!</f>
        <v>#REF!</v>
      </c>
      <c r="C238" t="e">
        <f>#REF!</f>
        <v>#REF!</v>
      </c>
      <c r="D238" t="e">
        <f>#REF!</f>
        <v>#REF!</v>
      </c>
      <c r="E238" t="e">
        <f>#REF!</f>
        <v>#REF!</v>
      </c>
      <c r="F238" t="e">
        <f>#REF!</f>
        <v>#REF!</v>
      </c>
    </row>
    <row r="239" spans="1:6" x14ac:dyDescent="0.3">
      <c r="A239" t="e">
        <f>#REF!</f>
        <v>#REF!</v>
      </c>
      <c r="B239" t="e">
        <f>#REF!</f>
        <v>#REF!</v>
      </c>
      <c r="C239" t="e">
        <f>#REF!</f>
        <v>#REF!</v>
      </c>
      <c r="D239" t="e">
        <f>#REF!</f>
        <v>#REF!</v>
      </c>
      <c r="E239" t="e">
        <f>#REF!</f>
        <v>#REF!</v>
      </c>
      <c r="F239" t="e">
        <f>#REF!</f>
        <v>#REF!</v>
      </c>
    </row>
    <row r="240" spans="1:6" x14ac:dyDescent="0.3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</row>
    <row r="241" spans="1:6" x14ac:dyDescent="0.3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</row>
    <row r="242" spans="1:6" x14ac:dyDescent="0.3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</row>
    <row r="243" spans="1:6" x14ac:dyDescent="0.3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</row>
    <row r="244" spans="1:6" x14ac:dyDescent="0.3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</row>
    <row r="245" spans="1:6" x14ac:dyDescent="0.3">
      <c r="A245" t="e">
        <f>#REF!</f>
        <v>#REF!</v>
      </c>
      <c r="B245" t="e">
        <f>#REF!</f>
        <v>#REF!</v>
      </c>
      <c r="C245" t="e">
        <f>#REF!</f>
        <v>#REF!</v>
      </c>
      <c r="D245" t="e">
        <f>#REF!</f>
        <v>#REF!</v>
      </c>
      <c r="E245" t="e">
        <f>#REF!</f>
        <v>#REF!</v>
      </c>
      <c r="F245" t="e">
        <f>#REF!</f>
        <v>#REF!</v>
      </c>
    </row>
    <row r="246" spans="1:6" x14ac:dyDescent="0.3">
      <c r="A246" t="e">
        <f>#REF!</f>
        <v>#REF!</v>
      </c>
      <c r="B246" t="e">
        <f>#REF!</f>
        <v>#REF!</v>
      </c>
      <c r="C246" t="e">
        <f>#REF!</f>
        <v>#REF!</v>
      </c>
      <c r="D246" t="e">
        <f>#REF!</f>
        <v>#REF!</v>
      </c>
      <c r="E246" t="e">
        <f>#REF!</f>
        <v>#REF!</v>
      </c>
      <c r="F246" t="e">
        <f>#REF!</f>
        <v>#REF!</v>
      </c>
    </row>
    <row r="247" spans="1:6" x14ac:dyDescent="0.3">
      <c r="A247" t="e">
        <f>#REF!</f>
        <v>#REF!</v>
      </c>
      <c r="B247" t="e">
        <f>#REF!</f>
        <v>#REF!</v>
      </c>
      <c r="C247" t="e">
        <f>#REF!</f>
        <v>#REF!</v>
      </c>
      <c r="D247" t="e">
        <f>#REF!</f>
        <v>#REF!</v>
      </c>
      <c r="E247" t="e">
        <f>#REF!</f>
        <v>#REF!</v>
      </c>
      <c r="F247" t="e">
        <f>#REF!</f>
        <v>#REF!</v>
      </c>
    </row>
    <row r="248" spans="1:6" x14ac:dyDescent="0.3">
      <c r="A248" t="e">
        <f>#REF!</f>
        <v>#REF!</v>
      </c>
      <c r="B248" t="e">
        <f>#REF!</f>
        <v>#REF!</v>
      </c>
      <c r="C248" t="e">
        <f>#REF!</f>
        <v>#REF!</v>
      </c>
      <c r="D248" t="e">
        <f>#REF!</f>
        <v>#REF!</v>
      </c>
      <c r="E248" t="e">
        <f>#REF!</f>
        <v>#REF!</v>
      </c>
      <c r="F248" t="e">
        <f>#REF!</f>
        <v>#REF!</v>
      </c>
    </row>
    <row r="249" spans="1:6" x14ac:dyDescent="0.3">
      <c r="A249" t="e">
        <f>#REF!</f>
        <v>#REF!</v>
      </c>
      <c r="B249" t="e">
        <f>#REF!</f>
        <v>#REF!</v>
      </c>
      <c r="C249" t="e">
        <f>#REF!</f>
        <v>#REF!</v>
      </c>
      <c r="D249" t="e">
        <f>#REF!</f>
        <v>#REF!</v>
      </c>
      <c r="E249" t="e">
        <f>#REF!</f>
        <v>#REF!</v>
      </c>
      <c r="F249" t="e">
        <f>#REF!</f>
        <v>#REF!</v>
      </c>
    </row>
    <row r="250" spans="1:6" x14ac:dyDescent="0.3">
      <c r="A250" t="e">
        <f>#REF!</f>
        <v>#REF!</v>
      </c>
      <c r="B250" t="e">
        <f>#REF!</f>
        <v>#REF!</v>
      </c>
      <c r="C250" t="e">
        <f>#REF!</f>
        <v>#REF!</v>
      </c>
      <c r="D250" t="e">
        <f>#REF!</f>
        <v>#REF!</v>
      </c>
      <c r="E250" t="e">
        <f>#REF!</f>
        <v>#REF!</v>
      </c>
      <c r="F250" t="e">
        <f>#REF!</f>
        <v>#REF!</v>
      </c>
    </row>
    <row r="251" spans="1:6" x14ac:dyDescent="0.3">
      <c r="A251" t="e">
        <f>#REF!</f>
        <v>#REF!</v>
      </c>
      <c r="B251" t="e">
        <f>#REF!</f>
        <v>#REF!</v>
      </c>
      <c r="C251" t="e">
        <f>#REF!</f>
        <v>#REF!</v>
      </c>
      <c r="D251" t="e">
        <f>#REF!</f>
        <v>#REF!</v>
      </c>
      <c r="E251" t="e">
        <f>#REF!</f>
        <v>#REF!</v>
      </c>
      <c r="F251" t="e">
        <f>#REF!</f>
        <v>#REF!</v>
      </c>
    </row>
    <row r="252" spans="1:6" x14ac:dyDescent="0.3">
      <c r="A252" t="e">
        <f>#REF!</f>
        <v>#REF!</v>
      </c>
      <c r="B252" t="e">
        <f>#REF!</f>
        <v>#REF!</v>
      </c>
      <c r="C252" t="e">
        <f>#REF!</f>
        <v>#REF!</v>
      </c>
      <c r="D252" t="e">
        <f>#REF!</f>
        <v>#REF!</v>
      </c>
      <c r="E252" t="e">
        <f>#REF!</f>
        <v>#REF!</v>
      </c>
      <c r="F252" t="e">
        <f>#REF!</f>
        <v>#REF!</v>
      </c>
    </row>
    <row r="253" spans="1:6" x14ac:dyDescent="0.3">
      <c r="A253" t="e">
        <f>#REF!</f>
        <v>#REF!</v>
      </c>
      <c r="B253" t="e">
        <f>#REF!</f>
        <v>#REF!</v>
      </c>
      <c r="C253" t="e">
        <f>#REF!</f>
        <v>#REF!</v>
      </c>
      <c r="D253" t="e">
        <f>#REF!</f>
        <v>#REF!</v>
      </c>
      <c r="E253" t="e">
        <f>#REF!</f>
        <v>#REF!</v>
      </c>
      <c r="F253" t="e">
        <f>#REF!</f>
        <v>#REF!</v>
      </c>
    </row>
    <row r="254" spans="1:6" x14ac:dyDescent="0.3">
      <c r="A254" t="e">
        <f>#REF!</f>
        <v>#REF!</v>
      </c>
      <c r="B254" t="e">
        <f>#REF!</f>
        <v>#REF!</v>
      </c>
      <c r="C254" t="e">
        <f>#REF!</f>
        <v>#REF!</v>
      </c>
      <c r="D254" t="e">
        <f>#REF!</f>
        <v>#REF!</v>
      </c>
      <c r="E254" t="e">
        <f>#REF!</f>
        <v>#REF!</v>
      </c>
      <c r="F254" t="e">
        <f>#REF!</f>
        <v>#REF!</v>
      </c>
    </row>
    <row r="255" spans="1:6" x14ac:dyDescent="0.3">
      <c r="A255" t="e">
        <f>#REF!</f>
        <v>#REF!</v>
      </c>
      <c r="B255" t="e">
        <f>#REF!</f>
        <v>#REF!</v>
      </c>
      <c r="C255" t="e">
        <f>#REF!</f>
        <v>#REF!</v>
      </c>
      <c r="D255" t="e">
        <f>#REF!</f>
        <v>#REF!</v>
      </c>
      <c r="E255" t="e">
        <f>#REF!</f>
        <v>#REF!</v>
      </c>
      <c r="F255" t="e">
        <f>#REF!</f>
        <v>#REF!</v>
      </c>
    </row>
    <row r="256" spans="1:6" x14ac:dyDescent="0.3">
      <c r="A256" t="e">
        <f>#REF!</f>
        <v>#REF!</v>
      </c>
      <c r="B256" t="e">
        <f>#REF!</f>
        <v>#REF!</v>
      </c>
      <c r="C256" t="e">
        <f>#REF!</f>
        <v>#REF!</v>
      </c>
      <c r="D256" t="e">
        <f>#REF!</f>
        <v>#REF!</v>
      </c>
      <c r="E256" t="e">
        <f>#REF!</f>
        <v>#REF!</v>
      </c>
      <c r="F256" t="e">
        <f>#REF!</f>
        <v>#REF!</v>
      </c>
    </row>
    <row r="257" spans="1:6" x14ac:dyDescent="0.3">
      <c r="A257" t="e">
        <f>#REF!</f>
        <v>#REF!</v>
      </c>
      <c r="B257" t="e">
        <f>#REF!</f>
        <v>#REF!</v>
      </c>
      <c r="C257" t="e">
        <f>#REF!</f>
        <v>#REF!</v>
      </c>
      <c r="D257" t="e">
        <f>#REF!</f>
        <v>#REF!</v>
      </c>
      <c r="E257" t="e">
        <f>#REF!</f>
        <v>#REF!</v>
      </c>
      <c r="F257" t="e">
        <f>#REF!</f>
        <v>#REF!</v>
      </c>
    </row>
    <row r="258" spans="1:6" x14ac:dyDescent="0.3">
      <c r="A258" t="e">
        <f>#REF!</f>
        <v>#REF!</v>
      </c>
      <c r="B258" t="e">
        <f>#REF!</f>
        <v>#REF!</v>
      </c>
      <c r="C258" t="e">
        <f>#REF!</f>
        <v>#REF!</v>
      </c>
      <c r="D258" t="e">
        <f>#REF!</f>
        <v>#REF!</v>
      </c>
      <c r="E258" t="e">
        <f>#REF!</f>
        <v>#REF!</v>
      </c>
      <c r="F258" t="e">
        <f>#REF!</f>
        <v>#REF!</v>
      </c>
    </row>
    <row r="259" spans="1:6" x14ac:dyDescent="0.3">
      <c r="A259" t="e">
        <f>#REF!</f>
        <v>#REF!</v>
      </c>
      <c r="B259" t="e">
        <f>#REF!</f>
        <v>#REF!</v>
      </c>
      <c r="C259" t="e">
        <f>#REF!</f>
        <v>#REF!</v>
      </c>
      <c r="D259" t="e">
        <f>#REF!</f>
        <v>#REF!</v>
      </c>
      <c r="E259" t="e">
        <f>#REF!</f>
        <v>#REF!</v>
      </c>
      <c r="F259" t="e">
        <f>#REF!</f>
        <v>#REF!</v>
      </c>
    </row>
    <row r="260" spans="1:6" x14ac:dyDescent="0.3">
      <c r="A260" t="e">
        <f>#REF!</f>
        <v>#REF!</v>
      </c>
      <c r="B260" t="e">
        <f>#REF!</f>
        <v>#REF!</v>
      </c>
      <c r="C260" t="e">
        <f>#REF!</f>
        <v>#REF!</v>
      </c>
      <c r="D260" t="e">
        <f>#REF!</f>
        <v>#REF!</v>
      </c>
      <c r="E260" t="e">
        <f>#REF!</f>
        <v>#REF!</v>
      </c>
      <c r="F260" t="e">
        <f>#REF!</f>
        <v>#REF!</v>
      </c>
    </row>
    <row r="261" spans="1:6" x14ac:dyDescent="0.3">
      <c r="A261" t="e">
        <f>#REF!</f>
        <v>#REF!</v>
      </c>
      <c r="B261" t="e">
        <f>#REF!</f>
        <v>#REF!</v>
      </c>
      <c r="C261" t="e">
        <f>#REF!</f>
        <v>#REF!</v>
      </c>
      <c r="D261" t="e">
        <f>#REF!</f>
        <v>#REF!</v>
      </c>
      <c r="E261" t="e">
        <f>#REF!</f>
        <v>#REF!</v>
      </c>
      <c r="F261" t="e">
        <f>#REF!</f>
        <v>#REF!</v>
      </c>
    </row>
    <row r="262" spans="1:6" x14ac:dyDescent="0.3">
      <c r="A262" t="e">
        <f>#REF!</f>
        <v>#REF!</v>
      </c>
      <c r="B262" t="e">
        <f>#REF!</f>
        <v>#REF!</v>
      </c>
      <c r="C262" t="e">
        <f>#REF!</f>
        <v>#REF!</v>
      </c>
      <c r="D262" t="e">
        <f>#REF!</f>
        <v>#REF!</v>
      </c>
      <c r="E262" t="e">
        <f>#REF!</f>
        <v>#REF!</v>
      </c>
      <c r="F262" t="e">
        <f>#REF!</f>
        <v>#REF!</v>
      </c>
    </row>
    <row r="263" spans="1:6" x14ac:dyDescent="0.3">
      <c r="A263" t="e">
        <f>#REF!</f>
        <v>#REF!</v>
      </c>
      <c r="B263" t="e">
        <f>#REF!</f>
        <v>#REF!</v>
      </c>
      <c r="C263" t="e">
        <f>#REF!</f>
        <v>#REF!</v>
      </c>
      <c r="D263" t="e">
        <f>#REF!</f>
        <v>#REF!</v>
      </c>
      <c r="E263" t="e">
        <f>#REF!</f>
        <v>#REF!</v>
      </c>
      <c r="F263" t="e">
        <f>#REF!</f>
        <v>#REF!</v>
      </c>
    </row>
    <row r="264" spans="1:6" x14ac:dyDescent="0.3">
      <c r="A264" t="e">
        <f>#REF!</f>
        <v>#REF!</v>
      </c>
      <c r="B264" t="e">
        <f>#REF!</f>
        <v>#REF!</v>
      </c>
      <c r="C264" t="e">
        <f>#REF!</f>
        <v>#REF!</v>
      </c>
      <c r="D264" t="e">
        <f>#REF!</f>
        <v>#REF!</v>
      </c>
      <c r="E264" t="e">
        <f>#REF!</f>
        <v>#REF!</v>
      </c>
      <c r="F264" t="e">
        <f>#REF!</f>
        <v>#REF!</v>
      </c>
    </row>
    <row r="265" spans="1:6" x14ac:dyDescent="0.3">
      <c r="A265" t="e">
        <f>#REF!</f>
        <v>#REF!</v>
      </c>
      <c r="B265" t="e">
        <f>#REF!</f>
        <v>#REF!</v>
      </c>
      <c r="C265" t="e">
        <f>#REF!</f>
        <v>#REF!</v>
      </c>
      <c r="D265" t="e">
        <f>#REF!</f>
        <v>#REF!</v>
      </c>
      <c r="E265" t="e">
        <f>#REF!</f>
        <v>#REF!</v>
      </c>
      <c r="F265" t="e">
        <f>#REF!</f>
        <v>#REF!</v>
      </c>
    </row>
    <row r="266" spans="1:6" x14ac:dyDescent="0.3">
      <c r="A266" t="e">
        <f>#REF!</f>
        <v>#REF!</v>
      </c>
      <c r="B266" t="e">
        <f>#REF!</f>
        <v>#REF!</v>
      </c>
      <c r="C266" t="e">
        <f>#REF!</f>
        <v>#REF!</v>
      </c>
      <c r="D266" t="e">
        <f>#REF!</f>
        <v>#REF!</v>
      </c>
      <c r="E266" t="e">
        <f>#REF!</f>
        <v>#REF!</v>
      </c>
      <c r="F266" t="e">
        <f>#REF!</f>
        <v>#REF!</v>
      </c>
    </row>
    <row r="267" spans="1:6" x14ac:dyDescent="0.3">
      <c r="A267" t="e">
        <f>#REF!</f>
        <v>#REF!</v>
      </c>
      <c r="B267" t="e">
        <f>#REF!</f>
        <v>#REF!</v>
      </c>
      <c r="C267" t="e">
        <f>#REF!</f>
        <v>#REF!</v>
      </c>
      <c r="D267" t="e">
        <f>#REF!</f>
        <v>#REF!</v>
      </c>
      <c r="E267" t="e">
        <f>#REF!</f>
        <v>#REF!</v>
      </c>
      <c r="F267" t="e">
        <f>#REF!</f>
        <v>#REF!</v>
      </c>
    </row>
    <row r="268" spans="1:6" x14ac:dyDescent="0.3">
      <c r="A268" t="e">
        <f>#REF!</f>
        <v>#REF!</v>
      </c>
      <c r="B268" t="e">
        <f>#REF!</f>
        <v>#REF!</v>
      </c>
      <c r="C268" t="e">
        <f>#REF!</f>
        <v>#REF!</v>
      </c>
      <c r="D268" t="e">
        <f>#REF!</f>
        <v>#REF!</v>
      </c>
      <c r="E268" t="e">
        <f>#REF!</f>
        <v>#REF!</v>
      </c>
      <c r="F268" t="e">
        <f>#REF!</f>
        <v>#REF!</v>
      </c>
    </row>
    <row r="269" spans="1:6" x14ac:dyDescent="0.3">
      <c r="A269" t="e">
        <f>#REF!</f>
        <v>#REF!</v>
      </c>
      <c r="B269" t="e">
        <f>#REF!</f>
        <v>#REF!</v>
      </c>
      <c r="C269" t="e">
        <f>#REF!</f>
        <v>#REF!</v>
      </c>
      <c r="D269" t="e">
        <f>#REF!</f>
        <v>#REF!</v>
      </c>
      <c r="E269" t="e">
        <f>#REF!</f>
        <v>#REF!</v>
      </c>
      <c r="F269" t="e">
        <f>#REF!</f>
        <v>#REF!</v>
      </c>
    </row>
    <row r="270" spans="1:6" x14ac:dyDescent="0.3">
      <c r="A270" t="e">
        <f>#REF!</f>
        <v>#REF!</v>
      </c>
      <c r="B270" t="e">
        <f>#REF!</f>
        <v>#REF!</v>
      </c>
      <c r="C270" t="e">
        <f>#REF!</f>
        <v>#REF!</v>
      </c>
      <c r="D270" t="e">
        <f>#REF!</f>
        <v>#REF!</v>
      </c>
      <c r="E270" t="e">
        <f>#REF!</f>
        <v>#REF!</v>
      </c>
      <c r="F270" t="e">
        <f>#REF!</f>
        <v>#REF!</v>
      </c>
    </row>
    <row r="271" spans="1:6" x14ac:dyDescent="0.3">
      <c r="A271" t="e">
        <f>#REF!</f>
        <v>#REF!</v>
      </c>
      <c r="B271" t="e">
        <f>#REF!</f>
        <v>#REF!</v>
      </c>
      <c r="C271" t="e">
        <f>#REF!</f>
        <v>#REF!</v>
      </c>
      <c r="D271" t="e">
        <f>#REF!</f>
        <v>#REF!</v>
      </c>
      <c r="E271" t="e">
        <f>#REF!</f>
        <v>#REF!</v>
      </c>
      <c r="F271" t="e">
        <f>#REF!</f>
        <v>#REF!</v>
      </c>
    </row>
    <row r="272" spans="1:6" x14ac:dyDescent="0.3">
      <c r="A272" t="e">
        <f>#REF!</f>
        <v>#REF!</v>
      </c>
      <c r="B272" t="e">
        <f>#REF!</f>
        <v>#REF!</v>
      </c>
      <c r="C272" t="e">
        <f>#REF!</f>
        <v>#REF!</v>
      </c>
      <c r="D272" t="e">
        <f>#REF!</f>
        <v>#REF!</v>
      </c>
      <c r="E272" t="e">
        <f>#REF!</f>
        <v>#REF!</v>
      </c>
      <c r="F272" t="e">
        <f>#REF!</f>
        <v>#REF!</v>
      </c>
    </row>
    <row r="273" spans="1:6" x14ac:dyDescent="0.3">
      <c r="A273" t="e">
        <f>#REF!</f>
        <v>#REF!</v>
      </c>
      <c r="B273" t="e">
        <f>#REF!</f>
        <v>#REF!</v>
      </c>
      <c r="C273" t="e">
        <f>#REF!</f>
        <v>#REF!</v>
      </c>
      <c r="D273" t="e">
        <f>#REF!</f>
        <v>#REF!</v>
      </c>
      <c r="E273" t="e">
        <f>#REF!</f>
        <v>#REF!</v>
      </c>
      <c r="F273" t="e">
        <f>#REF!</f>
        <v>#REF!</v>
      </c>
    </row>
    <row r="274" spans="1:6" x14ac:dyDescent="0.3">
      <c r="A274" t="e">
        <f>#REF!</f>
        <v>#REF!</v>
      </c>
      <c r="B274" t="e">
        <f>#REF!</f>
        <v>#REF!</v>
      </c>
      <c r="C274" t="e">
        <f>#REF!</f>
        <v>#REF!</v>
      </c>
      <c r="D274" t="e">
        <f>#REF!</f>
        <v>#REF!</v>
      </c>
      <c r="E274" t="e">
        <f>#REF!</f>
        <v>#REF!</v>
      </c>
      <c r="F274" t="e">
        <f>#REF!</f>
        <v>#REF!</v>
      </c>
    </row>
    <row r="275" spans="1:6" x14ac:dyDescent="0.3">
      <c r="A275" t="e">
        <f>#REF!</f>
        <v>#REF!</v>
      </c>
      <c r="B275" t="e">
        <f>#REF!</f>
        <v>#REF!</v>
      </c>
      <c r="C275" t="e">
        <f>#REF!</f>
        <v>#REF!</v>
      </c>
      <c r="D275" t="e">
        <f>#REF!</f>
        <v>#REF!</v>
      </c>
      <c r="E275" t="e">
        <f>#REF!</f>
        <v>#REF!</v>
      </c>
      <c r="F275" t="e">
        <f>#REF!</f>
        <v>#REF!</v>
      </c>
    </row>
    <row r="276" spans="1:6" x14ac:dyDescent="0.3">
      <c r="A276" t="e">
        <f>#REF!</f>
        <v>#REF!</v>
      </c>
      <c r="B276" t="e">
        <f>#REF!</f>
        <v>#REF!</v>
      </c>
      <c r="C276" t="e">
        <f>#REF!</f>
        <v>#REF!</v>
      </c>
      <c r="D276" t="e">
        <f>#REF!</f>
        <v>#REF!</v>
      </c>
      <c r="E276" t="e">
        <f>#REF!</f>
        <v>#REF!</v>
      </c>
      <c r="F276" t="e">
        <f>#REF!</f>
        <v>#REF!</v>
      </c>
    </row>
    <row r="277" spans="1:6" x14ac:dyDescent="0.3">
      <c r="A277" t="e">
        <f>#REF!</f>
        <v>#REF!</v>
      </c>
      <c r="B277" t="e">
        <f>#REF!</f>
        <v>#REF!</v>
      </c>
      <c r="C277" t="e">
        <f>#REF!</f>
        <v>#REF!</v>
      </c>
      <c r="D277" t="e">
        <f>#REF!</f>
        <v>#REF!</v>
      </c>
      <c r="E277" t="e">
        <f>#REF!</f>
        <v>#REF!</v>
      </c>
      <c r="F277" t="e">
        <f>#REF!</f>
        <v>#REF!</v>
      </c>
    </row>
    <row r="278" spans="1:6" x14ac:dyDescent="0.3">
      <c r="A278" t="e">
        <f>#REF!</f>
        <v>#REF!</v>
      </c>
      <c r="B278" t="e">
        <f>#REF!</f>
        <v>#REF!</v>
      </c>
      <c r="C278" t="e">
        <f>#REF!</f>
        <v>#REF!</v>
      </c>
      <c r="D278" t="e">
        <f>#REF!</f>
        <v>#REF!</v>
      </c>
      <c r="E278" t="e">
        <f>#REF!</f>
        <v>#REF!</v>
      </c>
      <c r="F278" t="e">
        <f>#REF!</f>
        <v>#REF!</v>
      </c>
    </row>
    <row r="279" spans="1:6" x14ac:dyDescent="0.3">
      <c r="A279" t="e">
        <f>#REF!</f>
        <v>#REF!</v>
      </c>
      <c r="B279" t="e">
        <f>#REF!</f>
        <v>#REF!</v>
      </c>
      <c r="C279" t="e">
        <f>#REF!</f>
        <v>#REF!</v>
      </c>
      <c r="D279" t="e">
        <f>#REF!</f>
        <v>#REF!</v>
      </c>
      <c r="E279" t="e">
        <f>#REF!</f>
        <v>#REF!</v>
      </c>
      <c r="F279" t="e">
        <f>#REF!</f>
        <v>#REF!</v>
      </c>
    </row>
    <row r="280" spans="1:6" x14ac:dyDescent="0.3">
      <c r="A280" t="e">
        <f>#REF!</f>
        <v>#REF!</v>
      </c>
      <c r="B280" t="e">
        <f>#REF!</f>
        <v>#REF!</v>
      </c>
      <c r="C280" t="e">
        <f>#REF!</f>
        <v>#REF!</v>
      </c>
      <c r="D280" t="e">
        <f>#REF!</f>
        <v>#REF!</v>
      </c>
      <c r="E280" t="e">
        <f>#REF!</f>
        <v>#REF!</v>
      </c>
      <c r="F280" t="e">
        <f>#REF!</f>
        <v>#REF!</v>
      </c>
    </row>
    <row r="281" spans="1:6" x14ac:dyDescent="0.3">
      <c r="A281" t="e">
        <f>#REF!</f>
        <v>#REF!</v>
      </c>
      <c r="B281" t="e">
        <f>#REF!</f>
        <v>#REF!</v>
      </c>
      <c r="C281" t="e">
        <f>#REF!</f>
        <v>#REF!</v>
      </c>
      <c r="D281" t="e">
        <f>#REF!</f>
        <v>#REF!</v>
      </c>
      <c r="E281" t="e">
        <f>#REF!</f>
        <v>#REF!</v>
      </c>
      <c r="F281" t="e">
        <f>#REF!</f>
        <v>#REF!</v>
      </c>
    </row>
    <row r="282" spans="1:6" x14ac:dyDescent="0.3">
      <c r="A282" t="e">
        <f>#REF!</f>
        <v>#REF!</v>
      </c>
      <c r="B282" t="e">
        <f>#REF!</f>
        <v>#REF!</v>
      </c>
      <c r="C282" t="e">
        <f>#REF!</f>
        <v>#REF!</v>
      </c>
      <c r="D282" t="e">
        <f>#REF!</f>
        <v>#REF!</v>
      </c>
      <c r="E282" t="e">
        <f>#REF!</f>
        <v>#REF!</v>
      </c>
      <c r="F282" t="e">
        <f>#REF!</f>
        <v>#REF!</v>
      </c>
    </row>
    <row r="283" spans="1:6" x14ac:dyDescent="0.3">
      <c r="A283" t="e">
        <f>#REF!</f>
        <v>#REF!</v>
      </c>
      <c r="B283" t="e">
        <f>#REF!</f>
        <v>#REF!</v>
      </c>
      <c r="C283" t="e">
        <f>#REF!</f>
        <v>#REF!</v>
      </c>
      <c r="D283" t="e">
        <f>#REF!</f>
        <v>#REF!</v>
      </c>
      <c r="E283" t="e">
        <f>#REF!</f>
        <v>#REF!</v>
      </c>
      <c r="F283" t="e">
        <f>#REF!</f>
        <v>#REF!</v>
      </c>
    </row>
    <row r="284" spans="1:6" x14ac:dyDescent="0.3">
      <c r="A284" t="e">
        <f>#REF!</f>
        <v>#REF!</v>
      </c>
      <c r="B284" t="e">
        <f>#REF!</f>
        <v>#REF!</v>
      </c>
      <c r="C284" t="e">
        <f>#REF!</f>
        <v>#REF!</v>
      </c>
      <c r="D284" t="e">
        <f>#REF!</f>
        <v>#REF!</v>
      </c>
      <c r="E284" t="e">
        <f>#REF!</f>
        <v>#REF!</v>
      </c>
      <c r="F284" t="e">
        <f>#REF!</f>
        <v>#REF!</v>
      </c>
    </row>
    <row r="285" spans="1:6" x14ac:dyDescent="0.3">
      <c r="A285" t="e">
        <f>#REF!</f>
        <v>#REF!</v>
      </c>
      <c r="B285" t="e">
        <f>#REF!</f>
        <v>#REF!</v>
      </c>
      <c r="C285" t="e">
        <f>#REF!</f>
        <v>#REF!</v>
      </c>
      <c r="D285" t="e">
        <f>#REF!</f>
        <v>#REF!</v>
      </c>
      <c r="E285" t="e">
        <f>#REF!</f>
        <v>#REF!</v>
      </c>
      <c r="F285" t="e">
        <f>#REF!</f>
        <v>#REF!</v>
      </c>
    </row>
    <row r="286" spans="1:6" x14ac:dyDescent="0.3">
      <c r="A286" t="e">
        <f>#REF!</f>
        <v>#REF!</v>
      </c>
      <c r="B286" t="e">
        <f>#REF!</f>
        <v>#REF!</v>
      </c>
      <c r="C286" t="e">
        <f>#REF!</f>
        <v>#REF!</v>
      </c>
      <c r="D286" t="e">
        <f>#REF!</f>
        <v>#REF!</v>
      </c>
      <c r="E286" t="e">
        <f>#REF!</f>
        <v>#REF!</v>
      </c>
      <c r="F286" t="e">
        <f>#REF!</f>
        <v>#REF!</v>
      </c>
    </row>
    <row r="287" spans="1:6" x14ac:dyDescent="0.3">
      <c r="A287" t="e">
        <f>#REF!</f>
        <v>#REF!</v>
      </c>
      <c r="B287" t="e">
        <f>#REF!</f>
        <v>#REF!</v>
      </c>
      <c r="C287" t="e">
        <f>#REF!</f>
        <v>#REF!</v>
      </c>
      <c r="D287" t="e">
        <f>#REF!</f>
        <v>#REF!</v>
      </c>
      <c r="E287" t="e">
        <f>#REF!</f>
        <v>#REF!</v>
      </c>
      <c r="F287" t="e">
        <f>#REF!</f>
        <v>#REF!</v>
      </c>
    </row>
    <row r="288" spans="1:6" x14ac:dyDescent="0.3">
      <c r="A288" t="e">
        <f>#REF!</f>
        <v>#REF!</v>
      </c>
      <c r="B288" t="e">
        <f>#REF!</f>
        <v>#REF!</v>
      </c>
      <c r="C288" t="e">
        <f>#REF!</f>
        <v>#REF!</v>
      </c>
      <c r="D288" t="e">
        <f>#REF!</f>
        <v>#REF!</v>
      </c>
      <c r="E288" t="e">
        <f>#REF!</f>
        <v>#REF!</v>
      </c>
      <c r="F288" t="e">
        <f>#REF!</f>
        <v>#REF!</v>
      </c>
    </row>
    <row r="289" spans="1:6" x14ac:dyDescent="0.3">
      <c r="A289" t="e">
        <f>#REF!</f>
        <v>#REF!</v>
      </c>
      <c r="B289" t="e">
        <f>#REF!</f>
        <v>#REF!</v>
      </c>
      <c r="C289" t="e">
        <f>#REF!</f>
        <v>#REF!</v>
      </c>
      <c r="D289" t="e">
        <f>#REF!</f>
        <v>#REF!</v>
      </c>
      <c r="E289" t="e">
        <f>#REF!</f>
        <v>#REF!</v>
      </c>
      <c r="F289" t="e">
        <f>#REF!</f>
        <v>#REF!</v>
      </c>
    </row>
    <row r="290" spans="1:6" x14ac:dyDescent="0.3">
      <c r="A290" t="e">
        <f>#REF!</f>
        <v>#REF!</v>
      </c>
      <c r="B290" t="e">
        <f>#REF!</f>
        <v>#REF!</v>
      </c>
      <c r="C290" t="e">
        <f>#REF!</f>
        <v>#REF!</v>
      </c>
      <c r="D290" t="e">
        <f>#REF!</f>
        <v>#REF!</v>
      </c>
      <c r="E290" t="e">
        <f>#REF!</f>
        <v>#REF!</v>
      </c>
      <c r="F290" t="e">
        <f>#REF!</f>
        <v>#REF!</v>
      </c>
    </row>
    <row r="291" spans="1:6" x14ac:dyDescent="0.3">
      <c r="A291" t="e">
        <f>#REF!</f>
        <v>#REF!</v>
      </c>
      <c r="B291" t="e">
        <f>#REF!</f>
        <v>#REF!</v>
      </c>
      <c r="C291" t="e">
        <f>#REF!</f>
        <v>#REF!</v>
      </c>
      <c r="D291" t="e">
        <f>#REF!</f>
        <v>#REF!</v>
      </c>
      <c r="E291" t="e">
        <f>#REF!</f>
        <v>#REF!</v>
      </c>
      <c r="F291" t="e">
        <f>#REF!</f>
        <v>#REF!</v>
      </c>
    </row>
    <row r="292" spans="1:6" x14ac:dyDescent="0.3">
      <c r="A292" t="e">
        <f>#REF!</f>
        <v>#REF!</v>
      </c>
      <c r="B292" t="e">
        <f>#REF!</f>
        <v>#REF!</v>
      </c>
      <c r="C292" t="e">
        <f>#REF!</f>
        <v>#REF!</v>
      </c>
      <c r="D292" t="e">
        <f>#REF!</f>
        <v>#REF!</v>
      </c>
      <c r="E292" t="e">
        <f>#REF!</f>
        <v>#REF!</v>
      </c>
      <c r="F292" t="e">
        <f>#REF!</f>
        <v>#REF!</v>
      </c>
    </row>
    <row r="293" spans="1:6" x14ac:dyDescent="0.3">
      <c r="A293" t="e">
        <f>#REF!</f>
        <v>#REF!</v>
      </c>
      <c r="B293" t="e">
        <f>#REF!</f>
        <v>#REF!</v>
      </c>
      <c r="C293" t="e">
        <f>#REF!</f>
        <v>#REF!</v>
      </c>
      <c r="D293" t="e">
        <f>#REF!</f>
        <v>#REF!</v>
      </c>
      <c r="E293" t="e">
        <f>#REF!</f>
        <v>#REF!</v>
      </c>
      <c r="F293" t="e">
        <f>#REF!</f>
        <v>#REF!</v>
      </c>
    </row>
    <row r="294" spans="1:6" x14ac:dyDescent="0.3">
      <c r="A294" t="e">
        <f>#REF!</f>
        <v>#REF!</v>
      </c>
      <c r="B294" t="e">
        <f>#REF!</f>
        <v>#REF!</v>
      </c>
      <c r="C294" t="e">
        <f>#REF!</f>
        <v>#REF!</v>
      </c>
      <c r="D294" t="e">
        <f>#REF!</f>
        <v>#REF!</v>
      </c>
      <c r="E294" t="e">
        <f>#REF!</f>
        <v>#REF!</v>
      </c>
      <c r="F294" t="e">
        <f>#REF!</f>
        <v>#REF!</v>
      </c>
    </row>
    <row r="295" spans="1:6" x14ac:dyDescent="0.3">
      <c r="A295" t="e">
        <f>#REF!</f>
        <v>#REF!</v>
      </c>
      <c r="B295" t="e">
        <f>#REF!</f>
        <v>#REF!</v>
      </c>
      <c r="C295" t="e">
        <f>#REF!</f>
        <v>#REF!</v>
      </c>
      <c r="D295" t="e">
        <f>#REF!</f>
        <v>#REF!</v>
      </c>
      <c r="E295" t="e">
        <f>#REF!</f>
        <v>#REF!</v>
      </c>
      <c r="F295" t="e">
        <f>#REF!</f>
        <v>#REF!</v>
      </c>
    </row>
    <row r="296" spans="1:6" x14ac:dyDescent="0.3">
      <c r="A296" t="e">
        <f>#REF!</f>
        <v>#REF!</v>
      </c>
      <c r="B296" t="e">
        <f>#REF!</f>
        <v>#REF!</v>
      </c>
      <c r="C296" t="e">
        <f>#REF!</f>
        <v>#REF!</v>
      </c>
      <c r="D296" t="e">
        <f>#REF!</f>
        <v>#REF!</v>
      </c>
      <c r="E296" t="e">
        <f>#REF!</f>
        <v>#REF!</v>
      </c>
      <c r="F296" t="e">
        <f>#REF!</f>
        <v>#REF!</v>
      </c>
    </row>
    <row r="297" spans="1:6" x14ac:dyDescent="0.3">
      <c r="A297" t="e">
        <f>#REF!</f>
        <v>#REF!</v>
      </c>
      <c r="B297" t="e">
        <f>#REF!</f>
        <v>#REF!</v>
      </c>
      <c r="C297" t="e">
        <f>#REF!</f>
        <v>#REF!</v>
      </c>
      <c r="D297" t="e">
        <f>#REF!</f>
        <v>#REF!</v>
      </c>
      <c r="E297" t="e">
        <f>#REF!</f>
        <v>#REF!</v>
      </c>
      <c r="F297" t="e">
        <f>#REF!</f>
        <v>#REF!</v>
      </c>
    </row>
    <row r="298" spans="1:6" x14ac:dyDescent="0.3">
      <c r="A298" t="e">
        <f>#REF!</f>
        <v>#REF!</v>
      </c>
      <c r="B298" t="e">
        <f>#REF!</f>
        <v>#REF!</v>
      </c>
      <c r="C298" t="e">
        <f>#REF!</f>
        <v>#REF!</v>
      </c>
      <c r="D298" t="e">
        <f>#REF!</f>
        <v>#REF!</v>
      </c>
      <c r="E298" t="e">
        <f>#REF!</f>
        <v>#REF!</v>
      </c>
      <c r="F298" t="e">
        <f>#REF!</f>
        <v>#REF!</v>
      </c>
    </row>
    <row r="299" spans="1:6" x14ac:dyDescent="0.3">
      <c r="A299" t="e">
        <f>#REF!</f>
        <v>#REF!</v>
      </c>
      <c r="B299" t="e">
        <f>#REF!</f>
        <v>#REF!</v>
      </c>
      <c r="C299" t="e">
        <f>#REF!</f>
        <v>#REF!</v>
      </c>
      <c r="D299" t="e">
        <f>#REF!</f>
        <v>#REF!</v>
      </c>
      <c r="E299" t="e">
        <f>#REF!</f>
        <v>#REF!</v>
      </c>
      <c r="F299" t="e">
        <f>#REF!</f>
        <v>#REF!</v>
      </c>
    </row>
    <row r="300" spans="1:6" x14ac:dyDescent="0.3">
      <c r="A300" t="e">
        <f>#REF!</f>
        <v>#REF!</v>
      </c>
      <c r="B300" t="e">
        <f>#REF!</f>
        <v>#REF!</v>
      </c>
      <c r="C300" t="e">
        <f>#REF!</f>
        <v>#REF!</v>
      </c>
      <c r="D300" t="e">
        <f>#REF!</f>
        <v>#REF!</v>
      </c>
      <c r="E300" t="e">
        <f>#REF!</f>
        <v>#REF!</v>
      </c>
      <c r="F300" t="e">
        <f>#REF!</f>
        <v>#REF!</v>
      </c>
    </row>
    <row r="301" spans="1:6" x14ac:dyDescent="0.3">
      <c r="A301" t="e">
        <f>#REF!</f>
        <v>#REF!</v>
      </c>
      <c r="B301" t="e">
        <f>#REF!</f>
        <v>#REF!</v>
      </c>
      <c r="C301" t="e">
        <f>#REF!</f>
        <v>#REF!</v>
      </c>
      <c r="D301" t="e">
        <f>#REF!</f>
        <v>#REF!</v>
      </c>
      <c r="E301" t="e">
        <f>#REF!</f>
        <v>#REF!</v>
      </c>
      <c r="F301" t="e">
        <f>#REF!</f>
        <v>#REF!</v>
      </c>
    </row>
    <row r="302" spans="1:6" x14ac:dyDescent="0.3">
      <c r="A302" t="e">
        <f>#REF!</f>
        <v>#REF!</v>
      </c>
      <c r="B302" t="e">
        <f>#REF!</f>
        <v>#REF!</v>
      </c>
      <c r="C302" t="e">
        <f>#REF!</f>
        <v>#REF!</v>
      </c>
      <c r="D302" t="e">
        <f>#REF!</f>
        <v>#REF!</v>
      </c>
      <c r="E302" t="e">
        <f>#REF!</f>
        <v>#REF!</v>
      </c>
      <c r="F302" t="e">
        <f>#REF!</f>
        <v>#REF!</v>
      </c>
    </row>
    <row r="303" spans="1:6" x14ac:dyDescent="0.3">
      <c r="A303" t="e">
        <f>#REF!</f>
        <v>#REF!</v>
      </c>
      <c r="B303" t="e">
        <f>#REF!</f>
        <v>#REF!</v>
      </c>
      <c r="C303" t="e">
        <f>#REF!</f>
        <v>#REF!</v>
      </c>
      <c r="D303" t="e">
        <f>#REF!</f>
        <v>#REF!</v>
      </c>
      <c r="E303" t="e">
        <f>#REF!</f>
        <v>#REF!</v>
      </c>
      <c r="F303" t="e">
        <f>#REF!</f>
        <v>#REF!</v>
      </c>
    </row>
    <row r="304" spans="1:6" x14ac:dyDescent="0.3">
      <c r="A304" t="e">
        <f>#REF!</f>
        <v>#REF!</v>
      </c>
      <c r="B304" t="e">
        <f>#REF!</f>
        <v>#REF!</v>
      </c>
      <c r="C304" t="e">
        <f>#REF!</f>
        <v>#REF!</v>
      </c>
      <c r="D304" t="e">
        <f>#REF!</f>
        <v>#REF!</v>
      </c>
      <c r="E304" t="e">
        <f>#REF!</f>
        <v>#REF!</v>
      </c>
      <c r="F304" t="e">
        <f>#REF!</f>
        <v>#REF!</v>
      </c>
    </row>
    <row r="305" spans="1:6" x14ac:dyDescent="0.3">
      <c r="A305" t="e">
        <f>#REF!</f>
        <v>#REF!</v>
      </c>
      <c r="B305" t="e">
        <f>#REF!</f>
        <v>#REF!</v>
      </c>
      <c r="C305" t="e">
        <f>#REF!</f>
        <v>#REF!</v>
      </c>
      <c r="D305" t="e">
        <f>#REF!</f>
        <v>#REF!</v>
      </c>
      <c r="E305" t="e">
        <f>#REF!</f>
        <v>#REF!</v>
      </c>
      <c r="F305" t="e">
        <f>#REF!</f>
        <v>#REF!</v>
      </c>
    </row>
    <row r="306" spans="1:6" x14ac:dyDescent="0.3">
      <c r="A306" t="e">
        <f>#REF!</f>
        <v>#REF!</v>
      </c>
      <c r="B306" t="e">
        <f>#REF!</f>
        <v>#REF!</v>
      </c>
      <c r="C306" t="e">
        <f>#REF!</f>
        <v>#REF!</v>
      </c>
      <c r="D306" t="e">
        <f>#REF!</f>
        <v>#REF!</v>
      </c>
      <c r="E306" t="e">
        <f>#REF!</f>
        <v>#REF!</v>
      </c>
      <c r="F306" t="e">
        <f>#REF!</f>
        <v>#REF!</v>
      </c>
    </row>
    <row r="307" spans="1:6" x14ac:dyDescent="0.3">
      <c r="A307" t="e">
        <f>#REF!</f>
        <v>#REF!</v>
      </c>
      <c r="B307" t="e">
        <f>#REF!</f>
        <v>#REF!</v>
      </c>
      <c r="C307" t="e">
        <f>#REF!</f>
        <v>#REF!</v>
      </c>
      <c r="D307" t="e">
        <f>#REF!</f>
        <v>#REF!</v>
      </c>
      <c r="E307" t="e">
        <f>#REF!</f>
        <v>#REF!</v>
      </c>
      <c r="F307" t="e">
        <f>#REF!</f>
        <v>#REF!</v>
      </c>
    </row>
    <row r="308" spans="1:6" x14ac:dyDescent="0.3">
      <c r="A308" t="e">
        <f>#REF!</f>
        <v>#REF!</v>
      </c>
      <c r="B308" t="e">
        <f>#REF!</f>
        <v>#REF!</v>
      </c>
      <c r="C308" t="e">
        <f>#REF!</f>
        <v>#REF!</v>
      </c>
      <c r="D308" t="e">
        <f>#REF!</f>
        <v>#REF!</v>
      </c>
      <c r="E308" t="e">
        <f>#REF!</f>
        <v>#REF!</v>
      </c>
      <c r="F308" t="e">
        <f>#REF!</f>
        <v>#REF!</v>
      </c>
    </row>
    <row r="309" spans="1:6" x14ac:dyDescent="0.3">
      <c r="A309" t="e">
        <f>#REF!</f>
        <v>#REF!</v>
      </c>
      <c r="B309" t="e">
        <f>#REF!</f>
        <v>#REF!</v>
      </c>
      <c r="C309" t="e">
        <f>#REF!</f>
        <v>#REF!</v>
      </c>
      <c r="D309" t="e">
        <f>#REF!</f>
        <v>#REF!</v>
      </c>
      <c r="E309" t="e">
        <f>#REF!</f>
        <v>#REF!</v>
      </c>
      <c r="F309" t="e">
        <f>#REF!</f>
        <v>#REF!</v>
      </c>
    </row>
    <row r="310" spans="1:6" x14ac:dyDescent="0.3">
      <c r="A310" t="e">
        <f>#REF!</f>
        <v>#REF!</v>
      </c>
      <c r="B310" t="e">
        <f>#REF!</f>
        <v>#REF!</v>
      </c>
      <c r="C310" t="e">
        <f>#REF!</f>
        <v>#REF!</v>
      </c>
      <c r="D310" t="e">
        <f>#REF!</f>
        <v>#REF!</v>
      </c>
      <c r="E310" t="e">
        <f>#REF!</f>
        <v>#REF!</v>
      </c>
      <c r="F310" t="e">
        <f>#REF!</f>
        <v>#REF!</v>
      </c>
    </row>
    <row r="311" spans="1:6" x14ac:dyDescent="0.3">
      <c r="A311" t="e">
        <f>#REF!</f>
        <v>#REF!</v>
      </c>
      <c r="B311" t="e">
        <f>#REF!</f>
        <v>#REF!</v>
      </c>
      <c r="C311" t="e">
        <f>#REF!</f>
        <v>#REF!</v>
      </c>
      <c r="D311" t="e">
        <f>#REF!</f>
        <v>#REF!</v>
      </c>
      <c r="E311" t="e">
        <f>#REF!</f>
        <v>#REF!</v>
      </c>
      <c r="F311" t="e">
        <f>#REF!</f>
        <v>#REF!</v>
      </c>
    </row>
    <row r="312" spans="1:6" x14ac:dyDescent="0.3">
      <c r="A312" t="e">
        <f>#REF!</f>
        <v>#REF!</v>
      </c>
      <c r="B312" t="e">
        <f>#REF!</f>
        <v>#REF!</v>
      </c>
      <c r="C312" t="e">
        <f>#REF!</f>
        <v>#REF!</v>
      </c>
      <c r="D312" t="e">
        <f>#REF!</f>
        <v>#REF!</v>
      </c>
      <c r="E312" t="e">
        <f>#REF!</f>
        <v>#REF!</v>
      </c>
      <c r="F312" t="e">
        <f>#REF!</f>
        <v>#REF!</v>
      </c>
    </row>
    <row r="313" spans="1:6" x14ac:dyDescent="0.3">
      <c r="A313" t="e">
        <f>#REF!</f>
        <v>#REF!</v>
      </c>
      <c r="B313" t="e">
        <f>#REF!</f>
        <v>#REF!</v>
      </c>
      <c r="C313" t="e">
        <f>#REF!</f>
        <v>#REF!</v>
      </c>
      <c r="D313" t="e">
        <f>#REF!</f>
        <v>#REF!</v>
      </c>
      <c r="E313" t="e">
        <f>#REF!</f>
        <v>#REF!</v>
      </c>
      <c r="F313" t="e">
        <f>#REF!</f>
        <v>#REF!</v>
      </c>
    </row>
    <row r="314" spans="1:6" x14ac:dyDescent="0.3">
      <c r="A314" t="e">
        <f>#REF!</f>
        <v>#REF!</v>
      </c>
      <c r="B314" t="e">
        <f>#REF!</f>
        <v>#REF!</v>
      </c>
      <c r="C314" t="e">
        <f>#REF!</f>
        <v>#REF!</v>
      </c>
      <c r="D314" t="e">
        <f>#REF!</f>
        <v>#REF!</v>
      </c>
      <c r="E314" t="e">
        <f>#REF!</f>
        <v>#REF!</v>
      </c>
      <c r="F314" t="e">
        <f>#REF!</f>
        <v>#REF!</v>
      </c>
    </row>
    <row r="315" spans="1:6" x14ac:dyDescent="0.3">
      <c r="A315" t="e">
        <f>#REF!</f>
        <v>#REF!</v>
      </c>
      <c r="B315" t="e">
        <f>#REF!</f>
        <v>#REF!</v>
      </c>
      <c r="C315" t="e">
        <f>#REF!</f>
        <v>#REF!</v>
      </c>
      <c r="D315" t="e">
        <f>#REF!</f>
        <v>#REF!</v>
      </c>
      <c r="E315" t="e">
        <f>#REF!</f>
        <v>#REF!</v>
      </c>
      <c r="F315" t="e">
        <f>#REF!</f>
        <v>#REF!</v>
      </c>
    </row>
    <row r="316" spans="1:6" x14ac:dyDescent="0.3">
      <c r="A316" t="e">
        <f>#REF!</f>
        <v>#REF!</v>
      </c>
      <c r="B316" t="e">
        <f>#REF!</f>
        <v>#REF!</v>
      </c>
      <c r="C316" t="e">
        <f>#REF!</f>
        <v>#REF!</v>
      </c>
      <c r="D316" t="e">
        <f>#REF!</f>
        <v>#REF!</v>
      </c>
      <c r="E316" t="e">
        <f>#REF!</f>
        <v>#REF!</v>
      </c>
      <c r="F316" t="e">
        <f>#REF!</f>
        <v>#REF!</v>
      </c>
    </row>
    <row r="317" spans="1:6" x14ac:dyDescent="0.3">
      <c r="A317" t="e">
        <f>#REF!</f>
        <v>#REF!</v>
      </c>
      <c r="B317" t="e">
        <f>#REF!</f>
        <v>#REF!</v>
      </c>
      <c r="C317" t="e">
        <f>#REF!</f>
        <v>#REF!</v>
      </c>
      <c r="D317" t="e">
        <f>#REF!</f>
        <v>#REF!</v>
      </c>
      <c r="E317" t="e">
        <f>#REF!</f>
        <v>#REF!</v>
      </c>
      <c r="F317" t="e">
        <f>#REF!</f>
        <v>#REF!</v>
      </c>
    </row>
    <row r="318" spans="1:6" x14ac:dyDescent="0.3">
      <c r="A318" t="e">
        <f>#REF!</f>
        <v>#REF!</v>
      </c>
      <c r="B318" t="e">
        <f>#REF!</f>
        <v>#REF!</v>
      </c>
      <c r="C318" t="e">
        <f>#REF!</f>
        <v>#REF!</v>
      </c>
      <c r="D318" t="e">
        <f>#REF!</f>
        <v>#REF!</v>
      </c>
      <c r="E318" t="e">
        <f>#REF!</f>
        <v>#REF!</v>
      </c>
      <c r="F318" t="e">
        <f>#REF!</f>
        <v>#REF!</v>
      </c>
    </row>
    <row r="319" spans="1:6" x14ac:dyDescent="0.3">
      <c r="A319" t="e">
        <f>#REF!</f>
        <v>#REF!</v>
      </c>
      <c r="B319" t="e">
        <f>#REF!</f>
        <v>#REF!</v>
      </c>
      <c r="C319" t="e">
        <f>#REF!</f>
        <v>#REF!</v>
      </c>
      <c r="D319" t="e">
        <f>#REF!</f>
        <v>#REF!</v>
      </c>
      <c r="E319" t="e">
        <f>#REF!</f>
        <v>#REF!</v>
      </c>
      <c r="F319" t="e">
        <f>#REF!</f>
        <v>#REF!</v>
      </c>
    </row>
    <row r="320" spans="1:6" x14ac:dyDescent="0.3">
      <c r="A320" t="e">
        <f>#REF!</f>
        <v>#REF!</v>
      </c>
      <c r="B320" t="e">
        <f>#REF!</f>
        <v>#REF!</v>
      </c>
      <c r="C320" t="e">
        <f>#REF!</f>
        <v>#REF!</v>
      </c>
      <c r="D320" t="e">
        <f>#REF!</f>
        <v>#REF!</v>
      </c>
      <c r="E320" t="e">
        <f>#REF!</f>
        <v>#REF!</v>
      </c>
      <c r="F320" t="e">
        <f>#REF!</f>
        <v>#REF!</v>
      </c>
    </row>
    <row r="321" spans="1:6" x14ac:dyDescent="0.3">
      <c r="A321" t="e">
        <f>#REF!</f>
        <v>#REF!</v>
      </c>
      <c r="B321" t="e">
        <f>#REF!</f>
        <v>#REF!</v>
      </c>
      <c r="C321" t="e">
        <f>#REF!</f>
        <v>#REF!</v>
      </c>
      <c r="D321" t="e">
        <f>#REF!</f>
        <v>#REF!</v>
      </c>
      <c r="E321" t="e">
        <f>#REF!</f>
        <v>#REF!</v>
      </c>
      <c r="F321" t="e">
        <f>#REF!</f>
        <v>#REF!</v>
      </c>
    </row>
    <row r="322" spans="1:6" x14ac:dyDescent="0.3">
      <c r="A322" t="e">
        <f>#REF!</f>
        <v>#REF!</v>
      </c>
      <c r="B322" t="e">
        <f>#REF!</f>
        <v>#REF!</v>
      </c>
      <c r="C322" t="e">
        <f>#REF!</f>
        <v>#REF!</v>
      </c>
      <c r="D322" t="e">
        <f>#REF!</f>
        <v>#REF!</v>
      </c>
      <c r="E322" t="e">
        <f>#REF!</f>
        <v>#REF!</v>
      </c>
      <c r="F322" t="e">
        <f>#REF!</f>
        <v>#REF!</v>
      </c>
    </row>
    <row r="323" spans="1:6" x14ac:dyDescent="0.3">
      <c r="A323" t="e">
        <f>#REF!</f>
        <v>#REF!</v>
      </c>
      <c r="B323" t="e">
        <f>#REF!</f>
        <v>#REF!</v>
      </c>
      <c r="C323" t="e">
        <f>#REF!</f>
        <v>#REF!</v>
      </c>
      <c r="D323" t="e">
        <f>#REF!</f>
        <v>#REF!</v>
      </c>
      <c r="E323" t="e">
        <f>#REF!</f>
        <v>#REF!</v>
      </c>
      <c r="F323" t="e">
        <f>#REF!</f>
        <v>#REF!</v>
      </c>
    </row>
    <row r="324" spans="1:6" x14ac:dyDescent="0.3">
      <c r="A324" t="e">
        <f>#REF!</f>
        <v>#REF!</v>
      </c>
      <c r="B324" t="e">
        <f>#REF!</f>
        <v>#REF!</v>
      </c>
      <c r="C324" t="e">
        <f>#REF!</f>
        <v>#REF!</v>
      </c>
      <c r="D324" t="e">
        <f>#REF!</f>
        <v>#REF!</v>
      </c>
      <c r="E324" t="e">
        <f>#REF!</f>
        <v>#REF!</v>
      </c>
      <c r="F324" t="e">
        <f>#REF!</f>
        <v>#REF!</v>
      </c>
    </row>
    <row r="325" spans="1:6" x14ac:dyDescent="0.3">
      <c r="A325" t="e">
        <f>#REF!</f>
        <v>#REF!</v>
      </c>
      <c r="B325" t="e">
        <f>#REF!</f>
        <v>#REF!</v>
      </c>
      <c r="C325" t="e">
        <f>#REF!</f>
        <v>#REF!</v>
      </c>
      <c r="D325" t="e">
        <f>#REF!</f>
        <v>#REF!</v>
      </c>
      <c r="E325" t="e">
        <f>#REF!</f>
        <v>#REF!</v>
      </c>
      <c r="F325" t="e">
        <f>#REF!</f>
        <v>#REF!</v>
      </c>
    </row>
    <row r="326" spans="1:6" x14ac:dyDescent="0.3">
      <c r="A326" t="e">
        <f>#REF!</f>
        <v>#REF!</v>
      </c>
      <c r="B326" t="e">
        <f>#REF!</f>
        <v>#REF!</v>
      </c>
      <c r="C326" t="e">
        <f>#REF!</f>
        <v>#REF!</v>
      </c>
      <c r="D326" t="e">
        <f>#REF!</f>
        <v>#REF!</v>
      </c>
      <c r="E326" t="e">
        <f>#REF!</f>
        <v>#REF!</v>
      </c>
      <c r="F326" t="e">
        <f>#REF!</f>
        <v>#REF!</v>
      </c>
    </row>
    <row r="327" spans="1:6" x14ac:dyDescent="0.3">
      <c r="A327" t="e">
        <f>#REF!</f>
        <v>#REF!</v>
      </c>
      <c r="B327" t="e">
        <f>#REF!</f>
        <v>#REF!</v>
      </c>
      <c r="C327" t="e">
        <f>#REF!</f>
        <v>#REF!</v>
      </c>
      <c r="D327" t="e">
        <f>#REF!</f>
        <v>#REF!</v>
      </c>
      <c r="E327" t="e">
        <f>#REF!</f>
        <v>#REF!</v>
      </c>
      <c r="F327" t="e">
        <f>#REF!</f>
        <v>#REF!</v>
      </c>
    </row>
    <row r="328" spans="1:6" x14ac:dyDescent="0.3">
      <c r="A328" t="e">
        <f>#REF!</f>
        <v>#REF!</v>
      </c>
      <c r="B328" t="e">
        <f>#REF!</f>
        <v>#REF!</v>
      </c>
      <c r="C328" t="e">
        <f>#REF!</f>
        <v>#REF!</v>
      </c>
      <c r="D328" t="e">
        <f>#REF!</f>
        <v>#REF!</v>
      </c>
      <c r="E328" t="e">
        <f>#REF!</f>
        <v>#REF!</v>
      </c>
      <c r="F328" t="e">
        <f>#REF!</f>
        <v>#REF!</v>
      </c>
    </row>
    <row r="329" spans="1:6" x14ac:dyDescent="0.3">
      <c r="A329" t="e">
        <f>#REF!</f>
        <v>#REF!</v>
      </c>
      <c r="B329" t="e">
        <f>#REF!</f>
        <v>#REF!</v>
      </c>
      <c r="C329" t="e">
        <f>#REF!</f>
        <v>#REF!</v>
      </c>
      <c r="D329" t="e">
        <f>#REF!</f>
        <v>#REF!</v>
      </c>
      <c r="E329" t="e">
        <f>#REF!</f>
        <v>#REF!</v>
      </c>
      <c r="F329" t="e">
        <f>#REF!</f>
        <v>#REF!</v>
      </c>
    </row>
    <row r="330" spans="1:6" x14ac:dyDescent="0.3">
      <c r="A330" t="e">
        <f>#REF!</f>
        <v>#REF!</v>
      </c>
      <c r="B330" t="e">
        <f>#REF!</f>
        <v>#REF!</v>
      </c>
      <c r="C330" t="e">
        <f>#REF!</f>
        <v>#REF!</v>
      </c>
      <c r="D330" t="e">
        <f>#REF!</f>
        <v>#REF!</v>
      </c>
      <c r="E330" t="e">
        <f>#REF!</f>
        <v>#REF!</v>
      </c>
      <c r="F330" t="e">
        <f>#REF!</f>
        <v>#REF!</v>
      </c>
    </row>
    <row r="331" spans="1:6" x14ac:dyDescent="0.3">
      <c r="A331" t="e">
        <f>#REF!</f>
        <v>#REF!</v>
      </c>
      <c r="B331" t="e">
        <f>#REF!</f>
        <v>#REF!</v>
      </c>
      <c r="C331" t="e">
        <f>#REF!</f>
        <v>#REF!</v>
      </c>
      <c r="D331" t="e">
        <f>#REF!</f>
        <v>#REF!</v>
      </c>
      <c r="E331" t="e">
        <f>#REF!</f>
        <v>#REF!</v>
      </c>
      <c r="F331" t="e">
        <f>#REF!</f>
        <v>#REF!</v>
      </c>
    </row>
    <row r="332" spans="1:6" x14ac:dyDescent="0.3">
      <c r="A332" t="e">
        <f>#REF!</f>
        <v>#REF!</v>
      </c>
      <c r="B332" t="e">
        <f>#REF!</f>
        <v>#REF!</v>
      </c>
      <c r="C332" t="e">
        <f>#REF!</f>
        <v>#REF!</v>
      </c>
      <c r="D332" t="e">
        <f>#REF!</f>
        <v>#REF!</v>
      </c>
      <c r="E332" t="e">
        <f>#REF!</f>
        <v>#REF!</v>
      </c>
      <c r="F332" t="e">
        <f>#REF!</f>
        <v>#REF!</v>
      </c>
    </row>
    <row r="333" spans="1:6" x14ac:dyDescent="0.3">
      <c r="A333" t="e">
        <f>#REF!</f>
        <v>#REF!</v>
      </c>
      <c r="B333" t="e">
        <f>#REF!</f>
        <v>#REF!</v>
      </c>
      <c r="C333" t="e">
        <f>#REF!</f>
        <v>#REF!</v>
      </c>
      <c r="D333" t="e">
        <f>#REF!</f>
        <v>#REF!</v>
      </c>
      <c r="E333" t="e">
        <f>#REF!</f>
        <v>#REF!</v>
      </c>
      <c r="F333" t="e">
        <f>#REF!</f>
        <v>#REF!</v>
      </c>
    </row>
    <row r="334" spans="1:6" x14ac:dyDescent="0.3">
      <c r="A334" t="e">
        <f>#REF!</f>
        <v>#REF!</v>
      </c>
      <c r="B334" t="e">
        <f>#REF!</f>
        <v>#REF!</v>
      </c>
      <c r="C334" t="e">
        <f>#REF!</f>
        <v>#REF!</v>
      </c>
      <c r="D334" t="e">
        <f>#REF!</f>
        <v>#REF!</v>
      </c>
      <c r="E334" t="e">
        <f>#REF!</f>
        <v>#REF!</v>
      </c>
      <c r="F334" t="e">
        <f>#REF!</f>
        <v>#REF!</v>
      </c>
    </row>
    <row r="335" spans="1:6" x14ac:dyDescent="0.3">
      <c r="A335" t="e">
        <f>#REF!</f>
        <v>#REF!</v>
      </c>
      <c r="B335" t="e">
        <f>#REF!</f>
        <v>#REF!</v>
      </c>
      <c r="C335" t="e">
        <f>#REF!</f>
        <v>#REF!</v>
      </c>
      <c r="D335" t="e">
        <f>#REF!</f>
        <v>#REF!</v>
      </c>
      <c r="E335" t="e">
        <f>#REF!</f>
        <v>#REF!</v>
      </c>
      <c r="F335" t="e">
        <f>#REF!</f>
        <v>#REF!</v>
      </c>
    </row>
    <row r="336" spans="1:6" x14ac:dyDescent="0.3">
      <c r="A336" t="e">
        <f>#REF!</f>
        <v>#REF!</v>
      </c>
      <c r="B336" t="e">
        <f>#REF!</f>
        <v>#REF!</v>
      </c>
      <c r="C336" t="e">
        <f>#REF!</f>
        <v>#REF!</v>
      </c>
      <c r="D336" t="e">
        <f>#REF!</f>
        <v>#REF!</v>
      </c>
      <c r="E336" t="e">
        <f>#REF!</f>
        <v>#REF!</v>
      </c>
      <c r="F336" t="e">
        <f>#REF!</f>
        <v>#REF!</v>
      </c>
    </row>
    <row r="337" spans="1:6" x14ac:dyDescent="0.3">
      <c r="A337" t="e">
        <f>#REF!</f>
        <v>#REF!</v>
      </c>
      <c r="B337" t="e">
        <f>#REF!</f>
        <v>#REF!</v>
      </c>
      <c r="C337" t="e">
        <f>#REF!</f>
        <v>#REF!</v>
      </c>
      <c r="D337" t="e">
        <f>#REF!</f>
        <v>#REF!</v>
      </c>
      <c r="E337" t="e">
        <f>#REF!</f>
        <v>#REF!</v>
      </c>
      <c r="F337" t="e">
        <f>#REF!</f>
        <v>#REF!</v>
      </c>
    </row>
    <row r="338" spans="1:6" x14ac:dyDescent="0.3">
      <c r="A338" t="e">
        <f>#REF!</f>
        <v>#REF!</v>
      </c>
      <c r="B338" t="e">
        <f>#REF!</f>
        <v>#REF!</v>
      </c>
      <c r="C338" t="e">
        <f>#REF!</f>
        <v>#REF!</v>
      </c>
      <c r="D338" t="e">
        <f>#REF!</f>
        <v>#REF!</v>
      </c>
      <c r="E338" t="e">
        <f>#REF!</f>
        <v>#REF!</v>
      </c>
      <c r="F338" t="e">
        <f>#REF!</f>
        <v>#REF!</v>
      </c>
    </row>
    <row r="339" spans="1:6" x14ac:dyDescent="0.3">
      <c r="A339" t="e">
        <f>#REF!</f>
        <v>#REF!</v>
      </c>
      <c r="B339" t="e">
        <f>#REF!</f>
        <v>#REF!</v>
      </c>
      <c r="C339" t="e">
        <f>#REF!</f>
        <v>#REF!</v>
      </c>
      <c r="D339" t="e">
        <f>#REF!</f>
        <v>#REF!</v>
      </c>
      <c r="E339" t="e">
        <f>#REF!</f>
        <v>#REF!</v>
      </c>
      <c r="F339" t="e">
        <f>#REF!</f>
        <v>#REF!</v>
      </c>
    </row>
    <row r="340" spans="1:6" x14ac:dyDescent="0.3">
      <c r="A340" t="e">
        <f>#REF!</f>
        <v>#REF!</v>
      </c>
      <c r="B340" t="e">
        <f>#REF!</f>
        <v>#REF!</v>
      </c>
      <c r="C340" t="e">
        <f>#REF!</f>
        <v>#REF!</v>
      </c>
      <c r="D340" t="e">
        <f>#REF!</f>
        <v>#REF!</v>
      </c>
      <c r="E340" t="e">
        <f>#REF!</f>
        <v>#REF!</v>
      </c>
      <c r="F340" t="e">
        <f>#REF!</f>
        <v>#REF!</v>
      </c>
    </row>
    <row r="341" spans="1:6" x14ac:dyDescent="0.3">
      <c r="A341" t="e">
        <f>#REF!</f>
        <v>#REF!</v>
      </c>
      <c r="B341" t="e">
        <f>#REF!</f>
        <v>#REF!</v>
      </c>
      <c r="C341" t="e">
        <f>#REF!</f>
        <v>#REF!</v>
      </c>
      <c r="D341" t="e">
        <f>#REF!</f>
        <v>#REF!</v>
      </c>
      <c r="E341" t="e">
        <f>#REF!</f>
        <v>#REF!</v>
      </c>
      <c r="F341" t="e">
        <f>#REF!</f>
        <v>#REF!</v>
      </c>
    </row>
    <row r="342" spans="1:6" x14ac:dyDescent="0.3">
      <c r="A342" t="e">
        <f>#REF!</f>
        <v>#REF!</v>
      </c>
      <c r="B342" t="e">
        <f>#REF!</f>
        <v>#REF!</v>
      </c>
      <c r="C342" t="e">
        <f>#REF!</f>
        <v>#REF!</v>
      </c>
      <c r="D342" t="e">
        <f>#REF!</f>
        <v>#REF!</v>
      </c>
      <c r="E342" t="e">
        <f>#REF!</f>
        <v>#REF!</v>
      </c>
      <c r="F342" t="e">
        <f>#REF!</f>
        <v>#REF!</v>
      </c>
    </row>
    <row r="343" spans="1:6" x14ac:dyDescent="0.3">
      <c r="A343" t="e">
        <f>#REF!</f>
        <v>#REF!</v>
      </c>
      <c r="B343" t="e">
        <f>#REF!</f>
        <v>#REF!</v>
      </c>
      <c r="C343" t="e">
        <f>#REF!</f>
        <v>#REF!</v>
      </c>
      <c r="D343" t="e">
        <f>#REF!</f>
        <v>#REF!</v>
      </c>
      <c r="E343" t="e">
        <f>#REF!</f>
        <v>#REF!</v>
      </c>
      <c r="F343" t="e">
        <f>#REF!</f>
        <v>#REF!</v>
      </c>
    </row>
    <row r="344" spans="1:6" x14ac:dyDescent="0.3">
      <c r="A344" t="e">
        <f>#REF!</f>
        <v>#REF!</v>
      </c>
      <c r="B344" t="e">
        <f>#REF!</f>
        <v>#REF!</v>
      </c>
      <c r="C344" t="e">
        <f>#REF!</f>
        <v>#REF!</v>
      </c>
      <c r="D344" t="e">
        <f>#REF!</f>
        <v>#REF!</v>
      </c>
      <c r="E344" t="e">
        <f>#REF!</f>
        <v>#REF!</v>
      </c>
      <c r="F344" t="e">
        <f>#REF!</f>
        <v>#REF!</v>
      </c>
    </row>
    <row r="345" spans="1:6" x14ac:dyDescent="0.3">
      <c r="A345" t="e">
        <f>#REF!</f>
        <v>#REF!</v>
      </c>
      <c r="B345" t="e">
        <f>#REF!</f>
        <v>#REF!</v>
      </c>
      <c r="C345" t="e">
        <f>#REF!</f>
        <v>#REF!</v>
      </c>
      <c r="D345" t="e">
        <f>#REF!</f>
        <v>#REF!</v>
      </c>
      <c r="E345" t="e">
        <f>#REF!</f>
        <v>#REF!</v>
      </c>
      <c r="F345" t="e">
        <f>#REF!</f>
        <v>#REF!</v>
      </c>
    </row>
    <row r="346" spans="1:6" x14ac:dyDescent="0.3">
      <c r="A346" t="e">
        <f>#REF!</f>
        <v>#REF!</v>
      </c>
      <c r="B346" t="e">
        <f>#REF!</f>
        <v>#REF!</v>
      </c>
      <c r="C346" t="e">
        <f>#REF!</f>
        <v>#REF!</v>
      </c>
      <c r="D346" t="e">
        <f>#REF!</f>
        <v>#REF!</v>
      </c>
      <c r="E346" t="e">
        <f>#REF!</f>
        <v>#REF!</v>
      </c>
      <c r="F346" t="e">
        <f>#REF!</f>
        <v>#REF!</v>
      </c>
    </row>
    <row r="347" spans="1:6" x14ac:dyDescent="0.3">
      <c r="A347" t="e">
        <f>#REF!</f>
        <v>#REF!</v>
      </c>
      <c r="B347" t="e">
        <f>#REF!</f>
        <v>#REF!</v>
      </c>
      <c r="C347" t="e">
        <f>#REF!</f>
        <v>#REF!</v>
      </c>
      <c r="D347" t="e">
        <f>#REF!</f>
        <v>#REF!</v>
      </c>
      <c r="E347" t="e">
        <f>#REF!</f>
        <v>#REF!</v>
      </c>
      <c r="F347" t="e">
        <f>#REF!</f>
        <v>#REF!</v>
      </c>
    </row>
    <row r="348" spans="1:6" x14ac:dyDescent="0.3">
      <c r="A348" t="e">
        <f>#REF!</f>
        <v>#REF!</v>
      </c>
      <c r="B348" t="e">
        <f>#REF!</f>
        <v>#REF!</v>
      </c>
      <c r="C348" t="e">
        <f>#REF!</f>
        <v>#REF!</v>
      </c>
      <c r="D348" t="e">
        <f>#REF!</f>
        <v>#REF!</v>
      </c>
      <c r="E348" t="e">
        <f>#REF!</f>
        <v>#REF!</v>
      </c>
      <c r="F348" t="e">
        <f>#REF!</f>
        <v>#REF!</v>
      </c>
    </row>
    <row r="349" spans="1:6" x14ac:dyDescent="0.3">
      <c r="A349" t="e">
        <f>#REF!</f>
        <v>#REF!</v>
      </c>
      <c r="B349" t="e">
        <f>#REF!</f>
        <v>#REF!</v>
      </c>
      <c r="C349" t="e">
        <f>#REF!</f>
        <v>#REF!</v>
      </c>
      <c r="D349" t="e">
        <f>#REF!</f>
        <v>#REF!</v>
      </c>
      <c r="E349" t="e">
        <f>#REF!</f>
        <v>#REF!</v>
      </c>
      <c r="F349" t="e">
        <f>#REF!</f>
        <v>#REF!</v>
      </c>
    </row>
    <row r="350" spans="1:6" x14ac:dyDescent="0.3">
      <c r="A350" t="e">
        <f>#REF!</f>
        <v>#REF!</v>
      </c>
      <c r="B350" t="e">
        <f>#REF!</f>
        <v>#REF!</v>
      </c>
      <c r="C350" t="e">
        <f>#REF!</f>
        <v>#REF!</v>
      </c>
      <c r="D350" t="e">
        <f>#REF!</f>
        <v>#REF!</v>
      </c>
      <c r="E350" t="e">
        <f>#REF!</f>
        <v>#REF!</v>
      </c>
      <c r="F350" t="e">
        <f>#REF!</f>
        <v>#REF!</v>
      </c>
    </row>
    <row r="351" spans="1:6" x14ac:dyDescent="0.3">
      <c r="A351" t="e">
        <f>#REF!</f>
        <v>#REF!</v>
      </c>
      <c r="B351" t="e">
        <f>#REF!</f>
        <v>#REF!</v>
      </c>
      <c r="C351" t="e">
        <f>#REF!</f>
        <v>#REF!</v>
      </c>
      <c r="D351" t="e">
        <f>#REF!</f>
        <v>#REF!</v>
      </c>
      <c r="E351" t="e">
        <f>#REF!</f>
        <v>#REF!</v>
      </c>
      <c r="F351" t="e">
        <f>#REF!</f>
        <v>#REF!</v>
      </c>
    </row>
    <row r="352" spans="1:6" x14ac:dyDescent="0.3">
      <c r="A352" t="e">
        <f>#REF!</f>
        <v>#REF!</v>
      </c>
      <c r="B352" t="e">
        <f>#REF!</f>
        <v>#REF!</v>
      </c>
      <c r="C352" t="e">
        <f>#REF!</f>
        <v>#REF!</v>
      </c>
      <c r="D352" t="e">
        <f>#REF!</f>
        <v>#REF!</v>
      </c>
      <c r="E352" t="e">
        <f>#REF!</f>
        <v>#REF!</v>
      </c>
      <c r="F352" t="e">
        <f>#REF!</f>
        <v>#REF!</v>
      </c>
    </row>
    <row r="353" spans="1:6" x14ac:dyDescent="0.3">
      <c r="A353" t="e">
        <f>#REF!</f>
        <v>#REF!</v>
      </c>
      <c r="B353" t="e">
        <f>#REF!</f>
        <v>#REF!</v>
      </c>
      <c r="C353" t="e">
        <f>#REF!</f>
        <v>#REF!</v>
      </c>
      <c r="D353" t="e">
        <f>#REF!</f>
        <v>#REF!</v>
      </c>
      <c r="E353" t="e">
        <f>#REF!</f>
        <v>#REF!</v>
      </c>
      <c r="F353" t="e">
        <f>#REF!</f>
        <v>#REF!</v>
      </c>
    </row>
    <row r="354" spans="1:6" x14ac:dyDescent="0.3">
      <c r="A354" t="e">
        <f>#REF!</f>
        <v>#REF!</v>
      </c>
      <c r="B354" t="e">
        <f>#REF!</f>
        <v>#REF!</v>
      </c>
      <c r="C354" t="e">
        <f>#REF!</f>
        <v>#REF!</v>
      </c>
      <c r="D354" t="e">
        <f>#REF!</f>
        <v>#REF!</v>
      </c>
      <c r="E354" t="e">
        <f>#REF!</f>
        <v>#REF!</v>
      </c>
      <c r="F354" t="e">
        <f>#REF!</f>
        <v>#REF!</v>
      </c>
    </row>
    <row r="355" spans="1:6" x14ac:dyDescent="0.3">
      <c r="A355" t="e">
        <f>#REF!</f>
        <v>#REF!</v>
      </c>
      <c r="B355" t="e">
        <f>#REF!</f>
        <v>#REF!</v>
      </c>
      <c r="C355" t="e">
        <f>#REF!</f>
        <v>#REF!</v>
      </c>
      <c r="D355" t="e">
        <f>#REF!</f>
        <v>#REF!</v>
      </c>
      <c r="E355" t="e">
        <f>#REF!</f>
        <v>#REF!</v>
      </c>
      <c r="F355" t="e">
        <f>#REF!</f>
        <v>#REF!</v>
      </c>
    </row>
    <row r="356" spans="1:6" x14ac:dyDescent="0.3">
      <c r="A356" t="e">
        <f>#REF!</f>
        <v>#REF!</v>
      </c>
      <c r="B356" t="e">
        <f>#REF!</f>
        <v>#REF!</v>
      </c>
      <c r="C356" t="e">
        <f>#REF!</f>
        <v>#REF!</v>
      </c>
      <c r="D356" t="e">
        <f>#REF!</f>
        <v>#REF!</v>
      </c>
      <c r="E356" t="e">
        <f>#REF!</f>
        <v>#REF!</v>
      </c>
      <c r="F356" t="e">
        <f>#REF!</f>
        <v>#REF!</v>
      </c>
    </row>
    <row r="357" spans="1:6" x14ac:dyDescent="0.3">
      <c r="A357" t="e">
        <f>#REF!</f>
        <v>#REF!</v>
      </c>
      <c r="B357" t="e">
        <f>#REF!</f>
        <v>#REF!</v>
      </c>
      <c r="C357" t="e">
        <f>#REF!</f>
        <v>#REF!</v>
      </c>
      <c r="D357" t="e">
        <f>#REF!</f>
        <v>#REF!</v>
      </c>
      <c r="E357" t="e">
        <f>#REF!</f>
        <v>#REF!</v>
      </c>
      <c r="F357" t="e">
        <f>#REF!</f>
        <v>#REF!</v>
      </c>
    </row>
    <row r="358" spans="1:6" x14ac:dyDescent="0.3">
      <c r="A358" t="e">
        <f>#REF!</f>
        <v>#REF!</v>
      </c>
      <c r="B358" t="e">
        <f>#REF!</f>
        <v>#REF!</v>
      </c>
      <c r="C358" t="e">
        <f>#REF!</f>
        <v>#REF!</v>
      </c>
      <c r="D358" t="e">
        <f>#REF!</f>
        <v>#REF!</v>
      </c>
      <c r="E358" t="e">
        <f>#REF!</f>
        <v>#REF!</v>
      </c>
      <c r="F358" t="e">
        <f>#REF!</f>
        <v>#REF!</v>
      </c>
    </row>
    <row r="359" spans="1:6" x14ac:dyDescent="0.3">
      <c r="A359" t="e">
        <f>#REF!</f>
        <v>#REF!</v>
      </c>
      <c r="B359" t="e">
        <f>#REF!</f>
        <v>#REF!</v>
      </c>
      <c r="C359" t="e">
        <f>#REF!</f>
        <v>#REF!</v>
      </c>
      <c r="D359" t="e">
        <f>#REF!</f>
        <v>#REF!</v>
      </c>
      <c r="E359" t="e">
        <f>#REF!</f>
        <v>#REF!</v>
      </c>
      <c r="F359" t="e">
        <f>#REF!</f>
        <v>#REF!</v>
      </c>
    </row>
    <row r="360" spans="1:6" x14ac:dyDescent="0.3">
      <c r="A360" t="e">
        <f>#REF!</f>
        <v>#REF!</v>
      </c>
      <c r="B360" t="e">
        <f>#REF!</f>
        <v>#REF!</v>
      </c>
      <c r="C360" t="e">
        <f>#REF!</f>
        <v>#REF!</v>
      </c>
      <c r="D360" t="e">
        <f>#REF!</f>
        <v>#REF!</v>
      </c>
      <c r="E360" t="e">
        <f>#REF!</f>
        <v>#REF!</v>
      </c>
      <c r="F360" t="e">
        <f>#REF!</f>
        <v>#REF!</v>
      </c>
    </row>
    <row r="361" spans="1:6" x14ac:dyDescent="0.3">
      <c r="A361" t="e">
        <f>#REF!</f>
        <v>#REF!</v>
      </c>
      <c r="B361" t="e">
        <f>#REF!</f>
        <v>#REF!</v>
      </c>
      <c r="C361" t="e">
        <f>#REF!</f>
        <v>#REF!</v>
      </c>
      <c r="D361" t="e">
        <f>#REF!</f>
        <v>#REF!</v>
      </c>
      <c r="E361" t="e">
        <f>#REF!</f>
        <v>#REF!</v>
      </c>
      <c r="F361" t="e">
        <f>#REF!</f>
        <v>#REF!</v>
      </c>
    </row>
    <row r="362" spans="1:6" x14ac:dyDescent="0.3">
      <c r="A362" t="e">
        <f>#REF!</f>
        <v>#REF!</v>
      </c>
      <c r="B362" t="e">
        <f>#REF!</f>
        <v>#REF!</v>
      </c>
      <c r="C362" t="e">
        <f>#REF!</f>
        <v>#REF!</v>
      </c>
      <c r="D362" t="e">
        <f>#REF!</f>
        <v>#REF!</v>
      </c>
      <c r="E362" t="e">
        <f>#REF!</f>
        <v>#REF!</v>
      </c>
      <c r="F362" t="e">
        <f>#REF!</f>
        <v>#REF!</v>
      </c>
    </row>
    <row r="363" spans="1:6" x14ac:dyDescent="0.3">
      <c r="A363" t="e">
        <f>#REF!</f>
        <v>#REF!</v>
      </c>
      <c r="B363" t="e">
        <f>#REF!</f>
        <v>#REF!</v>
      </c>
      <c r="C363" t="e">
        <f>#REF!</f>
        <v>#REF!</v>
      </c>
      <c r="D363" t="e">
        <f>#REF!</f>
        <v>#REF!</v>
      </c>
      <c r="E363" t="e">
        <f>#REF!</f>
        <v>#REF!</v>
      </c>
      <c r="F363" t="e">
        <f>#REF!</f>
        <v>#REF!</v>
      </c>
    </row>
    <row r="364" spans="1:6" x14ac:dyDescent="0.3">
      <c r="A364" t="e">
        <f>#REF!</f>
        <v>#REF!</v>
      </c>
      <c r="B364" t="e">
        <f>#REF!</f>
        <v>#REF!</v>
      </c>
      <c r="C364" t="e">
        <f>#REF!</f>
        <v>#REF!</v>
      </c>
      <c r="D364" t="e">
        <f>#REF!</f>
        <v>#REF!</v>
      </c>
      <c r="E364" t="e">
        <f>#REF!</f>
        <v>#REF!</v>
      </c>
      <c r="F364" t="e">
        <f>#REF!</f>
        <v>#REF!</v>
      </c>
    </row>
    <row r="365" spans="1:6" x14ac:dyDescent="0.3">
      <c r="A365" t="e">
        <f>#REF!</f>
        <v>#REF!</v>
      </c>
      <c r="B365" t="e">
        <f>#REF!</f>
        <v>#REF!</v>
      </c>
      <c r="C365" t="e">
        <f>#REF!</f>
        <v>#REF!</v>
      </c>
      <c r="D365" t="e">
        <f>#REF!</f>
        <v>#REF!</v>
      </c>
      <c r="E365" t="e">
        <f>#REF!</f>
        <v>#REF!</v>
      </c>
      <c r="F365" t="e">
        <f>#REF!</f>
        <v>#REF!</v>
      </c>
    </row>
    <row r="366" spans="1:6" x14ac:dyDescent="0.3">
      <c r="A366" t="e">
        <f>#REF!</f>
        <v>#REF!</v>
      </c>
      <c r="B366" t="e">
        <f>#REF!</f>
        <v>#REF!</v>
      </c>
      <c r="C366" t="e">
        <f>#REF!</f>
        <v>#REF!</v>
      </c>
      <c r="D366" t="e">
        <f>#REF!</f>
        <v>#REF!</v>
      </c>
      <c r="E366" t="e">
        <f>#REF!</f>
        <v>#REF!</v>
      </c>
      <c r="F366" t="e">
        <f>#REF!</f>
        <v>#REF!</v>
      </c>
    </row>
    <row r="367" spans="1:6" x14ac:dyDescent="0.3">
      <c r="A367" t="e">
        <f>#REF!</f>
        <v>#REF!</v>
      </c>
      <c r="B367" t="e">
        <f>#REF!</f>
        <v>#REF!</v>
      </c>
      <c r="C367" t="e">
        <f>#REF!</f>
        <v>#REF!</v>
      </c>
      <c r="D367" t="e">
        <f>#REF!</f>
        <v>#REF!</v>
      </c>
      <c r="E367" t="e">
        <f>#REF!</f>
        <v>#REF!</v>
      </c>
      <c r="F367" t="e">
        <f>#REF!</f>
        <v>#REF!</v>
      </c>
    </row>
    <row r="368" spans="1:6" x14ac:dyDescent="0.3">
      <c r="A368" t="e">
        <f>#REF!</f>
        <v>#REF!</v>
      </c>
      <c r="B368" t="e">
        <f>#REF!</f>
        <v>#REF!</v>
      </c>
      <c r="C368" t="e">
        <f>#REF!</f>
        <v>#REF!</v>
      </c>
      <c r="D368" t="e">
        <f>#REF!</f>
        <v>#REF!</v>
      </c>
      <c r="E368" t="e">
        <f>#REF!</f>
        <v>#REF!</v>
      </c>
      <c r="F368" t="e">
        <f>#REF!</f>
        <v>#REF!</v>
      </c>
    </row>
    <row r="369" spans="1:6" x14ac:dyDescent="0.3">
      <c r="A369" t="e">
        <f>#REF!</f>
        <v>#REF!</v>
      </c>
      <c r="B369" t="e">
        <f>#REF!</f>
        <v>#REF!</v>
      </c>
      <c r="C369" t="e">
        <f>#REF!</f>
        <v>#REF!</v>
      </c>
      <c r="D369" t="e">
        <f>#REF!</f>
        <v>#REF!</v>
      </c>
      <c r="E369" t="e">
        <f>#REF!</f>
        <v>#REF!</v>
      </c>
      <c r="F369" t="e">
        <f>#REF!</f>
        <v>#REF!</v>
      </c>
    </row>
    <row r="370" spans="1:6" x14ac:dyDescent="0.3">
      <c r="A370" t="e">
        <f>#REF!</f>
        <v>#REF!</v>
      </c>
      <c r="B370" t="e">
        <f>#REF!</f>
        <v>#REF!</v>
      </c>
      <c r="C370" t="e">
        <f>#REF!</f>
        <v>#REF!</v>
      </c>
      <c r="D370" t="e">
        <f>#REF!</f>
        <v>#REF!</v>
      </c>
      <c r="E370" t="e">
        <f>#REF!</f>
        <v>#REF!</v>
      </c>
      <c r="F370" t="e">
        <f>#REF!</f>
        <v>#REF!</v>
      </c>
    </row>
    <row r="371" spans="1:6" x14ac:dyDescent="0.3">
      <c r="A371" t="e">
        <f>#REF!</f>
        <v>#REF!</v>
      </c>
      <c r="B371" t="e">
        <f>#REF!</f>
        <v>#REF!</v>
      </c>
      <c r="C371" t="e">
        <f>#REF!</f>
        <v>#REF!</v>
      </c>
      <c r="D371" t="e">
        <f>#REF!</f>
        <v>#REF!</v>
      </c>
      <c r="E371" t="e">
        <f>#REF!</f>
        <v>#REF!</v>
      </c>
      <c r="F371" t="e">
        <f>#REF!</f>
        <v>#REF!</v>
      </c>
    </row>
    <row r="372" spans="1:6" x14ac:dyDescent="0.3">
      <c r="A372" t="e">
        <f>#REF!</f>
        <v>#REF!</v>
      </c>
      <c r="B372" t="e">
        <f>#REF!</f>
        <v>#REF!</v>
      </c>
      <c r="C372" t="e">
        <f>#REF!</f>
        <v>#REF!</v>
      </c>
      <c r="D372" t="e">
        <f>#REF!</f>
        <v>#REF!</v>
      </c>
      <c r="E372" t="e">
        <f>#REF!</f>
        <v>#REF!</v>
      </c>
      <c r="F372" t="e">
        <f>#REF!</f>
        <v>#REF!</v>
      </c>
    </row>
    <row r="373" spans="1:6" x14ac:dyDescent="0.3">
      <c r="A373" t="e">
        <f>#REF!</f>
        <v>#REF!</v>
      </c>
      <c r="B373" t="e">
        <f>#REF!</f>
        <v>#REF!</v>
      </c>
      <c r="C373" t="e">
        <f>#REF!</f>
        <v>#REF!</v>
      </c>
      <c r="D373" t="e">
        <f>#REF!</f>
        <v>#REF!</v>
      </c>
      <c r="E373" t="e">
        <f>#REF!</f>
        <v>#REF!</v>
      </c>
      <c r="F373" t="e">
        <f>#REF!</f>
        <v>#REF!</v>
      </c>
    </row>
    <row r="374" spans="1:6" x14ac:dyDescent="0.3">
      <c r="A374" t="e">
        <f>#REF!</f>
        <v>#REF!</v>
      </c>
      <c r="B374" t="e">
        <f>#REF!</f>
        <v>#REF!</v>
      </c>
      <c r="C374" t="e">
        <f>#REF!</f>
        <v>#REF!</v>
      </c>
      <c r="D374" t="e">
        <f>#REF!</f>
        <v>#REF!</v>
      </c>
      <c r="E374" t="e">
        <f>#REF!</f>
        <v>#REF!</v>
      </c>
      <c r="F374" t="e">
        <f>#REF!</f>
        <v>#REF!</v>
      </c>
    </row>
    <row r="375" spans="1:6" x14ac:dyDescent="0.3">
      <c r="A375" t="e">
        <f>#REF!</f>
        <v>#REF!</v>
      </c>
      <c r="B375" t="e">
        <f>#REF!</f>
        <v>#REF!</v>
      </c>
      <c r="C375" t="e">
        <f>#REF!</f>
        <v>#REF!</v>
      </c>
      <c r="D375" t="e">
        <f>#REF!</f>
        <v>#REF!</v>
      </c>
      <c r="E375" t="e">
        <f>#REF!</f>
        <v>#REF!</v>
      </c>
      <c r="F375" t="e">
        <f>#REF!</f>
        <v>#REF!</v>
      </c>
    </row>
    <row r="376" spans="1:6" x14ac:dyDescent="0.3">
      <c r="A376" t="e">
        <f>#REF!</f>
        <v>#REF!</v>
      </c>
      <c r="B376" t="e">
        <f>#REF!</f>
        <v>#REF!</v>
      </c>
      <c r="C376" t="e">
        <f>#REF!</f>
        <v>#REF!</v>
      </c>
      <c r="D376" t="e">
        <f>#REF!</f>
        <v>#REF!</v>
      </c>
      <c r="E376" t="e">
        <f>#REF!</f>
        <v>#REF!</v>
      </c>
      <c r="F376" t="e">
        <f>#REF!</f>
        <v>#REF!</v>
      </c>
    </row>
    <row r="377" spans="1:6" x14ac:dyDescent="0.3">
      <c r="A377" t="e">
        <f>#REF!</f>
        <v>#REF!</v>
      </c>
      <c r="B377" t="e">
        <f>#REF!</f>
        <v>#REF!</v>
      </c>
      <c r="C377" t="e">
        <f>#REF!</f>
        <v>#REF!</v>
      </c>
      <c r="D377" t="e">
        <f>#REF!</f>
        <v>#REF!</v>
      </c>
      <c r="E377" t="e">
        <f>#REF!</f>
        <v>#REF!</v>
      </c>
      <c r="F377" t="e">
        <f>#REF!</f>
        <v>#REF!</v>
      </c>
    </row>
    <row r="378" spans="1:6" x14ac:dyDescent="0.3">
      <c r="A378" t="e">
        <f>#REF!</f>
        <v>#REF!</v>
      </c>
      <c r="B378" t="e">
        <f>#REF!</f>
        <v>#REF!</v>
      </c>
      <c r="C378" t="e">
        <f>#REF!</f>
        <v>#REF!</v>
      </c>
      <c r="D378" t="e">
        <f>#REF!</f>
        <v>#REF!</v>
      </c>
      <c r="E378" t="e">
        <f>#REF!</f>
        <v>#REF!</v>
      </c>
      <c r="F378" t="e">
        <f>#REF!</f>
        <v>#REF!</v>
      </c>
    </row>
    <row r="379" spans="1:6" x14ac:dyDescent="0.3">
      <c r="A379" t="e">
        <f>#REF!</f>
        <v>#REF!</v>
      </c>
      <c r="B379" t="e">
        <f>#REF!</f>
        <v>#REF!</v>
      </c>
      <c r="C379" t="e">
        <f>#REF!</f>
        <v>#REF!</v>
      </c>
      <c r="D379" t="e">
        <f>#REF!</f>
        <v>#REF!</v>
      </c>
      <c r="E379" t="e">
        <f>#REF!</f>
        <v>#REF!</v>
      </c>
      <c r="F379" t="e">
        <f>#REF!</f>
        <v>#REF!</v>
      </c>
    </row>
    <row r="380" spans="1:6" x14ac:dyDescent="0.3">
      <c r="A380" t="e">
        <f>#REF!</f>
        <v>#REF!</v>
      </c>
      <c r="B380" t="e">
        <f>#REF!</f>
        <v>#REF!</v>
      </c>
      <c r="C380" t="e">
        <f>#REF!</f>
        <v>#REF!</v>
      </c>
      <c r="D380" t="e">
        <f>#REF!</f>
        <v>#REF!</v>
      </c>
      <c r="E380" t="e">
        <f>#REF!</f>
        <v>#REF!</v>
      </c>
      <c r="F380" t="e">
        <f>#REF!</f>
        <v>#REF!</v>
      </c>
    </row>
    <row r="381" spans="1:6" x14ac:dyDescent="0.3">
      <c r="A381" t="e">
        <f>#REF!</f>
        <v>#REF!</v>
      </c>
      <c r="B381" t="e">
        <f>#REF!</f>
        <v>#REF!</v>
      </c>
      <c r="C381" t="e">
        <f>#REF!</f>
        <v>#REF!</v>
      </c>
      <c r="D381" t="e">
        <f>#REF!</f>
        <v>#REF!</v>
      </c>
      <c r="E381" t="e">
        <f>#REF!</f>
        <v>#REF!</v>
      </c>
      <c r="F381" t="e">
        <f>#REF!</f>
        <v>#REF!</v>
      </c>
    </row>
    <row r="382" spans="1:6" x14ac:dyDescent="0.3">
      <c r="A382" t="e">
        <f>#REF!</f>
        <v>#REF!</v>
      </c>
      <c r="B382" t="e">
        <f>#REF!</f>
        <v>#REF!</v>
      </c>
      <c r="C382" t="e">
        <f>#REF!</f>
        <v>#REF!</v>
      </c>
      <c r="D382" t="e">
        <f>#REF!</f>
        <v>#REF!</v>
      </c>
      <c r="E382" t="e">
        <f>#REF!</f>
        <v>#REF!</v>
      </c>
      <c r="F382" t="e">
        <f>#REF!</f>
        <v>#REF!</v>
      </c>
    </row>
    <row r="383" spans="1:6" x14ac:dyDescent="0.3">
      <c r="A383" t="e">
        <f>#REF!</f>
        <v>#REF!</v>
      </c>
      <c r="B383" t="e">
        <f>#REF!</f>
        <v>#REF!</v>
      </c>
      <c r="C383" t="e">
        <f>#REF!</f>
        <v>#REF!</v>
      </c>
      <c r="D383" t="e">
        <f>#REF!</f>
        <v>#REF!</v>
      </c>
      <c r="E383" t="e">
        <f>#REF!</f>
        <v>#REF!</v>
      </c>
      <c r="F383" t="e">
        <f>#REF!</f>
        <v>#REF!</v>
      </c>
    </row>
    <row r="384" spans="1:6" x14ac:dyDescent="0.3">
      <c r="A384" t="e">
        <f>#REF!</f>
        <v>#REF!</v>
      </c>
      <c r="B384" t="e">
        <f>#REF!</f>
        <v>#REF!</v>
      </c>
      <c r="C384" t="e">
        <f>#REF!</f>
        <v>#REF!</v>
      </c>
      <c r="D384" t="e">
        <f>#REF!</f>
        <v>#REF!</v>
      </c>
      <c r="E384" t="e">
        <f>#REF!</f>
        <v>#REF!</v>
      </c>
      <c r="F384" t="e">
        <f>#REF!</f>
        <v>#REF!</v>
      </c>
    </row>
    <row r="385" spans="1:6" x14ac:dyDescent="0.3">
      <c r="A385" t="e">
        <f>#REF!</f>
        <v>#REF!</v>
      </c>
      <c r="B385" t="e">
        <f>#REF!</f>
        <v>#REF!</v>
      </c>
      <c r="C385" t="e">
        <f>#REF!</f>
        <v>#REF!</v>
      </c>
      <c r="D385" t="e">
        <f>#REF!</f>
        <v>#REF!</v>
      </c>
      <c r="E385" t="e">
        <f>#REF!</f>
        <v>#REF!</v>
      </c>
      <c r="F385" t="e">
        <f>#REF!</f>
        <v>#REF!</v>
      </c>
    </row>
    <row r="386" spans="1:6" x14ac:dyDescent="0.3">
      <c r="A386" t="e">
        <f>#REF!</f>
        <v>#REF!</v>
      </c>
      <c r="B386" t="e">
        <f>#REF!</f>
        <v>#REF!</v>
      </c>
      <c r="C386" t="e">
        <f>#REF!</f>
        <v>#REF!</v>
      </c>
      <c r="D386" t="e">
        <f>#REF!</f>
        <v>#REF!</v>
      </c>
      <c r="E386" t="e">
        <f>#REF!</f>
        <v>#REF!</v>
      </c>
      <c r="F386" t="e">
        <f>#REF!</f>
        <v>#REF!</v>
      </c>
    </row>
    <row r="387" spans="1:6" x14ac:dyDescent="0.3">
      <c r="A387" t="e">
        <f>#REF!</f>
        <v>#REF!</v>
      </c>
      <c r="B387" t="e">
        <f>#REF!</f>
        <v>#REF!</v>
      </c>
      <c r="C387" t="e">
        <f>#REF!</f>
        <v>#REF!</v>
      </c>
      <c r="D387" t="e">
        <f>#REF!</f>
        <v>#REF!</v>
      </c>
      <c r="E387" t="e">
        <f>#REF!</f>
        <v>#REF!</v>
      </c>
      <c r="F387" t="e">
        <f>#REF!</f>
        <v>#REF!</v>
      </c>
    </row>
    <row r="388" spans="1:6" x14ac:dyDescent="0.3">
      <c r="A388" t="e">
        <f>#REF!</f>
        <v>#REF!</v>
      </c>
      <c r="B388" t="e">
        <f>#REF!</f>
        <v>#REF!</v>
      </c>
      <c r="C388" t="e">
        <f>#REF!</f>
        <v>#REF!</v>
      </c>
      <c r="D388" t="e">
        <f>#REF!</f>
        <v>#REF!</v>
      </c>
      <c r="E388" t="e">
        <f>#REF!</f>
        <v>#REF!</v>
      </c>
      <c r="F388" t="e">
        <f>#REF!</f>
        <v>#REF!</v>
      </c>
    </row>
    <row r="389" spans="1:6" x14ac:dyDescent="0.3">
      <c r="A389" t="e">
        <f>#REF!</f>
        <v>#REF!</v>
      </c>
      <c r="B389" t="e">
        <f>#REF!</f>
        <v>#REF!</v>
      </c>
      <c r="C389" t="e">
        <f>#REF!</f>
        <v>#REF!</v>
      </c>
      <c r="D389" t="e">
        <f>#REF!</f>
        <v>#REF!</v>
      </c>
      <c r="E389" t="e">
        <f>#REF!</f>
        <v>#REF!</v>
      </c>
      <c r="F389" t="e">
        <f>#REF!</f>
        <v>#REF!</v>
      </c>
    </row>
    <row r="390" spans="1:6" x14ac:dyDescent="0.3">
      <c r="A390" t="e">
        <f>#REF!</f>
        <v>#REF!</v>
      </c>
      <c r="B390" t="e">
        <f>#REF!</f>
        <v>#REF!</v>
      </c>
      <c r="C390" t="e">
        <f>#REF!</f>
        <v>#REF!</v>
      </c>
      <c r="D390" t="e">
        <f>#REF!</f>
        <v>#REF!</v>
      </c>
      <c r="E390" t="e">
        <f>#REF!</f>
        <v>#REF!</v>
      </c>
      <c r="F390" t="e">
        <f>#REF!</f>
        <v>#REF!</v>
      </c>
    </row>
    <row r="391" spans="1:6" x14ac:dyDescent="0.3">
      <c r="A391" t="e">
        <f>#REF!</f>
        <v>#REF!</v>
      </c>
      <c r="B391" t="e">
        <f>#REF!</f>
        <v>#REF!</v>
      </c>
      <c r="C391" t="e">
        <f>#REF!</f>
        <v>#REF!</v>
      </c>
      <c r="D391" t="e">
        <f>#REF!</f>
        <v>#REF!</v>
      </c>
      <c r="E391" t="e">
        <f>#REF!</f>
        <v>#REF!</v>
      </c>
      <c r="F391" t="e">
        <f>#REF!</f>
        <v>#REF!</v>
      </c>
    </row>
    <row r="392" spans="1:6" x14ac:dyDescent="0.3">
      <c r="A392" t="e">
        <f>#REF!</f>
        <v>#REF!</v>
      </c>
      <c r="B392" t="e">
        <f>#REF!</f>
        <v>#REF!</v>
      </c>
      <c r="C392" t="e">
        <f>#REF!</f>
        <v>#REF!</v>
      </c>
      <c r="D392" t="e">
        <f>#REF!</f>
        <v>#REF!</v>
      </c>
      <c r="E392" t="e">
        <f>#REF!</f>
        <v>#REF!</v>
      </c>
      <c r="F392" t="e">
        <f>#REF!</f>
        <v>#REF!</v>
      </c>
    </row>
    <row r="393" spans="1:6" x14ac:dyDescent="0.3">
      <c r="A393" t="e">
        <f>#REF!</f>
        <v>#REF!</v>
      </c>
      <c r="B393" t="e">
        <f>#REF!</f>
        <v>#REF!</v>
      </c>
      <c r="C393" t="e">
        <f>#REF!</f>
        <v>#REF!</v>
      </c>
      <c r="D393" t="e">
        <f>#REF!</f>
        <v>#REF!</v>
      </c>
      <c r="E393" t="e">
        <f>#REF!</f>
        <v>#REF!</v>
      </c>
      <c r="F393" t="e">
        <f>#REF!</f>
        <v>#REF!</v>
      </c>
    </row>
    <row r="394" spans="1:6" x14ac:dyDescent="0.3">
      <c r="A394" t="e">
        <f>#REF!</f>
        <v>#REF!</v>
      </c>
      <c r="B394" t="e">
        <f>#REF!</f>
        <v>#REF!</v>
      </c>
      <c r="C394" t="e">
        <f>#REF!</f>
        <v>#REF!</v>
      </c>
      <c r="D394" t="e">
        <f>#REF!</f>
        <v>#REF!</v>
      </c>
      <c r="E394" t="e">
        <f>#REF!</f>
        <v>#REF!</v>
      </c>
      <c r="F394" t="e">
        <f>#REF!</f>
        <v>#REF!</v>
      </c>
    </row>
    <row r="395" spans="1:6" x14ac:dyDescent="0.3">
      <c r="A395" t="e">
        <f>#REF!</f>
        <v>#REF!</v>
      </c>
      <c r="B395" t="e">
        <f>#REF!</f>
        <v>#REF!</v>
      </c>
      <c r="C395" t="e">
        <f>#REF!</f>
        <v>#REF!</v>
      </c>
      <c r="D395" t="e">
        <f>#REF!</f>
        <v>#REF!</v>
      </c>
      <c r="E395" t="e">
        <f>#REF!</f>
        <v>#REF!</v>
      </c>
      <c r="F395" t="e">
        <f>#REF!</f>
        <v>#REF!</v>
      </c>
    </row>
    <row r="396" spans="1:6" x14ac:dyDescent="0.3">
      <c r="A396" t="e">
        <f>#REF!</f>
        <v>#REF!</v>
      </c>
      <c r="B396" t="e">
        <f>#REF!</f>
        <v>#REF!</v>
      </c>
      <c r="C396" t="e">
        <f>#REF!</f>
        <v>#REF!</v>
      </c>
      <c r="D396" t="e">
        <f>#REF!</f>
        <v>#REF!</v>
      </c>
      <c r="E396" t="e">
        <f>#REF!</f>
        <v>#REF!</v>
      </c>
      <c r="F396" t="e">
        <f>#REF!</f>
        <v>#REF!</v>
      </c>
    </row>
    <row r="397" spans="1:6" x14ac:dyDescent="0.3">
      <c r="A397" t="e">
        <f>#REF!</f>
        <v>#REF!</v>
      </c>
      <c r="B397" t="e">
        <f>#REF!</f>
        <v>#REF!</v>
      </c>
      <c r="C397" t="e">
        <f>#REF!</f>
        <v>#REF!</v>
      </c>
      <c r="D397" t="e">
        <f>#REF!</f>
        <v>#REF!</v>
      </c>
      <c r="E397" t="e">
        <f>#REF!</f>
        <v>#REF!</v>
      </c>
      <c r="F397" t="e">
        <f>#REF!</f>
        <v>#REF!</v>
      </c>
    </row>
    <row r="398" spans="1:6" x14ac:dyDescent="0.3">
      <c r="A398" t="e">
        <f>#REF!</f>
        <v>#REF!</v>
      </c>
      <c r="B398" t="e">
        <f>#REF!</f>
        <v>#REF!</v>
      </c>
      <c r="C398" t="e">
        <f>#REF!</f>
        <v>#REF!</v>
      </c>
      <c r="D398" t="e">
        <f>#REF!</f>
        <v>#REF!</v>
      </c>
      <c r="E398" t="e">
        <f>#REF!</f>
        <v>#REF!</v>
      </c>
      <c r="F398" t="e">
        <f>#REF!</f>
        <v>#REF!</v>
      </c>
    </row>
    <row r="399" spans="1:6" x14ac:dyDescent="0.3">
      <c r="A399" t="e">
        <f>#REF!</f>
        <v>#REF!</v>
      </c>
      <c r="B399" t="e">
        <f>#REF!</f>
        <v>#REF!</v>
      </c>
      <c r="C399" t="e">
        <f>#REF!</f>
        <v>#REF!</v>
      </c>
      <c r="D399" t="e">
        <f>#REF!</f>
        <v>#REF!</v>
      </c>
      <c r="E399" t="e">
        <f>#REF!</f>
        <v>#REF!</v>
      </c>
      <c r="F399" t="e">
        <f>#REF!</f>
        <v>#REF!</v>
      </c>
    </row>
    <row r="400" spans="1:6" x14ac:dyDescent="0.3">
      <c r="A400" t="e">
        <f>#REF!</f>
        <v>#REF!</v>
      </c>
      <c r="B400" t="e">
        <f>#REF!</f>
        <v>#REF!</v>
      </c>
      <c r="C400" t="e">
        <f>#REF!</f>
        <v>#REF!</v>
      </c>
      <c r="D400" t="e">
        <f>#REF!</f>
        <v>#REF!</v>
      </c>
      <c r="E400" t="e">
        <f>#REF!</f>
        <v>#REF!</v>
      </c>
      <c r="F400" t="e">
        <f>#REF!</f>
        <v>#REF!</v>
      </c>
    </row>
    <row r="401" spans="1:6" x14ac:dyDescent="0.3">
      <c r="A401" t="e">
        <f>#REF!</f>
        <v>#REF!</v>
      </c>
      <c r="B401" t="e">
        <f>#REF!</f>
        <v>#REF!</v>
      </c>
      <c r="C401" t="e">
        <f>#REF!</f>
        <v>#REF!</v>
      </c>
      <c r="D401" t="e">
        <f>#REF!</f>
        <v>#REF!</v>
      </c>
      <c r="E401" t="e">
        <f>#REF!</f>
        <v>#REF!</v>
      </c>
      <c r="F401" t="e">
        <f>#REF!</f>
        <v>#REF!</v>
      </c>
    </row>
    <row r="402" spans="1:6" x14ac:dyDescent="0.3">
      <c r="A402" t="e">
        <f>#REF!</f>
        <v>#REF!</v>
      </c>
      <c r="B402" t="e">
        <f>#REF!</f>
        <v>#REF!</v>
      </c>
      <c r="C402" t="e">
        <f>#REF!</f>
        <v>#REF!</v>
      </c>
      <c r="D402" t="e">
        <f>#REF!</f>
        <v>#REF!</v>
      </c>
      <c r="E402" t="e">
        <f>#REF!</f>
        <v>#REF!</v>
      </c>
      <c r="F402" t="e">
        <f>#REF!</f>
        <v>#REF!</v>
      </c>
    </row>
    <row r="403" spans="1:6" x14ac:dyDescent="0.3">
      <c r="A403" t="e">
        <f>#REF!</f>
        <v>#REF!</v>
      </c>
      <c r="B403" t="e">
        <f>#REF!</f>
        <v>#REF!</v>
      </c>
      <c r="C403" t="e">
        <f>#REF!</f>
        <v>#REF!</v>
      </c>
      <c r="D403" t="e">
        <f>#REF!</f>
        <v>#REF!</v>
      </c>
      <c r="E403" t="e">
        <f>#REF!</f>
        <v>#REF!</v>
      </c>
      <c r="F403" t="e">
        <f>#REF!</f>
        <v>#REF!</v>
      </c>
    </row>
    <row r="404" spans="1:6" x14ac:dyDescent="0.3">
      <c r="A404" t="e">
        <f>#REF!</f>
        <v>#REF!</v>
      </c>
      <c r="B404" t="e">
        <f>#REF!</f>
        <v>#REF!</v>
      </c>
      <c r="C404" t="e">
        <f>#REF!</f>
        <v>#REF!</v>
      </c>
      <c r="D404" t="e">
        <f>#REF!</f>
        <v>#REF!</v>
      </c>
      <c r="E404" t="e">
        <f>#REF!</f>
        <v>#REF!</v>
      </c>
      <c r="F404" t="e">
        <f>#REF!</f>
        <v>#REF!</v>
      </c>
    </row>
    <row r="405" spans="1:6" x14ac:dyDescent="0.3">
      <c r="A405" t="e">
        <f>#REF!</f>
        <v>#REF!</v>
      </c>
      <c r="B405" t="e">
        <f>#REF!</f>
        <v>#REF!</v>
      </c>
      <c r="C405" t="e">
        <f>#REF!</f>
        <v>#REF!</v>
      </c>
      <c r="D405" t="e">
        <f>#REF!</f>
        <v>#REF!</v>
      </c>
      <c r="E405" t="e">
        <f>#REF!</f>
        <v>#REF!</v>
      </c>
      <c r="F405" t="e">
        <f>#REF!</f>
        <v>#REF!</v>
      </c>
    </row>
    <row r="406" spans="1:6" x14ac:dyDescent="0.3">
      <c r="A406" t="e">
        <f>#REF!</f>
        <v>#REF!</v>
      </c>
      <c r="B406" t="e">
        <f>#REF!</f>
        <v>#REF!</v>
      </c>
      <c r="C406" t="e">
        <f>#REF!</f>
        <v>#REF!</v>
      </c>
      <c r="D406" t="e">
        <f>#REF!</f>
        <v>#REF!</v>
      </c>
      <c r="E406" t="e">
        <f>#REF!</f>
        <v>#REF!</v>
      </c>
      <c r="F406" t="e">
        <f>#REF!</f>
        <v>#REF!</v>
      </c>
    </row>
    <row r="407" spans="1:6" x14ac:dyDescent="0.3">
      <c r="A407" t="e">
        <f>#REF!</f>
        <v>#REF!</v>
      </c>
      <c r="B407" t="e">
        <f>#REF!</f>
        <v>#REF!</v>
      </c>
      <c r="C407" t="e">
        <f>#REF!</f>
        <v>#REF!</v>
      </c>
      <c r="D407" t="e">
        <f>#REF!</f>
        <v>#REF!</v>
      </c>
      <c r="E407" t="e">
        <f>#REF!</f>
        <v>#REF!</v>
      </c>
      <c r="F407" t="e">
        <f>#REF!</f>
        <v>#REF!</v>
      </c>
    </row>
    <row r="408" spans="1:6" x14ac:dyDescent="0.3">
      <c r="A408" t="e">
        <f>#REF!</f>
        <v>#REF!</v>
      </c>
      <c r="B408" t="e">
        <f>#REF!</f>
        <v>#REF!</v>
      </c>
      <c r="C408" t="e">
        <f>#REF!</f>
        <v>#REF!</v>
      </c>
      <c r="D408" t="e">
        <f>#REF!</f>
        <v>#REF!</v>
      </c>
      <c r="E408" t="e">
        <f>#REF!</f>
        <v>#REF!</v>
      </c>
      <c r="F408" t="e">
        <f>#REF!</f>
        <v>#REF!</v>
      </c>
    </row>
    <row r="409" spans="1:6" x14ac:dyDescent="0.3">
      <c r="A409" t="e">
        <f>#REF!</f>
        <v>#REF!</v>
      </c>
      <c r="B409" t="e">
        <f>#REF!</f>
        <v>#REF!</v>
      </c>
      <c r="C409" t="e">
        <f>#REF!</f>
        <v>#REF!</v>
      </c>
      <c r="D409" t="e">
        <f>#REF!</f>
        <v>#REF!</v>
      </c>
      <c r="E409" t="e">
        <f>#REF!</f>
        <v>#REF!</v>
      </c>
      <c r="F409" t="e">
        <f>#REF!</f>
        <v>#REF!</v>
      </c>
    </row>
    <row r="410" spans="1:6" x14ac:dyDescent="0.3">
      <c r="A410" t="e">
        <f>#REF!</f>
        <v>#REF!</v>
      </c>
      <c r="B410" t="e">
        <f>#REF!</f>
        <v>#REF!</v>
      </c>
      <c r="C410" t="e">
        <f>#REF!</f>
        <v>#REF!</v>
      </c>
      <c r="D410" t="e">
        <f>#REF!</f>
        <v>#REF!</v>
      </c>
      <c r="E410" t="e">
        <f>#REF!</f>
        <v>#REF!</v>
      </c>
      <c r="F410" t="e">
        <f>#REF!</f>
        <v>#REF!</v>
      </c>
    </row>
    <row r="411" spans="1:6" x14ac:dyDescent="0.3">
      <c r="A411" t="e">
        <f>#REF!</f>
        <v>#REF!</v>
      </c>
      <c r="B411" t="e">
        <f>#REF!</f>
        <v>#REF!</v>
      </c>
      <c r="C411" t="e">
        <f>#REF!</f>
        <v>#REF!</v>
      </c>
      <c r="D411" t="e">
        <f>#REF!</f>
        <v>#REF!</v>
      </c>
      <c r="E411" t="e">
        <f>#REF!</f>
        <v>#REF!</v>
      </c>
      <c r="F411" t="e">
        <f>#REF!</f>
        <v>#REF!</v>
      </c>
    </row>
    <row r="412" spans="1:6" x14ac:dyDescent="0.3">
      <c r="A412" t="e">
        <f>#REF!</f>
        <v>#REF!</v>
      </c>
      <c r="B412" t="e">
        <f>#REF!</f>
        <v>#REF!</v>
      </c>
      <c r="C412" t="e">
        <f>#REF!</f>
        <v>#REF!</v>
      </c>
      <c r="D412" t="e">
        <f>#REF!</f>
        <v>#REF!</v>
      </c>
      <c r="E412" t="e">
        <f>#REF!</f>
        <v>#REF!</v>
      </c>
      <c r="F412" t="e">
        <f>#REF!</f>
        <v>#REF!</v>
      </c>
    </row>
    <row r="413" spans="1:6" x14ac:dyDescent="0.3">
      <c r="A413" t="e">
        <f>#REF!</f>
        <v>#REF!</v>
      </c>
      <c r="B413" t="e">
        <f>#REF!</f>
        <v>#REF!</v>
      </c>
      <c r="C413" t="e">
        <f>#REF!</f>
        <v>#REF!</v>
      </c>
      <c r="D413" t="e">
        <f>#REF!</f>
        <v>#REF!</v>
      </c>
      <c r="E413" t="e">
        <f>#REF!</f>
        <v>#REF!</v>
      </c>
      <c r="F413" t="e">
        <f>#REF!</f>
        <v>#REF!</v>
      </c>
    </row>
    <row r="414" spans="1:6" x14ac:dyDescent="0.3">
      <c r="A414" t="e">
        <f>#REF!</f>
        <v>#REF!</v>
      </c>
      <c r="B414" t="e">
        <f>#REF!</f>
        <v>#REF!</v>
      </c>
      <c r="C414" t="e">
        <f>#REF!</f>
        <v>#REF!</v>
      </c>
      <c r="D414" t="e">
        <f>#REF!</f>
        <v>#REF!</v>
      </c>
      <c r="E414" t="e">
        <f>#REF!</f>
        <v>#REF!</v>
      </c>
      <c r="F414" t="e">
        <f>#REF!</f>
        <v>#REF!</v>
      </c>
    </row>
    <row r="415" spans="1:6" x14ac:dyDescent="0.3">
      <c r="A415" t="e">
        <f>#REF!</f>
        <v>#REF!</v>
      </c>
      <c r="B415" t="e">
        <f>#REF!</f>
        <v>#REF!</v>
      </c>
      <c r="C415" t="e">
        <f>#REF!</f>
        <v>#REF!</v>
      </c>
      <c r="D415" t="e">
        <f>#REF!</f>
        <v>#REF!</v>
      </c>
      <c r="E415" t="e">
        <f>#REF!</f>
        <v>#REF!</v>
      </c>
      <c r="F415" t="e">
        <f>#REF!</f>
        <v>#REF!</v>
      </c>
    </row>
    <row r="416" spans="1:6" x14ac:dyDescent="0.3">
      <c r="A416" t="e">
        <f>#REF!</f>
        <v>#REF!</v>
      </c>
      <c r="B416" t="e">
        <f>#REF!</f>
        <v>#REF!</v>
      </c>
      <c r="C416" t="e">
        <f>#REF!</f>
        <v>#REF!</v>
      </c>
      <c r="D416" t="e">
        <f>#REF!</f>
        <v>#REF!</v>
      </c>
      <c r="E416" t="e">
        <f>#REF!</f>
        <v>#REF!</v>
      </c>
      <c r="F416" t="e">
        <f>#REF!</f>
        <v>#REF!</v>
      </c>
    </row>
    <row r="417" spans="1:6" x14ac:dyDescent="0.3">
      <c r="A417" t="e">
        <f>#REF!</f>
        <v>#REF!</v>
      </c>
      <c r="B417" t="e">
        <f>#REF!</f>
        <v>#REF!</v>
      </c>
      <c r="C417" t="e">
        <f>#REF!</f>
        <v>#REF!</v>
      </c>
      <c r="D417" t="e">
        <f>#REF!</f>
        <v>#REF!</v>
      </c>
      <c r="E417" t="e">
        <f>#REF!</f>
        <v>#REF!</v>
      </c>
      <c r="F417" t="e">
        <f>#REF!</f>
        <v>#REF!</v>
      </c>
    </row>
    <row r="418" spans="1:6" x14ac:dyDescent="0.3">
      <c r="A418" t="e">
        <f>#REF!</f>
        <v>#REF!</v>
      </c>
      <c r="B418" t="e">
        <f>#REF!</f>
        <v>#REF!</v>
      </c>
      <c r="C418" t="e">
        <f>#REF!</f>
        <v>#REF!</v>
      </c>
      <c r="D418" t="e">
        <f>#REF!</f>
        <v>#REF!</v>
      </c>
      <c r="E418" t="e">
        <f>#REF!</f>
        <v>#REF!</v>
      </c>
      <c r="F418" t="e">
        <f>#REF!</f>
        <v>#REF!</v>
      </c>
    </row>
    <row r="419" spans="1:6" x14ac:dyDescent="0.3">
      <c r="A419" t="e">
        <f>#REF!</f>
        <v>#REF!</v>
      </c>
      <c r="B419" t="e">
        <f>#REF!</f>
        <v>#REF!</v>
      </c>
      <c r="C419" t="e">
        <f>#REF!</f>
        <v>#REF!</v>
      </c>
      <c r="D419" t="e">
        <f>#REF!</f>
        <v>#REF!</v>
      </c>
      <c r="E419" t="e">
        <f>#REF!</f>
        <v>#REF!</v>
      </c>
      <c r="F419" t="e">
        <f>#REF!</f>
        <v>#REF!</v>
      </c>
    </row>
    <row r="420" spans="1:6" x14ac:dyDescent="0.3">
      <c r="A420" t="e">
        <f>#REF!</f>
        <v>#REF!</v>
      </c>
      <c r="B420" t="e">
        <f>#REF!</f>
        <v>#REF!</v>
      </c>
      <c r="C420" t="e">
        <f>#REF!</f>
        <v>#REF!</v>
      </c>
      <c r="D420" t="e">
        <f>#REF!</f>
        <v>#REF!</v>
      </c>
      <c r="E420" t="e">
        <f>#REF!</f>
        <v>#REF!</v>
      </c>
      <c r="F420" t="e">
        <f>#REF!</f>
        <v>#REF!</v>
      </c>
    </row>
    <row r="421" spans="1:6" x14ac:dyDescent="0.3">
      <c r="A421" t="e">
        <f>#REF!</f>
        <v>#REF!</v>
      </c>
      <c r="B421" t="e">
        <f>#REF!</f>
        <v>#REF!</v>
      </c>
      <c r="C421" t="e">
        <f>#REF!</f>
        <v>#REF!</v>
      </c>
      <c r="D421" t="e">
        <f>#REF!</f>
        <v>#REF!</v>
      </c>
      <c r="E421" t="e">
        <f>#REF!</f>
        <v>#REF!</v>
      </c>
      <c r="F421" t="e">
        <f>#REF!</f>
        <v>#REF!</v>
      </c>
    </row>
    <row r="422" spans="1:6" x14ac:dyDescent="0.3">
      <c r="A422" t="e">
        <f>#REF!</f>
        <v>#REF!</v>
      </c>
      <c r="B422" t="e">
        <f>#REF!</f>
        <v>#REF!</v>
      </c>
      <c r="C422" t="e">
        <f>#REF!</f>
        <v>#REF!</v>
      </c>
      <c r="D422" t="e">
        <f>#REF!</f>
        <v>#REF!</v>
      </c>
      <c r="E422" t="e">
        <f>#REF!</f>
        <v>#REF!</v>
      </c>
      <c r="F422" t="e">
        <f>#REF!</f>
        <v>#REF!</v>
      </c>
    </row>
    <row r="423" spans="1:6" x14ac:dyDescent="0.3">
      <c r="A423" t="e">
        <f>#REF!</f>
        <v>#REF!</v>
      </c>
      <c r="B423" t="e">
        <f>#REF!</f>
        <v>#REF!</v>
      </c>
      <c r="C423" t="e">
        <f>#REF!</f>
        <v>#REF!</v>
      </c>
      <c r="D423" t="e">
        <f>#REF!</f>
        <v>#REF!</v>
      </c>
      <c r="E423" t="e">
        <f>#REF!</f>
        <v>#REF!</v>
      </c>
      <c r="F423" t="e">
        <f>#REF!</f>
        <v>#REF!</v>
      </c>
    </row>
    <row r="424" spans="1:6" x14ac:dyDescent="0.3">
      <c r="A424" t="e">
        <f>#REF!</f>
        <v>#REF!</v>
      </c>
      <c r="B424" t="e">
        <f>#REF!</f>
        <v>#REF!</v>
      </c>
      <c r="C424" t="e">
        <f>#REF!</f>
        <v>#REF!</v>
      </c>
      <c r="D424" t="e">
        <f>#REF!</f>
        <v>#REF!</v>
      </c>
      <c r="E424" t="e">
        <f>#REF!</f>
        <v>#REF!</v>
      </c>
      <c r="F424" t="e">
        <f>#REF!</f>
        <v>#REF!</v>
      </c>
    </row>
    <row r="425" spans="1:6" x14ac:dyDescent="0.3">
      <c r="A425" t="e">
        <f>#REF!</f>
        <v>#REF!</v>
      </c>
      <c r="B425" t="e">
        <f>#REF!</f>
        <v>#REF!</v>
      </c>
      <c r="C425" t="e">
        <f>#REF!</f>
        <v>#REF!</v>
      </c>
      <c r="D425" t="e">
        <f>#REF!</f>
        <v>#REF!</v>
      </c>
      <c r="E425" t="e">
        <f>#REF!</f>
        <v>#REF!</v>
      </c>
      <c r="F425" t="e">
        <f>#REF!</f>
        <v>#REF!</v>
      </c>
    </row>
    <row r="426" spans="1:6" x14ac:dyDescent="0.3">
      <c r="A426" t="e">
        <f>#REF!</f>
        <v>#REF!</v>
      </c>
      <c r="B426" t="e">
        <f>#REF!</f>
        <v>#REF!</v>
      </c>
      <c r="C426" t="e">
        <f>#REF!</f>
        <v>#REF!</v>
      </c>
      <c r="D426" t="e">
        <f>#REF!</f>
        <v>#REF!</v>
      </c>
      <c r="E426" t="e">
        <f>#REF!</f>
        <v>#REF!</v>
      </c>
      <c r="F426" t="e">
        <f>#REF!</f>
        <v>#REF!</v>
      </c>
    </row>
    <row r="427" spans="1:6" x14ac:dyDescent="0.3">
      <c r="A427" t="e">
        <f>#REF!</f>
        <v>#REF!</v>
      </c>
      <c r="B427" t="e">
        <f>#REF!</f>
        <v>#REF!</v>
      </c>
      <c r="C427" t="e">
        <f>#REF!</f>
        <v>#REF!</v>
      </c>
      <c r="D427" t="e">
        <f>#REF!</f>
        <v>#REF!</v>
      </c>
      <c r="E427" t="e">
        <f>#REF!</f>
        <v>#REF!</v>
      </c>
      <c r="F427" t="e">
        <f>#REF!</f>
        <v>#REF!</v>
      </c>
    </row>
    <row r="428" spans="1:6" x14ac:dyDescent="0.3">
      <c r="A428" t="e">
        <f>#REF!</f>
        <v>#REF!</v>
      </c>
      <c r="B428" t="e">
        <f>#REF!</f>
        <v>#REF!</v>
      </c>
      <c r="C428" t="e">
        <f>#REF!</f>
        <v>#REF!</v>
      </c>
      <c r="D428" t="e">
        <f>#REF!</f>
        <v>#REF!</v>
      </c>
      <c r="E428" t="e">
        <f>#REF!</f>
        <v>#REF!</v>
      </c>
      <c r="F428" t="e">
        <f>#REF!</f>
        <v>#REF!</v>
      </c>
    </row>
    <row r="429" spans="1:6" x14ac:dyDescent="0.3">
      <c r="A429" t="e">
        <f>#REF!</f>
        <v>#REF!</v>
      </c>
      <c r="B429" t="e">
        <f>#REF!</f>
        <v>#REF!</v>
      </c>
      <c r="C429" t="e">
        <f>#REF!</f>
        <v>#REF!</v>
      </c>
      <c r="D429" t="e">
        <f>#REF!</f>
        <v>#REF!</v>
      </c>
      <c r="E429" t="e">
        <f>#REF!</f>
        <v>#REF!</v>
      </c>
      <c r="F429" t="e">
        <f>#REF!</f>
        <v>#REF!</v>
      </c>
    </row>
    <row r="430" spans="1:6" x14ac:dyDescent="0.3">
      <c r="A430" t="e">
        <f>#REF!</f>
        <v>#REF!</v>
      </c>
      <c r="B430" t="e">
        <f>#REF!</f>
        <v>#REF!</v>
      </c>
      <c r="C430" t="e">
        <f>#REF!</f>
        <v>#REF!</v>
      </c>
      <c r="D430" t="e">
        <f>#REF!</f>
        <v>#REF!</v>
      </c>
      <c r="E430" t="e">
        <f>#REF!</f>
        <v>#REF!</v>
      </c>
      <c r="F430" t="e">
        <f>#REF!</f>
        <v>#REF!</v>
      </c>
    </row>
    <row r="431" spans="1:6" x14ac:dyDescent="0.3">
      <c r="A431" t="e">
        <f>#REF!</f>
        <v>#REF!</v>
      </c>
      <c r="B431" t="e">
        <f>#REF!</f>
        <v>#REF!</v>
      </c>
      <c r="C431" t="e">
        <f>#REF!</f>
        <v>#REF!</v>
      </c>
      <c r="D431" t="e">
        <f>#REF!</f>
        <v>#REF!</v>
      </c>
      <c r="E431" t="e">
        <f>#REF!</f>
        <v>#REF!</v>
      </c>
      <c r="F431" t="e">
        <f>#REF!</f>
        <v>#REF!</v>
      </c>
    </row>
    <row r="432" spans="1:6" x14ac:dyDescent="0.3">
      <c r="A432" t="e">
        <f>#REF!</f>
        <v>#REF!</v>
      </c>
      <c r="B432" t="e">
        <f>#REF!</f>
        <v>#REF!</v>
      </c>
      <c r="C432" t="e">
        <f>#REF!</f>
        <v>#REF!</v>
      </c>
      <c r="D432" t="e">
        <f>#REF!</f>
        <v>#REF!</v>
      </c>
      <c r="E432" t="e">
        <f>#REF!</f>
        <v>#REF!</v>
      </c>
      <c r="F432" t="e">
        <f>#REF!</f>
        <v>#REF!</v>
      </c>
    </row>
    <row r="433" spans="1:6" x14ac:dyDescent="0.3">
      <c r="A433" t="e">
        <f>#REF!</f>
        <v>#REF!</v>
      </c>
      <c r="B433" t="e">
        <f>#REF!</f>
        <v>#REF!</v>
      </c>
      <c r="C433" t="e">
        <f>#REF!</f>
        <v>#REF!</v>
      </c>
      <c r="D433" t="e">
        <f>#REF!</f>
        <v>#REF!</v>
      </c>
      <c r="E433" t="e">
        <f>#REF!</f>
        <v>#REF!</v>
      </c>
      <c r="F433" t="e">
        <f>#REF!</f>
        <v>#REF!</v>
      </c>
    </row>
    <row r="434" spans="1:6" x14ac:dyDescent="0.3">
      <c r="A434" t="e">
        <f>#REF!</f>
        <v>#REF!</v>
      </c>
      <c r="B434" t="e">
        <f>#REF!</f>
        <v>#REF!</v>
      </c>
      <c r="C434" t="e">
        <f>#REF!</f>
        <v>#REF!</v>
      </c>
      <c r="D434" t="e">
        <f>#REF!</f>
        <v>#REF!</v>
      </c>
      <c r="E434" t="e">
        <f>#REF!</f>
        <v>#REF!</v>
      </c>
      <c r="F434" t="e">
        <f>#REF!</f>
        <v>#REF!</v>
      </c>
    </row>
    <row r="435" spans="1:6" x14ac:dyDescent="0.3">
      <c r="A435" t="e">
        <f>#REF!</f>
        <v>#REF!</v>
      </c>
      <c r="B435" t="e">
        <f>#REF!</f>
        <v>#REF!</v>
      </c>
      <c r="C435" t="e">
        <f>#REF!</f>
        <v>#REF!</v>
      </c>
      <c r="D435" t="e">
        <f>#REF!</f>
        <v>#REF!</v>
      </c>
      <c r="E435" t="e">
        <f>#REF!</f>
        <v>#REF!</v>
      </c>
      <c r="F435" t="e">
        <f>#REF!</f>
        <v>#REF!</v>
      </c>
    </row>
    <row r="436" spans="1:6" x14ac:dyDescent="0.3">
      <c r="A436" t="e">
        <f>#REF!</f>
        <v>#REF!</v>
      </c>
      <c r="B436" t="e">
        <f>#REF!</f>
        <v>#REF!</v>
      </c>
      <c r="C436" t="e">
        <f>#REF!</f>
        <v>#REF!</v>
      </c>
      <c r="D436" t="e">
        <f>#REF!</f>
        <v>#REF!</v>
      </c>
      <c r="E436" t="e">
        <f>#REF!</f>
        <v>#REF!</v>
      </c>
      <c r="F436" t="e">
        <f>#REF!</f>
        <v>#REF!</v>
      </c>
    </row>
    <row r="437" spans="1:6" x14ac:dyDescent="0.3">
      <c r="A437" t="e">
        <f>#REF!</f>
        <v>#REF!</v>
      </c>
      <c r="B437" t="e">
        <f>#REF!</f>
        <v>#REF!</v>
      </c>
      <c r="C437" t="e">
        <f>#REF!</f>
        <v>#REF!</v>
      </c>
      <c r="D437" t="e">
        <f>#REF!</f>
        <v>#REF!</v>
      </c>
      <c r="E437" t="e">
        <f>#REF!</f>
        <v>#REF!</v>
      </c>
      <c r="F437" t="e">
        <f>#REF!</f>
        <v>#REF!</v>
      </c>
    </row>
    <row r="438" spans="1:6" x14ac:dyDescent="0.3">
      <c r="A438" t="e">
        <f>#REF!</f>
        <v>#REF!</v>
      </c>
      <c r="B438" t="e">
        <f>#REF!</f>
        <v>#REF!</v>
      </c>
      <c r="C438" t="e">
        <f>#REF!</f>
        <v>#REF!</v>
      </c>
      <c r="D438" t="e">
        <f>#REF!</f>
        <v>#REF!</v>
      </c>
      <c r="E438" t="e">
        <f>#REF!</f>
        <v>#REF!</v>
      </c>
      <c r="F438" t="e">
        <f>#REF!</f>
        <v>#REF!</v>
      </c>
    </row>
    <row r="439" spans="1:6" x14ac:dyDescent="0.3">
      <c r="A439" t="e">
        <f>#REF!</f>
        <v>#REF!</v>
      </c>
      <c r="B439" t="e">
        <f>#REF!</f>
        <v>#REF!</v>
      </c>
      <c r="C439" t="e">
        <f>#REF!</f>
        <v>#REF!</v>
      </c>
      <c r="D439" t="e">
        <f>#REF!</f>
        <v>#REF!</v>
      </c>
      <c r="E439" t="e">
        <f>#REF!</f>
        <v>#REF!</v>
      </c>
      <c r="F439" t="e">
        <f>#REF!</f>
        <v>#REF!</v>
      </c>
    </row>
    <row r="440" spans="1:6" x14ac:dyDescent="0.3">
      <c r="A440" t="e">
        <f>#REF!</f>
        <v>#REF!</v>
      </c>
      <c r="B440" t="e">
        <f>#REF!</f>
        <v>#REF!</v>
      </c>
      <c r="C440" t="e">
        <f>#REF!</f>
        <v>#REF!</v>
      </c>
      <c r="D440" t="e">
        <f>#REF!</f>
        <v>#REF!</v>
      </c>
      <c r="E440" t="e">
        <f>#REF!</f>
        <v>#REF!</v>
      </c>
      <c r="F440" t="e">
        <f>#REF!</f>
        <v>#REF!</v>
      </c>
    </row>
    <row r="441" spans="1:6" x14ac:dyDescent="0.3">
      <c r="A441" t="e">
        <f>#REF!</f>
        <v>#REF!</v>
      </c>
      <c r="B441" t="e">
        <f>#REF!</f>
        <v>#REF!</v>
      </c>
      <c r="C441" t="e">
        <f>#REF!</f>
        <v>#REF!</v>
      </c>
      <c r="D441" t="e">
        <f>#REF!</f>
        <v>#REF!</v>
      </c>
      <c r="E441" t="e">
        <f>#REF!</f>
        <v>#REF!</v>
      </c>
      <c r="F441" t="e">
        <f>#REF!</f>
        <v>#REF!</v>
      </c>
    </row>
    <row r="442" spans="1:6" x14ac:dyDescent="0.3">
      <c r="A442" t="e">
        <f>#REF!</f>
        <v>#REF!</v>
      </c>
      <c r="B442" t="e">
        <f>#REF!</f>
        <v>#REF!</v>
      </c>
      <c r="C442" t="e">
        <f>#REF!</f>
        <v>#REF!</v>
      </c>
      <c r="D442" t="e">
        <f>#REF!</f>
        <v>#REF!</v>
      </c>
      <c r="E442" t="e">
        <f>#REF!</f>
        <v>#REF!</v>
      </c>
      <c r="F442" t="e">
        <f>#REF!</f>
        <v>#REF!</v>
      </c>
    </row>
    <row r="443" spans="1:6" x14ac:dyDescent="0.3">
      <c r="A443" t="e">
        <f>#REF!</f>
        <v>#REF!</v>
      </c>
      <c r="B443" t="e">
        <f>#REF!</f>
        <v>#REF!</v>
      </c>
      <c r="C443" t="e">
        <f>#REF!</f>
        <v>#REF!</v>
      </c>
      <c r="D443" t="e">
        <f>#REF!</f>
        <v>#REF!</v>
      </c>
      <c r="E443" t="e">
        <f>#REF!</f>
        <v>#REF!</v>
      </c>
      <c r="F443" t="e">
        <f>#REF!</f>
        <v>#REF!</v>
      </c>
    </row>
    <row r="444" spans="1:6" x14ac:dyDescent="0.3">
      <c r="A444" t="e">
        <f>#REF!</f>
        <v>#REF!</v>
      </c>
      <c r="B444" t="e">
        <f>#REF!</f>
        <v>#REF!</v>
      </c>
      <c r="C444" t="e">
        <f>#REF!</f>
        <v>#REF!</v>
      </c>
      <c r="D444" t="e">
        <f>#REF!</f>
        <v>#REF!</v>
      </c>
      <c r="E444" t="e">
        <f>#REF!</f>
        <v>#REF!</v>
      </c>
      <c r="F444" t="e">
        <f>#REF!</f>
        <v>#REF!</v>
      </c>
    </row>
    <row r="445" spans="1:6" x14ac:dyDescent="0.3">
      <c r="A445" t="e">
        <f>#REF!</f>
        <v>#REF!</v>
      </c>
      <c r="B445" t="e">
        <f>#REF!</f>
        <v>#REF!</v>
      </c>
      <c r="C445" t="e">
        <f>#REF!</f>
        <v>#REF!</v>
      </c>
      <c r="D445" t="e">
        <f>#REF!</f>
        <v>#REF!</v>
      </c>
      <c r="E445" t="e">
        <f>#REF!</f>
        <v>#REF!</v>
      </c>
      <c r="F445" t="e">
        <f>#REF!</f>
        <v>#REF!</v>
      </c>
    </row>
    <row r="446" spans="1:6" x14ac:dyDescent="0.3">
      <c r="A446" t="e">
        <f>#REF!</f>
        <v>#REF!</v>
      </c>
      <c r="B446" t="e">
        <f>#REF!</f>
        <v>#REF!</v>
      </c>
      <c r="C446" t="e">
        <f>#REF!</f>
        <v>#REF!</v>
      </c>
      <c r="D446" t="e">
        <f>#REF!</f>
        <v>#REF!</v>
      </c>
      <c r="E446" t="e">
        <f>#REF!</f>
        <v>#REF!</v>
      </c>
      <c r="F446" t="e">
        <f>#REF!</f>
        <v>#REF!</v>
      </c>
    </row>
    <row r="447" spans="1:6" x14ac:dyDescent="0.3">
      <c r="A447" t="e">
        <f>#REF!</f>
        <v>#REF!</v>
      </c>
      <c r="B447" t="e">
        <f>#REF!</f>
        <v>#REF!</v>
      </c>
      <c r="C447" t="e">
        <f>#REF!</f>
        <v>#REF!</v>
      </c>
      <c r="D447" t="e">
        <f>#REF!</f>
        <v>#REF!</v>
      </c>
      <c r="E447" t="e">
        <f>#REF!</f>
        <v>#REF!</v>
      </c>
      <c r="F447" t="e">
        <f>#REF!</f>
        <v>#REF!</v>
      </c>
    </row>
    <row r="448" spans="1:6" x14ac:dyDescent="0.3">
      <c r="A448" t="e">
        <f>#REF!</f>
        <v>#REF!</v>
      </c>
      <c r="B448" t="e">
        <f>#REF!</f>
        <v>#REF!</v>
      </c>
      <c r="C448" t="e">
        <f>#REF!</f>
        <v>#REF!</v>
      </c>
      <c r="D448" t="e">
        <f>#REF!</f>
        <v>#REF!</v>
      </c>
      <c r="E448" t="e">
        <f>#REF!</f>
        <v>#REF!</v>
      </c>
      <c r="F448" t="e">
        <f>#REF!</f>
        <v>#REF!</v>
      </c>
    </row>
    <row r="449" spans="1:6" x14ac:dyDescent="0.3">
      <c r="A449" t="e">
        <f>#REF!</f>
        <v>#REF!</v>
      </c>
      <c r="B449" t="e">
        <f>#REF!</f>
        <v>#REF!</v>
      </c>
      <c r="C449" t="e">
        <f>#REF!</f>
        <v>#REF!</v>
      </c>
      <c r="D449" t="e">
        <f>#REF!</f>
        <v>#REF!</v>
      </c>
      <c r="E449" t="e">
        <f>#REF!</f>
        <v>#REF!</v>
      </c>
      <c r="F449" t="e">
        <f>#REF!</f>
        <v>#REF!</v>
      </c>
    </row>
    <row r="450" spans="1:6" x14ac:dyDescent="0.3">
      <c r="A450" t="e">
        <f>#REF!</f>
        <v>#REF!</v>
      </c>
      <c r="B450" t="e">
        <f>#REF!</f>
        <v>#REF!</v>
      </c>
      <c r="C450" t="e">
        <f>#REF!</f>
        <v>#REF!</v>
      </c>
      <c r="D450" t="e">
        <f>#REF!</f>
        <v>#REF!</v>
      </c>
      <c r="E450" t="e">
        <f>#REF!</f>
        <v>#REF!</v>
      </c>
      <c r="F450" t="e">
        <f>#REF!</f>
        <v>#REF!</v>
      </c>
    </row>
    <row r="451" spans="1:6" x14ac:dyDescent="0.3">
      <c r="A451" t="e">
        <f>#REF!</f>
        <v>#REF!</v>
      </c>
      <c r="B451" t="e">
        <f>#REF!</f>
        <v>#REF!</v>
      </c>
      <c r="C451" t="e">
        <f>#REF!</f>
        <v>#REF!</v>
      </c>
      <c r="D451" t="e">
        <f>#REF!</f>
        <v>#REF!</v>
      </c>
      <c r="E451" t="e">
        <f>#REF!</f>
        <v>#REF!</v>
      </c>
      <c r="F451" t="e">
        <f>#REF!</f>
        <v>#REF!</v>
      </c>
    </row>
    <row r="452" spans="1:6" x14ac:dyDescent="0.3">
      <c r="A452" t="e">
        <f>#REF!</f>
        <v>#REF!</v>
      </c>
      <c r="B452" t="e">
        <f>#REF!</f>
        <v>#REF!</v>
      </c>
      <c r="C452" t="e">
        <f>#REF!</f>
        <v>#REF!</v>
      </c>
      <c r="D452" t="e">
        <f>#REF!</f>
        <v>#REF!</v>
      </c>
      <c r="E452" t="e">
        <f>#REF!</f>
        <v>#REF!</v>
      </c>
      <c r="F452" t="e">
        <f>#REF!</f>
        <v>#REF!</v>
      </c>
    </row>
    <row r="453" spans="1:6" x14ac:dyDescent="0.3">
      <c r="A453" t="e">
        <f>#REF!</f>
        <v>#REF!</v>
      </c>
      <c r="B453" t="e">
        <f>#REF!</f>
        <v>#REF!</v>
      </c>
      <c r="C453" t="e">
        <f>#REF!</f>
        <v>#REF!</v>
      </c>
      <c r="D453" t="e">
        <f>#REF!</f>
        <v>#REF!</v>
      </c>
      <c r="E453" t="e">
        <f>#REF!</f>
        <v>#REF!</v>
      </c>
      <c r="F453" t="e">
        <f>#REF!</f>
        <v>#REF!</v>
      </c>
    </row>
    <row r="454" spans="1:6" x14ac:dyDescent="0.3">
      <c r="A454" t="e">
        <f>#REF!</f>
        <v>#REF!</v>
      </c>
      <c r="B454" t="e">
        <f>#REF!</f>
        <v>#REF!</v>
      </c>
      <c r="C454" t="e">
        <f>#REF!</f>
        <v>#REF!</v>
      </c>
      <c r="D454" t="e">
        <f>#REF!</f>
        <v>#REF!</v>
      </c>
      <c r="E454" t="e">
        <f>#REF!</f>
        <v>#REF!</v>
      </c>
      <c r="F454" t="e">
        <f>#REF!</f>
        <v>#REF!</v>
      </c>
    </row>
    <row r="455" spans="1:6" x14ac:dyDescent="0.3">
      <c r="A455" t="e">
        <f>#REF!</f>
        <v>#REF!</v>
      </c>
      <c r="B455" t="e">
        <f>#REF!</f>
        <v>#REF!</v>
      </c>
      <c r="C455" t="e">
        <f>#REF!</f>
        <v>#REF!</v>
      </c>
      <c r="D455" t="e">
        <f>#REF!</f>
        <v>#REF!</v>
      </c>
      <c r="E455" t="e">
        <f>#REF!</f>
        <v>#REF!</v>
      </c>
      <c r="F455" t="e">
        <f>#REF!</f>
        <v>#REF!</v>
      </c>
    </row>
    <row r="456" spans="1:6" x14ac:dyDescent="0.3">
      <c r="A456" t="e">
        <f>#REF!</f>
        <v>#REF!</v>
      </c>
      <c r="B456" t="e">
        <f>#REF!</f>
        <v>#REF!</v>
      </c>
      <c r="C456" t="e">
        <f>#REF!</f>
        <v>#REF!</v>
      </c>
      <c r="D456" t="e">
        <f>#REF!</f>
        <v>#REF!</v>
      </c>
      <c r="E456" t="e">
        <f>#REF!</f>
        <v>#REF!</v>
      </c>
      <c r="F456" t="e">
        <f>#REF!</f>
        <v>#REF!</v>
      </c>
    </row>
    <row r="457" spans="1:6" x14ac:dyDescent="0.3">
      <c r="A457" t="e">
        <f>#REF!</f>
        <v>#REF!</v>
      </c>
      <c r="B457" t="e">
        <f>#REF!</f>
        <v>#REF!</v>
      </c>
      <c r="C457" t="e">
        <f>#REF!</f>
        <v>#REF!</v>
      </c>
      <c r="D457" t="e">
        <f>#REF!</f>
        <v>#REF!</v>
      </c>
      <c r="E457" t="e">
        <f>#REF!</f>
        <v>#REF!</v>
      </c>
      <c r="F457" t="e">
        <f>#REF!</f>
        <v>#REF!</v>
      </c>
    </row>
    <row r="458" spans="1:6" x14ac:dyDescent="0.3">
      <c r="A458" t="e">
        <f>#REF!</f>
        <v>#REF!</v>
      </c>
      <c r="B458" t="e">
        <f>#REF!</f>
        <v>#REF!</v>
      </c>
      <c r="C458" t="e">
        <f>#REF!</f>
        <v>#REF!</v>
      </c>
      <c r="D458" t="e">
        <f>#REF!</f>
        <v>#REF!</v>
      </c>
      <c r="E458" t="e">
        <f>#REF!</f>
        <v>#REF!</v>
      </c>
      <c r="F458" t="e">
        <f>#REF!</f>
        <v>#REF!</v>
      </c>
    </row>
    <row r="459" spans="1:6" x14ac:dyDescent="0.3">
      <c r="A459" t="e">
        <f>#REF!</f>
        <v>#REF!</v>
      </c>
      <c r="B459" t="e">
        <f>#REF!</f>
        <v>#REF!</v>
      </c>
      <c r="C459" t="e">
        <f>#REF!</f>
        <v>#REF!</v>
      </c>
      <c r="D459" t="e">
        <f>#REF!</f>
        <v>#REF!</v>
      </c>
      <c r="E459" t="e">
        <f>#REF!</f>
        <v>#REF!</v>
      </c>
      <c r="F459" t="e">
        <f>#REF!</f>
        <v>#REF!</v>
      </c>
    </row>
    <row r="460" spans="1:6" x14ac:dyDescent="0.3">
      <c r="A460" t="e">
        <f>#REF!</f>
        <v>#REF!</v>
      </c>
      <c r="B460" t="e">
        <f>#REF!</f>
        <v>#REF!</v>
      </c>
      <c r="C460" t="e">
        <f>#REF!</f>
        <v>#REF!</v>
      </c>
      <c r="D460" t="e">
        <f>#REF!</f>
        <v>#REF!</v>
      </c>
      <c r="E460" t="e">
        <f>#REF!</f>
        <v>#REF!</v>
      </c>
      <c r="F460" t="e">
        <f>#REF!</f>
        <v>#REF!</v>
      </c>
    </row>
    <row r="461" spans="1:6" x14ac:dyDescent="0.3">
      <c r="A461" t="e">
        <f>#REF!</f>
        <v>#REF!</v>
      </c>
      <c r="B461" t="e">
        <f>#REF!</f>
        <v>#REF!</v>
      </c>
      <c r="C461" t="e">
        <f>#REF!</f>
        <v>#REF!</v>
      </c>
      <c r="D461" t="e">
        <f>#REF!</f>
        <v>#REF!</v>
      </c>
      <c r="E461" t="e">
        <f>#REF!</f>
        <v>#REF!</v>
      </c>
      <c r="F461" t="e">
        <f>#REF!</f>
        <v>#REF!</v>
      </c>
    </row>
    <row r="462" spans="1:6" x14ac:dyDescent="0.3">
      <c r="A462" t="e">
        <f>#REF!</f>
        <v>#REF!</v>
      </c>
      <c r="B462" t="e">
        <f>#REF!</f>
        <v>#REF!</v>
      </c>
      <c r="C462" t="e">
        <f>#REF!</f>
        <v>#REF!</v>
      </c>
      <c r="D462" t="e">
        <f>#REF!</f>
        <v>#REF!</v>
      </c>
      <c r="E462" t="e">
        <f>#REF!</f>
        <v>#REF!</v>
      </c>
      <c r="F462" t="e">
        <f>#REF!</f>
        <v>#REF!</v>
      </c>
    </row>
    <row r="463" spans="1:6" x14ac:dyDescent="0.3">
      <c r="A463" t="e">
        <f>#REF!</f>
        <v>#REF!</v>
      </c>
      <c r="B463" t="e">
        <f>#REF!</f>
        <v>#REF!</v>
      </c>
      <c r="C463" t="e">
        <f>#REF!</f>
        <v>#REF!</v>
      </c>
      <c r="D463" t="e">
        <f>#REF!</f>
        <v>#REF!</v>
      </c>
      <c r="E463" t="e">
        <f>#REF!</f>
        <v>#REF!</v>
      </c>
      <c r="F463" t="e">
        <f>#REF!</f>
        <v>#REF!</v>
      </c>
    </row>
    <row r="464" spans="1:6" x14ac:dyDescent="0.3">
      <c r="A464" t="e">
        <f>#REF!</f>
        <v>#REF!</v>
      </c>
      <c r="B464" t="e">
        <f>#REF!</f>
        <v>#REF!</v>
      </c>
      <c r="C464" t="e">
        <f>#REF!</f>
        <v>#REF!</v>
      </c>
      <c r="D464" t="e">
        <f>#REF!</f>
        <v>#REF!</v>
      </c>
      <c r="E464" t="e">
        <f>#REF!</f>
        <v>#REF!</v>
      </c>
      <c r="F464" t="e">
        <f>#REF!</f>
        <v>#REF!</v>
      </c>
    </row>
    <row r="465" spans="1:6" x14ac:dyDescent="0.3">
      <c r="A465" t="e">
        <f>#REF!</f>
        <v>#REF!</v>
      </c>
      <c r="B465" t="e">
        <f>#REF!</f>
        <v>#REF!</v>
      </c>
      <c r="C465" t="e">
        <f>#REF!</f>
        <v>#REF!</v>
      </c>
      <c r="D465" t="e">
        <f>#REF!</f>
        <v>#REF!</v>
      </c>
      <c r="E465" t="e">
        <f>#REF!</f>
        <v>#REF!</v>
      </c>
      <c r="F465" t="e">
        <f>#REF!</f>
        <v>#REF!</v>
      </c>
    </row>
    <row r="466" spans="1:6" x14ac:dyDescent="0.3">
      <c r="A466" t="e">
        <f>#REF!</f>
        <v>#REF!</v>
      </c>
      <c r="B466" t="e">
        <f>#REF!</f>
        <v>#REF!</v>
      </c>
      <c r="C466" t="e">
        <f>#REF!</f>
        <v>#REF!</v>
      </c>
      <c r="D466" t="e">
        <f>#REF!</f>
        <v>#REF!</v>
      </c>
      <c r="E466" t="e">
        <f>#REF!</f>
        <v>#REF!</v>
      </c>
      <c r="F466" t="e">
        <f>#REF!</f>
        <v>#REF!</v>
      </c>
    </row>
    <row r="467" spans="1:6" x14ac:dyDescent="0.3">
      <c r="A467" t="e">
        <f>#REF!</f>
        <v>#REF!</v>
      </c>
      <c r="B467" t="e">
        <f>#REF!</f>
        <v>#REF!</v>
      </c>
      <c r="C467" t="e">
        <f>#REF!</f>
        <v>#REF!</v>
      </c>
      <c r="D467" t="e">
        <f>#REF!</f>
        <v>#REF!</v>
      </c>
      <c r="E467" t="e">
        <f>#REF!</f>
        <v>#REF!</v>
      </c>
      <c r="F467" t="e">
        <f>#REF!</f>
        <v>#REF!</v>
      </c>
    </row>
    <row r="468" spans="1:6" x14ac:dyDescent="0.3">
      <c r="A468" t="e">
        <f>#REF!</f>
        <v>#REF!</v>
      </c>
      <c r="B468" t="e">
        <f>#REF!</f>
        <v>#REF!</v>
      </c>
      <c r="C468" t="e">
        <f>#REF!</f>
        <v>#REF!</v>
      </c>
      <c r="D468" t="e">
        <f>#REF!</f>
        <v>#REF!</v>
      </c>
      <c r="E468" t="e">
        <f>#REF!</f>
        <v>#REF!</v>
      </c>
      <c r="F468" t="e">
        <f>#REF!</f>
        <v>#REF!</v>
      </c>
    </row>
    <row r="469" spans="1:6" x14ac:dyDescent="0.3">
      <c r="A469" t="e">
        <f>#REF!</f>
        <v>#REF!</v>
      </c>
      <c r="B469" t="e">
        <f>#REF!</f>
        <v>#REF!</v>
      </c>
      <c r="C469" t="e">
        <f>#REF!</f>
        <v>#REF!</v>
      </c>
      <c r="D469" t="e">
        <f>#REF!</f>
        <v>#REF!</v>
      </c>
      <c r="E469" t="e">
        <f>#REF!</f>
        <v>#REF!</v>
      </c>
      <c r="F469" t="e">
        <f>#REF!</f>
        <v>#REF!</v>
      </c>
    </row>
    <row r="470" spans="1:6" x14ac:dyDescent="0.3">
      <c r="A470" t="e">
        <f>#REF!</f>
        <v>#REF!</v>
      </c>
      <c r="B470" t="e">
        <f>#REF!</f>
        <v>#REF!</v>
      </c>
      <c r="C470" t="e">
        <f>#REF!</f>
        <v>#REF!</v>
      </c>
      <c r="D470" t="e">
        <f>#REF!</f>
        <v>#REF!</v>
      </c>
      <c r="E470" t="e">
        <f>#REF!</f>
        <v>#REF!</v>
      </c>
      <c r="F470" t="e">
        <f>#REF!</f>
        <v>#REF!</v>
      </c>
    </row>
    <row r="471" spans="1:6" x14ac:dyDescent="0.3">
      <c r="A471" t="e">
        <f>#REF!</f>
        <v>#REF!</v>
      </c>
      <c r="B471" t="e">
        <f>#REF!</f>
        <v>#REF!</v>
      </c>
      <c r="C471" t="e">
        <f>#REF!</f>
        <v>#REF!</v>
      </c>
      <c r="D471" t="e">
        <f>#REF!</f>
        <v>#REF!</v>
      </c>
      <c r="E471" t="e">
        <f>#REF!</f>
        <v>#REF!</v>
      </c>
      <c r="F471" t="e">
        <f>#REF!</f>
        <v>#REF!</v>
      </c>
    </row>
    <row r="472" spans="1:6" x14ac:dyDescent="0.3">
      <c r="A472" t="e">
        <f>#REF!</f>
        <v>#REF!</v>
      </c>
      <c r="B472" t="e">
        <f>#REF!</f>
        <v>#REF!</v>
      </c>
      <c r="C472" t="e">
        <f>#REF!</f>
        <v>#REF!</v>
      </c>
      <c r="D472" t="e">
        <f>#REF!</f>
        <v>#REF!</v>
      </c>
      <c r="E472" t="e">
        <f>#REF!</f>
        <v>#REF!</v>
      </c>
      <c r="F472" t="e">
        <f>#REF!</f>
        <v>#REF!</v>
      </c>
    </row>
    <row r="473" spans="1:6" x14ac:dyDescent="0.3">
      <c r="A473" t="e">
        <f>#REF!</f>
        <v>#REF!</v>
      </c>
      <c r="B473" t="e">
        <f>#REF!</f>
        <v>#REF!</v>
      </c>
      <c r="C473" t="e">
        <f>#REF!</f>
        <v>#REF!</v>
      </c>
      <c r="D473" t="e">
        <f>#REF!</f>
        <v>#REF!</v>
      </c>
      <c r="E473" t="e">
        <f>#REF!</f>
        <v>#REF!</v>
      </c>
      <c r="F473" t="e">
        <f>#REF!</f>
        <v>#REF!</v>
      </c>
    </row>
    <row r="474" spans="1:6" x14ac:dyDescent="0.3">
      <c r="A474" t="e">
        <f>#REF!</f>
        <v>#REF!</v>
      </c>
      <c r="B474" t="e">
        <f>#REF!</f>
        <v>#REF!</v>
      </c>
      <c r="C474" t="e">
        <f>#REF!</f>
        <v>#REF!</v>
      </c>
      <c r="D474" t="e">
        <f>#REF!</f>
        <v>#REF!</v>
      </c>
      <c r="E474" t="e">
        <f>#REF!</f>
        <v>#REF!</v>
      </c>
      <c r="F474" t="e">
        <f>#REF!</f>
        <v>#REF!</v>
      </c>
    </row>
    <row r="475" spans="1:6" x14ac:dyDescent="0.3">
      <c r="A475" t="e">
        <f>#REF!</f>
        <v>#REF!</v>
      </c>
      <c r="B475" t="e">
        <f>#REF!</f>
        <v>#REF!</v>
      </c>
      <c r="C475" t="e">
        <f>#REF!</f>
        <v>#REF!</v>
      </c>
      <c r="D475" t="e">
        <f>#REF!</f>
        <v>#REF!</v>
      </c>
      <c r="E475" t="e">
        <f>#REF!</f>
        <v>#REF!</v>
      </c>
      <c r="F475" t="e">
        <f>#REF!</f>
        <v>#REF!</v>
      </c>
    </row>
    <row r="476" spans="1:6" x14ac:dyDescent="0.3">
      <c r="A476" t="e">
        <f>#REF!</f>
        <v>#REF!</v>
      </c>
      <c r="B476" t="e">
        <f>#REF!</f>
        <v>#REF!</v>
      </c>
      <c r="C476" t="e">
        <f>#REF!</f>
        <v>#REF!</v>
      </c>
      <c r="D476" t="e">
        <f>#REF!</f>
        <v>#REF!</v>
      </c>
      <c r="E476" t="e">
        <f>#REF!</f>
        <v>#REF!</v>
      </c>
      <c r="F476" t="e">
        <f>#REF!</f>
        <v>#REF!</v>
      </c>
    </row>
    <row r="477" spans="1:6" x14ac:dyDescent="0.3">
      <c r="A477" t="e">
        <f>#REF!</f>
        <v>#REF!</v>
      </c>
      <c r="B477" t="e">
        <f>#REF!</f>
        <v>#REF!</v>
      </c>
      <c r="C477" t="e">
        <f>#REF!</f>
        <v>#REF!</v>
      </c>
      <c r="D477" t="e">
        <f>#REF!</f>
        <v>#REF!</v>
      </c>
      <c r="E477" t="e">
        <f>#REF!</f>
        <v>#REF!</v>
      </c>
      <c r="F477" t="e">
        <f>#REF!</f>
        <v>#REF!</v>
      </c>
    </row>
    <row r="478" spans="1:6" x14ac:dyDescent="0.3">
      <c r="A478" t="e">
        <f>#REF!</f>
        <v>#REF!</v>
      </c>
      <c r="B478" t="e">
        <f>#REF!</f>
        <v>#REF!</v>
      </c>
      <c r="C478" t="e">
        <f>#REF!</f>
        <v>#REF!</v>
      </c>
      <c r="D478" t="e">
        <f>#REF!</f>
        <v>#REF!</v>
      </c>
      <c r="E478" t="e">
        <f>#REF!</f>
        <v>#REF!</v>
      </c>
      <c r="F478" t="e">
        <f>#REF!</f>
        <v>#REF!</v>
      </c>
    </row>
    <row r="479" spans="1:6" x14ac:dyDescent="0.3">
      <c r="A479" t="e">
        <f>#REF!</f>
        <v>#REF!</v>
      </c>
      <c r="B479" t="e">
        <f>#REF!</f>
        <v>#REF!</v>
      </c>
      <c r="C479" t="e">
        <f>#REF!</f>
        <v>#REF!</v>
      </c>
      <c r="D479" t="e">
        <f>#REF!</f>
        <v>#REF!</v>
      </c>
      <c r="E479" t="e">
        <f>#REF!</f>
        <v>#REF!</v>
      </c>
      <c r="F479" t="e">
        <f>#REF!</f>
        <v>#REF!</v>
      </c>
    </row>
    <row r="480" spans="1:6" x14ac:dyDescent="0.3">
      <c r="A480" t="e">
        <f>#REF!</f>
        <v>#REF!</v>
      </c>
      <c r="B480" t="e">
        <f>#REF!</f>
        <v>#REF!</v>
      </c>
      <c r="C480" t="e">
        <f>#REF!</f>
        <v>#REF!</v>
      </c>
      <c r="D480" t="e">
        <f>#REF!</f>
        <v>#REF!</v>
      </c>
      <c r="E480" t="e">
        <f>#REF!</f>
        <v>#REF!</v>
      </c>
      <c r="F480" t="e">
        <f>#REF!</f>
        <v>#REF!</v>
      </c>
    </row>
    <row r="481" spans="1:6" x14ac:dyDescent="0.3">
      <c r="A481" t="e">
        <f>#REF!</f>
        <v>#REF!</v>
      </c>
      <c r="B481" t="e">
        <f>#REF!</f>
        <v>#REF!</v>
      </c>
      <c r="C481" t="e">
        <f>#REF!</f>
        <v>#REF!</v>
      </c>
      <c r="D481" t="e">
        <f>#REF!</f>
        <v>#REF!</v>
      </c>
      <c r="E481" t="e">
        <f>#REF!</f>
        <v>#REF!</v>
      </c>
      <c r="F481" t="e">
        <f>#REF!</f>
        <v>#REF!</v>
      </c>
    </row>
    <row r="482" spans="1:6" x14ac:dyDescent="0.3">
      <c r="A482" t="e">
        <f>#REF!</f>
        <v>#REF!</v>
      </c>
      <c r="B482" t="e">
        <f>#REF!</f>
        <v>#REF!</v>
      </c>
      <c r="C482" t="e">
        <f>#REF!</f>
        <v>#REF!</v>
      </c>
      <c r="D482" t="e">
        <f>#REF!</f>
        <v>#REF!</v>
      </c>
      <c r="E482" t="e">
        <f>#REF!</f>
        <v>#REF!</v>
      </c>
      <c r="F482" t="e">
        <f>#REF!</f>
        <v>#REF!</v>
      </c>
    </row>
    <row r="483" spans="1:6" x14ac:dyDescent="0.3">
      <c r="A483" t="e">
        <f>#REF!</f>
        <v>#REF!</v>
      </c>
      <c r="B483" t="e">
        <f>#REF!</f>
        <v>#REF!</v>
      </c>
      <c r="C483" t="e">
        <f>#REF!</f>
        <v>#REF!</v>
      </c>
      <c r="D483" t="e">
        <f>#REF!</f>
        <v>#REF!</v>
      </c>
      <c r="E483" t="e">
        <f>#REF!</f>
        <v>#REF!</v>
      </c>
      <c r="F483" t="e">
        <f>#REF!</f>
        <v>#REF!</v>
      </c>
    </row>
    <row r="484" spans="1:6" x14ac:dyDescent="0.3">
      <c r="A484" t="e">
        <f>#REF!</f>
        <v>#REF!</v>
      </c>
      <c r="B484" t="e">
        <f>#REF!</f>
        <v>#REF!</v>
      </c>
      <c r="C484" t="e">
        <f>#REF!</f>
        <v>#REF!</v>
      </c>
      <c r="D484" t="e">
        <f>#REF!</f>
        <v>#REF!</v>
      </c>
      <c r="E484" t="e">
        <f>#REF!</f>
        <v>#REF!</v>
      </c>
      <c r="F484" t="e">
        <f>#REF!</f>
        <v>#REF!</v>
      </c>
    </row>
    <row r="485" spans="1:6" x14ac:dyDescent="0.3">
      <c r="A485" t="e">
        <f>#REF!</f>
        <v>#REF!</v>
      </c>
      <c r="B485" t="e">
        <f>#REF!</f>
        <v>#REF!</v>
      </c>
      <c r="C485" t="e">
        <f>#REF!</f>
        <v>#REF!</v>
      </c>
      <c r="D485" t="e">
        <f>#REF!</f>
        <v>#REF!</v>
      </c>
      <c r="E485" t="e">
        <f>#REF!</f>
        <v>#REF!</v>
      </c>
      <c r="F485" t="e">
        <f>#REF!</f>
        <v>#REF!</v>
      </c>
    </row>
    <row r="486" spans="1:6" x14ac:dyDescent="0.3">
      <c r="A486" t="e">
        <f>#REF!</f>
        <v>#REF!</v>
      </c>
      <c r="B486" t="e">
        <f>#REF!</f>
        <v>#REF!</v>
      </c>
      <c r="C486" t="e">
        <f>#REF!</f>
        <v>#REF!</v>
      </c>
      <c r="D486" t="e">
        <f>#REF!</f>
        <v>#REF!</v>
      </c>
      <c r="E486" t="e">
        <f>#REF!</f>
        <v>#REF!</v>
      </c>
      <c r="F486" t="e">
        <f>#REF!</f>
        <v>#REF!</v>
      </c>
    </row>
    <row r="487" spans="1:6" x14ac:dyDescent="0.3">
      <c r="A487" t="e">
        <f>#REF!</f>
        <v>#REF!</v>
      </c>
      <c r="B487" t="e">
        <f>#REF!</f>
        <v>#REF!</v>
      </c>
      <c r="C487" t="e">
        <f>#REF!</f>
        <v>#REF!</v>
      </c>
      <c r="D487" t="e">
        <f>#REF!</f>
        <v>#REF!</v>
      </c>
      <c r="E487" t="e">
        <f>#REF!</f>
        <v>#REF!</v>
      </c>
      <c r="F487" t="e">
        <f>#REF!</f>
        <v>#REF!</v>
      </c>
    </row>
    <row r="488" spans="1:6" x14ac:dyDescent="0.3">
      <c r="A488" t="e">
        <f>#REF!</f>
        <v>#REF!</v>
      </c>
      <c r="B488" t="e">
        <f>#REF!</f>
        <v>#REF!</v>
      </c>
      <c r="C488" t="e">
        <f>#REF!</f>
        <v>#REF!</v>
      </c>
      <c r="D488" t="e">
        <f>#REF!</f>
        <v>#REF!</v>
      </c>
      <c r="E488" t="e">
        <f>#REF!</f>
        <v>#REF!</v>
      </c>
      <c r="F488" t="e">
        <f>#REF!</f>
        <v>#REF!</v>
      </c>
    </row>
    <row r="489" spans="1:6" x14ac:dyDescent="0.3">
      <c r="A489" t="e">
        <f>#REF!</f>
        <v>#REF!</v>
      </c>
      <c r="B489" t="e">
        <f>#REF!</f>
        <v>#REF!</v>
      </c>
      <c r="C489" t="e">
        <f>#REF!</f>
        <v>#REF!</v>
      </c>
      <c r="D489" t="e">
        <f>#REF!</f>
        <v>#REF!</v>
      </c>
      <c r="E489" t="e">
        <f>#REF!</f>
        <v>#REF!</v>
      </c>
      <c r="F489" t="e">
        <f>#REF!</f>
        <v>#REF!</v>
      </c>
    </row>
    <row r="490" spans="1:6" x14ac:dyDescent="0.3">
      <c r="A490" t="e">
        <f>#REF!</f>
        <v>#REF!</v>
      </c>
      <c r="B490" t="e">
        <f>#REF!</f>
        <v>#REF!</v>
      </c>
      <c r="C490" t="e">
        <f>#REF!</f>
        <v>#REF!</v>
      </c>
      <c r="D490" t="e">
        <f>#REF!</f>
        <v>#REF!</v>
      </c>
      <c r="E490" t="e">
        <f>#REF!</f>
        <v>#REF!</v>
      </c>
      <c r="F490" t="e">
        <f>#REF!</f>
        <v>#REF!</v>
      </c>
    </row>
    <row r="491" spans="1:6" x14ac:dyDescent="0.3">
      <c r="A491" t="e">
        <f>#REF!</f>
        <v>#REF!</v>
      </c>
      <c r="B491" t="e">
        <f>#REF!</f>
        <v>#REF!</v>
      </c>
      <c r="C491" t="e">
        <f>#REF!</f>
        <v>#REF!</v>
      </c>
      <c r="D491" t="e">
        <f>#REF!</f>
        <v>#REF!</v>
      </c>
      <c r="E491" t="e">
        <f>#REF!</f>
        <v>#REF!</v>
      </c>
      <c r="F491" t="e">
        <f>#REF!</f>
        <v>#REF!</v>
      </c>
    </row>
    <row r="492" spans="1:6" x14ac:dyDescent="0.3">
      <c r="A492" t="e">
        <f>#REF!</f>
        <v>#REF!</v>
      </c>
      <c r="B492" t="e">
        <f>#REF!</f>
        <v>#REF!</v>
      </c>
      <c r="C492" t="e">
        <f>#REF!</f>
        <v>#REF!</v>
      </c>
      <c r="D492" t="e">
        <f>#REF!</f>
        <v>#REF!</v>
      </c>
      <c r="E492" t="e">
        <f>#REF!</f>
        <v>#REF!</v>
      </c>
      <c r="F492" t="e">
        <f>#REF!</f>
        <v>#REF!</v>
      </c>
    </row>
    <row r="493" spans="1:6" x14ac:dyDescent="0.3">
      <c r="A493" t="e">
        <f>#REF!</f>
        <v>#REF!</v>
      </c>
      <c r="B493" t="e">
        <f>#REF!</f>
        <v>#REF!</v>
      </c>
      <c r="C493" t="e">
        <f>#REF!</f>
        <v>#REF!</v>
      </c>
      <c r="D493" t="e">
        <f>#REF!</f>
        <v>#REF!</v>
      </c>
      <c r="E493" t="e">
        <f>#REF!</f>
        <v>#REF!</v>
      </c>
      <c r="F493" t="e">
        <f>#REF!</f>
        <v>#REF!</v>
      </c>
    </row>
    <row r="494" spans="1:6" x14ac:dyDescent="0.3">
      <c r="A494" t="e">
        <f>#REF!</f>
        <v>#REF!</v>
      </c>
      <c r="B494" t="e">
        <f>#REF!</f>
        <v>#REF!</v>
      </c>
      <c r="C494" t="e">
        <f>#REF!</f>
        <v>#REF!</v>
      </c>
      <c r="D494" t="e">
        <f>#REF!</f>
        <v>#REF!</v>
      </c>
      <c r="E494" t="e">
        <f>#REF!</f>
        <v>#REF!</v>
      </c>
      <c r="F494" t="e">
        <f>#REF!</f>
        <v>#REF!</v>
      </c>
    </row>
    <row r="495" spans="1:6" x14ac:dyDescent="0.3">
      <c r="A495" t="e">
        <f>#REF!</f>
        <v>#REF!</v>
      </c>
      <c r="B495" t="e">
        <f>#REF!</f>
        <v>#REF!</v>
      </c>
      <c r="C495" t="e">
        <f>#REF!</f>
        <v>#REF!</v>
      </c>
      <c r="D495" t="e">
        <f>#REF!</f>
        <v>#REF!</v>
      </c>
      <c r="E495" t="e">
        <f>#REF!</f>
        <v>#REF!</v>
      </c>
      <c r="F495" t="e">
        <f>#REF!</f>
        <v>#REF!</v>
      </c>
    </row>
    <row r="496" spans="1:6" x14ac:dyDescent="0.3">
      <c r="A496" t="e">
        <f>#REF!</f>
        <v>#REF!</v>
      </c>
      <c r="B496" t="e">
        <f>#REF!</f>
        <v>#REF!</v>
      </c>
      <c r="C496" t="e">
        <f>#REF!</f>
        <v>#REF!</v>
      </c>
      <c r="D496" t="e">
        <f>#REF!</f>
        <v>#REF!</v>
      </c>
      <c r="E496" t="e">
        <f>#REF!</f>
        <v>#REF!</v>
      </c>
      <c r="F496" t="e">
        <f>#REF!</f>
        <v>#REF!</v>
      </c>
    </row>
    <row r="497" spans="1:6" x14ac:dyDescent="0.3">
      <c r="A497" t="e">
        <f>#REF!</f>
        <v>#REF!</v>
      </c>
      <c r="B497" t="e">
        <f>#REF!</f>
        <v>#REF!</v>
      </c>
      <c r="C497" t="e">
        <f>#REF!</f>
        <v>#REF!</v>
      </c>
      <c r="D497" t="e">
        <f>#REF!</f>
        <v>#REF!</v>
      </c>
      <c r="E497" t="e">
        <f>#REF!</f>
        <v>#REF!</v>
      </c>
      <c r="F497" t="e">
        <f>#REF!</f>
        <v>#REF!</v>
      </c>
    </row>
    <row r="498" spans="1:6" x14ac:dyDescent="0.3">
      <c r="A498" t="e">
        <f>#REF!</f>
        <v>#REF!</v>
      </c>
      <c r="B498" t="e">
        <f>#REF!</f>
        <v>#REF!</v>
      </c>
      <c r="C498" t="e">
        <f>#REF!</f>
        <v>#REF!</v>
      </c>
      <c r="D498" t="e">
        <f>#REF!</f>
        <v>#REF!</v>
      </c>
      <c r="E498" t="e">
        <f>#REF!</f>
        <v>#REF!</v>
      </c>
      <c r="F498" t="e">
        <f>#REF!</f>
        <v>#REF!</v>
      </c>
    </row>
    <row r="499" spans="1:6" x14ac:dyDescent="0.3">
      <c r="A499" t="e">
        <f>#REF!</f>
        <v>#REF!</v>
      </c>
      <c r="B499" t="e">
        <f>#REF!</f>
        <v>#REF!</v>
      </c>
      <c r="C499" t="e">
        <f>#REF!</f>
        <v>#REF!</v>
      </c>
      <c r="D499" t="e">
        <f>#REF!</f>
        <v>#REF!</v>
      </c>
      <c r="E499" t="e">
        <f>#REF!</f>
        <v>#REF!</v>
      </c>
      <c r="F499" t="e">
        <f>#REF!</f>
        <v>#REF!</v>
      </c>
    </row>
    <row r="500" spans="1:6" x14ac:dyDescent="0.3">
      <c r="A500" t="e">
        <f>#REF!</f>
        <v>#REF!</v>
      </c>
      <c r="B500" t="e">
        <f>#REF!</f>
        <v>#REF!</v>
      </c>
      <c r="C500" t="e">
        <f>#REF!</f>
        <v>#REF!</v>
      </c>
      <c r="D500" t="e">
        <f>#REF!</f>
        <v>#REF!</v>
      </c>
      <c r="E500" t="e">
        <f>#REF!</f>
        <v>#REF!</v>
      </c>
      <c r="F500" t="e">
        <f>#REF!</f>
        <v>#REF!</v>
      </c>
    </row>
    <row r="501" spans="1:6" x14ac:dyDescent="0.3">
      <c r="A501" t="e">
        <f>#REF!</f>
        <v>#REF!</v>
      </c>
      <c r="B501" t="e">
        <f>#REF!</f>
        <v>#REF!</v>
      </c>
      <c r="C501" t="e">
        <f>#REF!</f>
        <v>#REF!</v>
      </c>
      <c r="D501" t="e">
        <f>#REF!</f>
        <v>#REF!</v>
      </c>
      <c r="E501" t="e">
        <f>#REF!</f>
        <v>#REF!</v>
      </c>
      <c r="F501" t="e">
        <f>#REF!</f>
        <v>#REF!</v>
      </c>
    </row>
    <row r="502" spans="1:6" x14ac:dyDescent="0.3">
      <c r="A502" t="e">
        <f>#REF!</f>
        <v>#REF!</v>
      </c>
      <c r="B502" t="e">
        <f>#REF!</f>
        <v>#REF!</v>
      </c>
      <c r="C502" t="e">
        <f>#REF!</f>
        <v>#REF!</v>
      </c>
      <c r="D502" t="e">
        <f>#REF!</f>
        <v>#REF!</v>
      </c>
      <c r="E502" t="e">
        <f>#REF!</f>
        <v>#REF!</v>
      </c>
      <c r="F502" t="e">
        <f>#REF!</f>
        <v>#REF!</v>
      </c>
    </row>
    <row r="503" spans="1:6" x14ac:dyDescent="0.3">
      <c r="A503" t="e">
        <f>#REF!</f>
        <v>#REF!</v>
      </c>
      <c r="B503" t="e">
        <f>#REF!</f>
        <v>#REF!</v>
      </c>
      <c r="C503" t="e">
        <f>#REF!</f>
        <v>#REF!</v>
      </c>
      <c r="D503" t="e">
        <f>#REF!</f>
        <v>#REF!</v>
      </c>
      <c r="E503" t="e">
        <f>#REF!</f>
        <v>#REF!</v>
      </c>
      <c r="F503" t="e">
        <f>#REF!</f>
        <v>#REF!</v>
      </c>
    </row>
    <row r="504" spans="1:6" x14ac:dyDescent="0.3">
      <c r="A504" t="e">
        <f>#REF!</f>
        <v>#REF!</v>
      </c>
      <c r="B504" t="e">
        <f>#REF!</f>
        <v>#REF!</v>
      </c>
      <c r="C504" t="e">
        <f>#REF!</f>
        <v>#REF!</v>
      </c>
      <c r="D504" t="e">
        <f>#REF!</f>
        <v>#REF!</v>
      </c>
      <c r="E504" t="e">
        <f>#REF!</f>
        <v>#REF!</v>
      </c>
      <c r="F504" t="e">
        <f>#REF!</f>
        <v>#REF!</v>
      </c>
    </row>
    <row r="505" spans="1:6" x14ac:dyDescent="0.3">
      <c r="A505" t="e">
        <f>#REF!</f>
        <v>#REF!</v>
      </c>
      <c r="B505" t="e">
        <f>#REF!</f>
        <v>#REF!</v>
      </c>
      <c r="C505" t="e">
        <f>#REF!</f>
        <v>#REF!</v>
      </c>
      <c r="D505" t="e">
        <f>#REF!</f>
        <v>#REF!</v>
      </c>
      <c r="E505" t="e">
        <f>#REF!</f>
        <v>#REF!</v>
      </c>
      <c r="F505" t="e">
        <f>#REF!</f>
        <v>#REF!</v>
      </c>
    </row>
    <row r="506" spans="1:6" x14ac:dyDescent="0.3">
      <c r="A506" t="e">
        <f>#REF!</f>
        <v>#REF!</v>
      </c>
      <c r="B506" t="e">
        <f>#REF!</f>
        <v>#REF!</v>
      </c>
      <c r="C506" t="e">
        <f>#REF!</f>
        <v>#REF!</v>
      </c>
      <c r="D506" t="e">
        <f>#REF!</f>
        <v>#REF!</v>
      </c>
      <c r="E506" t="e">
        <f>#REF!</f>
        <v>#REF!</v>
      </c>
      <c r="F506" t="e">
        <f>#REF!</f>
        <v>#REF!</v>
      </c>
    </row>
    <row r="507" spans="1:6" x14ac:dyDescent="0.3">
      <c r="A507" t="e">
        <f>#REF!</f>
        <v>#REF!</v>
      </c>
      <c r="B507" t="e">
        <f>#REF!</f>
        <v>#REF!</v>
      </c>
      <c r="C507" t="e">
        <f>#REF!</f>
        <v>#REF!</v>
      </c>
      <c r="D507" t="e">
        <f>#REF!</f>
        <v>#REF!</v>
      </c>
      <c r="E507" t="e">
        <f>#REF!</f>
        <v>#REF!</v>
      </c>
      <c r="F507" t="e">
        <f>#REF!</f>
        <v>#REF!</v>
      </c>
    </row>
    <row r="508" spans="1:6" x14ac:dyDescent="0.3">
      <c r="A508" t="e">
        <f>#REF!</f>
        <v>#REF!</v>
      </c>
      <c r="B508" t="e">
        <f>#REF!</f>
        <v>#REF!</v>
      </c>
      <c r="C508" t="e">
        <f>#REF!</f>
        <v>#REF!</v>
      </c>
      <c r="D508" t="e">
        <f>#REF!</f>
        <v>#REF!</v>
      </c>
      <c r="E508" t="e">
        <f>#REF!</f>
        <v>#REF!</v>
      </c>
      <c r="F508" t="e">
        <f>#REF!</f>
        <v>#REF!</v>
      </c>
    </row>
    <row r="509" spans="1:6" x14ac:dyDescent="0.3">
      <c r="A509" t="e">
        <f>#REF!</f>
        <v>#REF!</v>
      </c>
      <c r="B509" t="e">
        <f>#REF!</f>
        <v>#REF!</v>
      </c>
      <c r="C509" t="e">
        <f>#REF!</f>
        <v>#REF!</v>
      </c>
      <c r="D509" t="e">
        <f>#REF!</f>
        <v>#REF!</v>
      </c>
      <c r="E509" t="e">
        <f>#REF!</f>
        <v>#REF!</v>
      </c>
      <c r="F509" t="e">
        <f>#REF!</f>
        <v>#REF!</v>
      </c>
    </row>
    <row r="510" spans="1:6" x14ac:dyDescent="0.3">
      <c r="A510" t="e">
        <f>#REF!</f>
        <v>#REF!</v>
      </c>
      <c r="B510" t="e">
        <f>#REF!</f>
        <v>#REF!</v>
      </c>
      <c r="C510" t="e">
        <f>#REF!</f>
        <v>#REF!</v>
      </c>
      <c r="D510" t="e">
        <f>#REF!</f>
        <v>#REF!</v>
      </c>
      <c r="E510" t="e">
        <f>#REF!</f>
        <v>#REF!</v>
      </c>
      <c r="F510" t="e">
        <f>#REF!</f>
        <v>#REF!</v>
      </c>
    </row>
    <row r="511" spans="1:6" x14ac:dyDescent="0.3">
      <c r="A511" t="e">
        <f>#REF!</f>
        <v>#REF!</v>
      </c>
      <c r="B511" t="e">
        <f>#REF!</f>
        <v>#REF!</v>
      </c>
      <c r="C511" t="e">
        <f>#REF!</f>
        <v>#REF!</v>
      </c>
      <c r="D511" t="e">
        <f>#REF!</f>
        <v>#REF!</v>
      </c>
      <c r="E511" t="e">
        <f>#REF!</f>
        <v>#REF!</v>
      </c>
      <c r="F511" t="e">
        <f>#REF!</f>
        <v>#REF!</v>
      </c>
    </row>
    <row r="512" spans="1:6" x14ac:dyDescent="0.3">
      <c r="A512" t="e">
        <f>#REF!</f>
        <v>#REF!</v>
      </c>
      <c r="B512" t="e">
        <f>#REF!</f>
        <v>#REF!</v>
      </c>
      <c r="C512" t="e">
        <f>#REF!</f>
        <v>#REF!</v>
      </c>
      <c r="D512" t="e">
        <f>#REF!</f>
        <v>#REF!</v>
      </c>
      <c r="E512" t="e">
        <f>#REF!</f>
        <v>#REF!</v>
      </c>
      <c r="F512" t="e">
        <f>#REF!</f>
        <v>#REF!</v>
      </c>
    </row>
    <row r="513" spans="1:6" x14ac:dyDescent="0.3">
      <c r="A513" t="e">
        <f>#REF!</f>
        <v>#REF!</v>
      </c>
      <c r="B513" t="e">
        <f>#REF!</f>
        <v>#REF!</v>
      </c>
      <c r="C513" t="e">
        <f>#REF!</f>
        <v>#REF!</v>
      </c>
      <c r="D513" t="e">
        <f>#REF!</f>
        <v>#REF!</v>
      </c>
      <c r="E513" t="e">
        <f>#REF!</f>
        <v>#REF!</v>
      </c>
      <c r="F513" t="e">
        <f>#REF!</f>
        <v>#REF!</v>
      </c>
    </row>
    <row r="514" spans="1:6" x14ac:dyDescent="0.3">
      <c r="A514" t="e">
        <f>#REF!</f>
        <v>#REF!</v>
      </c>
      <c r="B514" t="e">
        <f>#REF!</f>
        <v>#REF!</v>
      </c>
      <c r="C514" t="e">
        <f>#REF!</f>
        <v>#REF!</v>
      </c>
      <c r="D514" t="e">
        <f>#REF!</f>
        <v>#REF!</v>
      </c>
      <c r="E514" t="e">
        <f>#REF!</f>
        <v>#REF!</v>
      </c>
      <c r="F514" t="e">
        <f>#REF!</f>
        <v>#REF!</v>
      </c>
    </row>
    <row r="515" spans="1:6" x14ac:dyDescent="0.3">
      <c r="A515" t="e">
        <f>#REF!</f>
        <v>#REF!</v>
      </c>
      <c r="B515" t="e">
        <f>#REF!</f>
        <v>#REF!</v>
      </c>
      <c r="C515" t="e">
        <f>#REF!</f>
        <v>#REF!</v>
      </c>
      <c r="D515" t="e">
        <f>#REF!</f>
        <v>#REF!</v>
      </c>
      <c r="E515" t="e">
        <f>#REF!</f>
        <v>#REF!</v>
      </c>
      <c r="F515" t="e">
        <f>#REF!</f>
        <v>#REF!</v>
      </c>
    </row>
    <row r="516" spans="1:6" x14ac:dyDescent="0.3">
      <c r="A516" t="e">
        <f>#REF!</f>
        <v>#REF!</v>
      </c>
      <c r="B516" t="e">
        <f>#REF!</f>
        <v>#REF!</v>
      </c>
      <c r="C516" t="e">
        <f>#REF!</f>
        <v>#REF!</v>
      </c>
      <c r="D516" t="e">
        <f>#REF!</f>
        <v>#REF!</v>
      </c>
      <c r="E516" t="e">
        <f>#REF!</f>
        <v>#REF!</v>
      </c>
      <c r="F516" t="e">
        <f>#REF!</f>
        <v>#REF!</v>
      </c>
    </row>
    <row r="517" spans="1:6" x14ac:dyDescent="0.3">
      <c r="A517" t="e">
        <f>#REF!</f>
        <v>#REF!</v>
      </c>
      <c r="B517" t="e">
        <f>#REF!</f>
        <v>#REF!</v>
      </c>
      <c r="C517" t="e">
        <f>#REF!</f>
        <v>#REF!</v>
      </c>
      <c r="D517" t="e">
        <f>#REF!</f>
        <v>#REF!</v>
      </c>
      <c r="E517" t="e">
        <f>#REF!</f>
        <v>#REF!</v>
      </c>
      <c r="F517" t="e">
        <f>#REF!</f>
        <v>#REF!</v>
      </c>
    </row>
    <row r="518" spans="1:6" x14ac:dyDescent="0.3">
      <c r="A518" t="e">
        <f>#REF!</f>
        <v>#REF!</v>
      </c>
      <c r="B518" t="e">
        <f>#REF!</f>
        <v>#REF!</v>
      </c>
      <c r="C518" t="e">
        <f>#REF!</f>
        <v>#REF!</v>
      </c>
      <c r="D518" t="e">
        <f>#REF!</f>
        <v>#REF!</v>
      </c>
      <c r="E518" t="e">
        <f>#REF!</f>
        <v>#REF!</v>
      </c>
      <c r="F518" t="e">
        <f>#REF!</f>
        <v>#REF!</v>
      </c>
    </row>
    <row r="519" spans="1:6" x14ac:dyDescent="0.3">
      <c r="A519" t="e">
        <f>#REF!</f>
        <v>#REF!</v>
      </c>
      <c r="B519" t="e">
        <f>#REF!</f>
        <v>#REF!</v>
      </c>
      <c r="C519" t="e">
        <f>#REF!</f>
        <v>#REF!</v>
      </c>
      <c r="D519" t="e">
        <f>#REF!</f>
        <v>#REF!</v>
      </c>
      <c r="E519" t="e">
        <f>#REF!</f>
        <v>#REF!</v>
      </c>
      <c r="F519" t="e">
        <f>#REF!</f>
        <v>#REF!</v>
      </c>
    </row>
    <row r="520" spans="1:6" x14ac:dyDescent="0.3">
      <c r="A520" t="e">
        <f>#REF!</f>
        <v>#REF!</v>
      </c>
      <c r="B520" t="e">
        <f>#REF!</f>
        <v>#REF!</v>
      </c>
      <c r="C520" t="e">
        <f>#REF!</f>
        <v>#REF!</v>
      </c>
      <c r="D520" t="e">
        <f>#REF!</f>
        <v>#REF!</v>
      </c>
      <c r="E520" t="e">
        <f>#REF!</f>
        <v>#REF!</v>
      </c>
      <c r="F520" t="e">
        <f>#REF!</f>
        <v>#REF!</v>
      </c>
    </row>
    <row r="521" spans="1:6" x14ac:dyDescent="0.3">
      <c r="A521" t="e">
        <f>#REF!</f>
        <v>#REF!</v>
      </c>
      <c r="B521" t="e">
        <f>#REF!</f>
        <v>#REF!</v>
      </c>
      <c r="C521" t="e">
        <f>#REF!</f>
        <v>#REF!</v>
      </c>
      <c r="D521" t="e">
        <f>#REF!</f>
        <v>#REF!</v>
      </c>
      <c r="E521" t="e">
        <f>#REF!</f>
        <v>#REF!</v>
      </c>
      <c r="F521" t="e">
        <f>#REF!</f>
        <v>#REF!</v>
      </c>
    </row>
    <row r="522" spans="1:6" x14ac:dyDescent="0.3">
      <c r="A522" t="e">
        <f>#REF!</f>
        <v>#REF!</v>
      </c>
      <c r="B522" t="e">
        <f>#REF!</f>
        <v>#REF!</v>
      </c>
      <c r="C522" t="e">
        <f>#REF!</f>
        <v>#REF!</v>
      </c>
      <c r="D522" t="e">
        <f>#REF!</f>
        <v>#REF!</v>
      </c>
      <c r="E522" t="e">
        <f>#REF!</f>
        <v>#REF!</v>
      </c>
      <c r="F522" t="e">
        <f>#REF!</f>
        <v>#REF!</v>
      </c>
    </row>
    <row r="523" spans="1:6" x14ac:dyDescent="0.3">
      <c r="A523" t="e">
        <f>#REF!</f>
        <v>#REF!</v>
      </c>
      <c r="B523" t="e">
        <f>#REF!</f>
        <v>#REF!</v>
      </c>
      <c r="C523" t="e">
        <f>#REF!</f>
        <v>#REF!</v>
      </c>
      <c r="D523" t="e">
        <f>#REF!</f>
        <v>#REF!</v>
      </c>
      <c r="E523" t="e">
        <f>#REF!</f>
        <v>#REF!</v>
      </c>
      <c r="F523" t="e">
        <f>#REF!</f>
        <v>#REF!</v>
      </c>
    </row>
    <row r="524" spans="1:6" x14ac:dyDescent="0.3">
      <c r="A524" t="e">
        <f>#REF!</f>
        <v>#REF!</v>
      </c>
      <c r="B524" t="e">
        <f>#REF!</f>
        <v>#REF!</v>
      </c>
      <c r="C524" t="e">
        <f>#REF!</f>
        <v>#REF!</v>
      </c>
      <c r="D524" t="e">
        <f>#REF!</f>
        <v>#REF!</v>
      </c>
      <c r="E524" t="e">
        <f>#REF!</f>
        <v>#REF!</v>
      </c>
      <c r="F524" t="e">
        <f>#REF!</f>
        <v>#REF!</v>
      </c>
    </row>
    <row r="525" spans="1:6" x14ac:dyDescent="0.3">
      <c r="A525" t="e">
        <f>#REF!</f>
        <v>#REF!</v>
      </c>
      <c r="B525" t="e">
        <f>#REF!</f>
        <v>#REF!</v>
      </c>
      <c r="C525" t="e">
        <f>#REF!</f>
        <v>#REF!</v>
      </c>
      <c r="D525" t="e">
        <f>#REF!</f>
        <v>#REF!</v>
      </c>
      <c r="E525" t="e">
        <f>#REF!</f>
        <v>#REF!</v>
      </c>
      <c r="F525" t="e">
        <f>#REF!</f>
        <v>#REF!</v>
      </c>
    </row>
    <row r="526" spans="1:6" x14ac:dyDescent="0.3">
      <c r="A526" t="e">
        <f>#REF!</f>
        <v>#REF!</v>
      </c>
      <c r="B526" t="e">
        <f>#REF!</f>
        <v>#REF!</v>
      </c>
      <c r="C526" t="e">
        <f>#REF!</f>
        <v>#REF!</v>
      </c>
      <c r="D526" t="e">
        <f>#REF!</f>
        <v>#REF!</v>
      </c>
      <c r="E526" t="e">
        <f>#REF!</f>
        <v>#REF!</v>
      </c>
      <c r="F526" t="e">
        <f>#REF!</f>
        <v>#REF!</v>
      </c>
    </row>
    <row r="527" spans="1:6" x14ac:dyDescent="0.3">
      <c r="A527" t="e">
        <f>#REF!</f>
        <v>#REF!</v>
      </c>
      <c r="B527" t="e">
        <f>#REF!</f>
        <v>#REF!</v>
      </c>
      <c r="C527" t="e">
        <f>#REF!</f>
        <v>#REF!</v>
      </c>
      <c r="D527" t="e">
        <f>#REF!</f>
        <v>#REF!</v>
      </c>
      <c r="E527" t="e">
        <f>#REF!</f>
        <v>#REF!</v>
      </c>
      <c r="F527" t="e">
        <f>#REF!</f>
        <v>#REF!</v>
      </c>
    </row>
    <row r="528" spans="1:6" x14ac:dyDescent="0.3">
      <c r="A528" t="e">
        <f>#REF!</f>
        <v>#REF!</v>
      </c>
      <c r="B528" t="e">
        <f>#REF!</f>
        <v>#REF!</v>
      </c>
      <c r="C528" t="e">
        <f>#REF!</f>
        <v>#REF!</v>
      </c>
      <c r="D528" t="e">
        <f>#REF!</f>
        <v>#REF!</v>
      </c>
      <c r="E528" t="e">
        <f>#REF!</f>
        <v>#REF!</v>
      </c>
      <c r="F528" t="e">
        <f>#REF!</f>
        <v>#REF!</v>
      </c>
    </row>
    <row r="529" spans="1:6" x14ac:dyDescent="0.3">
      <c r="A529" t="e">
        <f>#REF!</f>
        <v>#REF!</v>
      </c>
      <c r="B529" t="e">
        <f>#REF!</f>
        <v>#REF!</v>
      </c>
      <c r="C529" t="e">
        <f>#REF!</f>
        <v>#REF!</v>
      </c>
      <c r="D529" t="e">
        <f>#REF!</f>
        <v>#REF!</v>
      </c>
      <c r="E529" t="e">
        <f>#REF!</f>
        <v>#REF!</v>
      </c>
      <c r="F529" t="e">
        <f>#REF!</f>
        <v>#REF!</v>
      </c>
    </row>
    <row r="530" spans="1:6" x14ac:dyDescent="0.3">
      <c r="A530" t="e">
        <f>#REF!</f>
        <v>#REF!</v>
      </c>
      <c r="B530" t="e">
        <f>#REF!</f>
        <v>#REF!</v>
      </c>
      <c r="C530" t="e">
        <f>#REF!</f>
        <v>#REF!</v>
      </c>
      <c r="D530" t="e">
        <f>#REF!</f>
        <v>#REF!</v>
      </c>
      <c r="E530" t="e">
        <f>#REF!</f>
        <v>#REF!</v>
      </c>
      <c r="F530" t="e">
        <f>#REF!</f>
        <v>#REF!</v>
      </c>
    </row>
    <row r="531" spans="1:6" x14ac:dyDescent="0.3">
      <c r="A531" t="e">
        <f>#REF!</f>
        <v>#REF!</v>
      </c>
      <c r="B531" t="e">
        <f>#REF!</f>
        <v>#REF!</v>
      </c>
      <c r="C531" t="e">
        <f>#REF!</f>
        <v>#REF!</v>
      </c>
      <c r="D531" t="e">
        <f>#REF!</f>
        <v>#REF!</v>
      </c>
      <c r="E531" t="e">
        <f>#REF!</f>
        <v>#REF!</v>
      </c>
      <c r="F531" t="e">
        <f>#REF!</f>
        <v>#REF!</v>
      </c>
    </row>
    <row r="532" spans="1:6" x14ac:dyDescent="0.3">
      <c r="A532" t="e">
        <f>#REF!</f>
        <v>#REF!</v>
      </c>
      <c r="B532" t="e">
        <f>#REF!</f>
        <v>#REF!</v>
      </c>
      <c r="C532" t="e">
        <f>#REF!</f>
        <v>#REF!</v>
      </c>
      <c r="D532" t="e">
        <f>#REF!</f>
        <v>#REF!</v>
      </c>
      <c r="E532" t="e">
        <f>#REF!</f>
        <v>#REF!</v>
      </c>
      <c r="F532" t="e">
        <f>#REF!</f>
        <v>#REF!</v>
      </c>
    </row>
    <row r="533" spans="1:6" x14ac:dyDescent="0.3">
      <c r="A533" t="e">
        <f>#REF!</f>
        <v>#REF!</v>
      </c>
      <c r="B533" t="e">
        <f>#REF!</f>
        <v>#REF!</v>
      </c>
      <c r="C533" t="e">
        <f>#REF!</f>
        <v>#REF!</v>
      </c>
      <c r="D533" t="e">
        <f>#REF!</f>
        <v>#REF!</v>
      </c>
      <c r="E533" t="e">
        <f>#REF!</f>
        <v>#REF!</v>
      </c>
      <c r="F533" t="e">
        <f>#REF!</f>
        <v>#REF!</v>
      </c>
    </row>
    <row r="534" spans="1:6" x14ac:dyDescent="0.3">
      <c r="A534" t="e">
        <f>#REF!</f>
        <v>#REF!</v>
      </c>
      <c r="B534" t="e">
        <f>#REF!</f>
        <v>#REF!</v>
      </c>
      <c r="C534" t="e">
        <f>#REF!</f>
        <v>#REF!</v>
      </c>
      <c r="D534" t="e">
        <f>#REF!</f>
        <v>#REF!</v>
      </c>
      <c r="E534" t="e">
        <f>#REF!</f>
        <v>#REF!</v>
      </c>
      <c r="F534" t="e">
        <f>#REF!</f>
        <v>#REF!</v>
      </c>
    </row>
    <row r="535" spans="1:6" x14ac:dyDescent="0.3">
      <c r="A535" t="e">
        <f>#REF!</f>
        <v>#REF!</v>
      </c>
      <c r="B535" t="e">
        <f>#REF!</f>
        <v>#REF!</v>
      </c>
      <c r="C535" t="e">
        <f>#REF!</f>
        <v>#REF!</v>
      </c>
      <c r="D535" t="e">
        <f>#REF!</f>
        <v>#REF!</v>
      </c>
      <c r="E535" t="e">
        <f>#REF!</f>
        <v>#REF!</v>
      </c>
      <c r="F535" t="e">
        <f>#REF!</f>
        <v>#REF!</v>
      </c>
    </row>
    <row r="536" spans="1:6" x14ac:dyDescent="0.3">
      <c r="A536" t="e">
        <f>#REF!</f>
        <v>#REF!</v>
      </c>
      <c r="B536" t="e">
        <f>#REF!</f>
        <v>#REF!</v>
      </c>
      <c r="C536" t="e">
        <f>#REF!</f>
        <v>#REF!</v>
      </c>
      <c r="D536" t="e">
        <f>#REF!</f>
        <v>#REF!</v>
      </c>
      <c r="E536" t="e">
        <f>#REF!</f>
        <v>#REF!</v>
      </c>
      <c r="F536" t="e">
        <f>#REF!</f>
        <v>#REF!</v>
      </c>
    </row>
    <row r="537" spans="1:6" x14ac:dyDescent="0.3">
      <c r="A537" t="e">
        <f>#REF!</f>
        <v>#REF!</v>
      </c>
      <c r="B537" t="e">
        <f>#REF!</f>
        <v>#REF!</v>
      </c>
      <c r="C537" t="e">
        <f>#REF!</f>
        <v>#REF!</v>
      </c>
      <c r="D537" t="e">
        <f>#REF!</f>
        <v>#REF!</v>
      </c>
      <c r="E537" t="e">
        <f>#REF!</f>
        <v>#REF!</v>
      </c>
      <c r="F537" t="e">
        <f>#REF!</f>
        <v>#REF!</v>
      </c>
    </row>
    <row r="538" spans="1:6" x14ac:dyDescent="0.3">
      <c r="A538" t="e">
        <f>#REF!</f>
        <v>#REF!</v>
      </c>
      <c r="B538" t="e">
        <f>#REF!</f>
        <v>#REF!</v>
      </c>
      <c r="C538" t="e">
        <f>#REF!</f>
        <v>#REF!</v>
      </c>
      <c r="D538" t="e">
        <f>#REF!</f>
        <v>#REF!</v>
      </c>
      <c r="E538" t="e">
        <f>#REF!</f>
        <v>#REF!</v>
      </c>
      <c r="F538" t="e">
        <f>#REF!</f>
        <v>#REF!</v>
      </c>
    </row>
    <row r="539" spans="1:6" x14ac:dyDescent="0.3">
      <c r="A539" t="e">
        <f>#REF!</f>
        <v>#REF!</v>
      </c>
      <c r="B539" t="e">
        <f>#REF!</f>
        <v>#REF!</v>
      </c>
      <c r="C539" t="e">
        <f>#REF!</f>
        <v>#REF!</v>
      </c>
      <c r="D539" t="e">
        <f>#REF!</f>
        <v>#REF!</v>
      </c>
      <c r="E539" t="e">
        <f>#REF!</f>
        <v>#REF!</v>
      </c>
      <c r="F539" t="e">
        <f>#REF!</f>
        <v>#REF!</v>
      </c>
    </row>
    <row r="540" spans="1:6" x14ac:dyDescent="0.3">
      <c r="A540" t="e">
        <f>#REF!</f>
        <v>#REF!</v>
      </c>
      <c r="B540" t="e">
        <f>#REF!</f>
        <v>#REF!</v>
      </c>
      <c r="C540" t="e">
        <f>#REF!</f>
        <v>#REF!</v>
      </c>
      <c r="D540" t="e">
        <f>#REF!</f>
        <v>#REF!</v>
      </c>
      <c r="E540" t="e">
        <f>#REF!</f>
        <v>#REF!</v>
      </c>
      <c r="F540" t="e">
        <f>#REF!</f>
        <v>#REF!</v>
      </c>
    </row>
    <row r="541" spans="1:6" x14ac:dyDescent="0.3">
      <c r="A541" t="e">
        <f>#REF!</f>
        <v>#REF!</v>
      </c>
      <c r="B541" t="e">
        <f>#REF!</f>
        <v>#REF!</v>
      </c>
      <c r="C541" t="e">
        <f>#REF!</f>
        <v>#REF!</v>
      </c>
      <c r="D541" t="e">
        <f>#REF!</f>
        <v>#REF!</v>
      </c>
      <c r="E541" t="e">
        <f>#REF!</f>
        <v>#REF!</v>
      </c>
      <c r="F541" t="e">
        <f>#REF!</f>
        <v>#REF!</v>
      </c>
    </row>
    <row r="542" spans="1:6" x14ac:dyDescent="0.3">
      <c r="A542" t="e">
        <f>#REF!</f>
        <v>#REF!</v>
      </c>
      <c r="B542" t="e">
        <f>#REF!</f>
        <v>#REF!</v>
      </c>
      <c r="C542" t="e">
        <f>#REF!</f>
        <v>#REF!</v>
      </c>
      <c r="D542" t="e">
        <f>#REF!</f>
        <v>#REF!</v>
      </c>
      <c r="E542" t="e">
        <f>#REF!</f>
        <v>#REF!</v>
      </c>
      <c r="F542" t="e">
        <f>#REF!</f>
        <v>#REF!</v>
      </c>
    </row>
    <row r="543" spans="1:6" x14ac:dyDescent="0.3">
      <c r="A543" t="e">
        <f>#REF!</f>
        <v>#REF!</v>
      </c>
      <c r="B543" t="e">
        <f>#REF!</f>
        <v>#REF!</v>
      </c>
      <c r="C543" t="e">
        <f>#REF!</f>
        <v>#REF!</v>
      </c>
      <c r="D543" t="e">
        <f>#REF!</f>
        <v>#REF!</v>
      </c>
      <c r="E543" t="e">
        <f>#REF!</f>
        <v>#REF!</v>
      </c>
      <c r="F543" t="e">
        <f>#REF!</f>
        <v>#REF!</v>
      </c>
    </row>
    <row r="544" spans="1:6" x14ac:dyDescent="0.3">
      <c r="A544" t="e">
        <f>#REF!</f>
        <v>#REF!</v>
      </c>
      <c r="B544" t="e">
        <f>#REF!</f>
        <v>#REF!</v>
      </c>
      <c r="C544" t="e">
        <f>#REF!</f>
        <v>#REF!</v>
      </c>
      <c r="D544" t="e">
        <f>#REF!</f>
        <v>#REF!</v>
      </c>
      <c r="E544" t="e">
        <f>#REF!</f>
        <v>#REF!</v>
      </c>
      <c r="F544" t="e">
        <f>#REF!</f>
        <v>#REF!</v>
      </c>
    </row>
    <row r="545" spans="1:6" x14ac:dyDescent="0.3">
      <c r="A545" t="e">
        <f>#REF!</f>
        <v>#REF!</v>
      </c>
      <c r="B545" t="e">
        <f>#REF!</f>
        <v>#REF!</v>
      </c>
      <c r="C545" t="e">
        <f>#REF!</f>
        <v>#REF!</v>
      </c>
      <c r="D545" t="e">
        <f>#REF!</f>
        <v>#REF!</v>
      </c>
      <c r="E545" t="e">
        <f>#REF!</f>
        <v>#REF!</v>
      </c>
      <c r="F545" t="e">
        <f>#REF!</f>
        <v>#REF!</v>
      </c>
    </row>
    <row r="546" spans="1:6" x14ac:dyDescent="0.3">
      <c r="A546" t="e">
        <f>#REF!</f>
        <v>#REF!</v>
      </c>
      <c r="B546" t="e">
        <f>#REF!</f>
        <v>#REF!</v>
      </c>
      <c r="C546" t="e">
        <f>#REF!</f>
        <v>#REF!</v>
      </c>
      <c r="D546" t="e">
        <f>#REF!</f>
        <v>#REF!</v>
      </c>
      <c r="E546" t="e">
        <f>#REF!</f>
        <v>#REF!</v>
      </c>
      <c r="F546" t="e">
        <f>#REF!</f>
        <v>#REF!</v>
      </c>
    </row>
    <row r="547" spans="1:6" x14ac:dyDescent="0.3">
      <c r="A547" t="e">
        <f>#REF!</f>
        <v>#REF!</v>
      </c>
      <c r="B547" t="e">
        <f>#REF!</f>
        <v>#REF!</v>
      </c>
      <c r="C547" t="e">
        <f>#REF!</f>
        <v>#REF!</v>
      </c>
      <c r="D547" t="e">
        <f>#REF!</f>
        <v>#REF!</v>
      </c>
      <c r="E547" t="e">
        <f>#REF!</f>
        <v>#REF!</v>
      </c>
      <c r="F547" t="e">
        <f>#REF!</f>
        <v>#REF!</v>
      </c>
    </row>
    <row r="548" spans="1:6" x14ac:dyDescent="0.3">
      <c r="A548" t="e">
        <f>#REF!</f>
        <v>#REF!</v>
      </c>
      <c r="B548" t="e">
        <f>#REF!</f>
        <v>#REF!</v>
      </c>
      <c r="C548" t="e">
        <f>#REF!</f>
        <v>#REF!</v>
      </c>
      <c r="D548" t="e">
        <f>#REF!</f>
        <v>#REF!</v>
      </c>
      <c r="E548" t="e">
        <f>#REF!</f>
        <v>#REF!</v>
      </c>
      <c r="F548" t="e">
        <f>#REF!</f>
        <v>#REF!</v>
      </c>
    </row>
    <row r="549" spans="1:6" x14ac:dyDescent="0.3">
      <c r="A549" t="e">
        <f>#REF!</f>
        <v>#REF!</v>
      </c>
      <c r="B549" t="e">
        <f>#REF!</f>
        <v>#REF!</v>
      </c>
      <c r="C549" t="e">
        <f>#REF!</f>
        <v>#REF!</v>
      </c>
      <c r="D549" t="e">
        <f>#REF!</f>
        <v>#REF!</v>
      </c>
      <c r="E549" t="e">
        <f>#REF!</f>
        <v>#REF!</v>
      </c>
      <c r="F549" t="e">
        <f>#REF!</f>
        <v>#REF!</v>
      </c>
    </row>
    <row r="550" spans="1:6" x14ac:dyDescent="0.3">
      <c r="A550" t="e">
        <f>#REF!</f>
        <v>#REF!</v>
      </c>
      <c r="B550" t="e">
        <f>#REF!</f>
        <v>#REF!</v>
      </c>
      <c r="C550" t="e">
        <f>#REF!</f>
        <v>#REF!</v>
      </c>
      <c r="D550" t="e">
        <f>#REF!</f>
        <v>#REF!</v>
      </c>
      <c r="E550" t="e">
        <f>#REF!</f>
        <v>#REF!</v>
      </c>
      <c r="F550" t="e">
        <f>#REF!</f>
        <v>#REF!</v>
      </c>
    </row>
    <row r="551" spans="1:6" x14ac:dyDescent="0.3">
      <c r="A551" t="e">
        <f>#REF!</f>
        <v>#REF!</v>
      </c>
      <c r="B551" t="e">
        <f>#REF!</f>
        <v>#REF!</v>
      </c>
      <c r="C551" t="e">
        <f>#REF!</f>
        <v>#REF!</v>
      </c>
      <c r="D551" t="e">
        <f>#REF!</f>
        <v>#REF!</v>
      </c>
      <c r="E551" t="e">
        <f>#REF!</f>
        <v>#REF!</v>
      </c>
      <c r="F551" t="e">
        <f>#REF!</f>
        <v>#REF!</v>
      </c>
    </row>
    <row r="552" spans="1:6" x14ac:dyDescent="0.3">
      <c r="A552" t="e">
        <f>#REF!</f>
        <v>#REF!</v>
      </c>
      <c r="B552" t="e">
        <f>#REF!</f>
        <v>#REF!</v>
      </c>
      <c r="C552" t="e">
        <f>#REF!</f>
        <v>#REF!</v>
      </c>
      <c r="D552" t="e">
        <f>#REF!</f>
        <v>#REF!</v>
      </c>
      <c r="E552" t="e">
        <f>#REF!</f>
        <v>#REF!</v>
      </c>
      <c r="F552" t="e">
        <f>#REF!</f>
        <v>#REF!</v>
      </c>
    </row>
    <row r="553" spans="1:6" x14ac:dyDescent="0.3">
      <c r="A553" t="e">
        <f>#REF!</f>
        <v>#REF!</v>
      </c>
      <c r="B553" t="e">
        <f>#REF!</f>
        <v>#REF!</v>
      </c>
      <c r="C553" t="e">
        <f>#REF!</f>
        <v>#REF!</v>
      </c>
      <c r="D553" t="e">
        <f>#REF!</f>
        <v>#REF!</v>
      </c>
      <c r="E553" t="e">
        <f>#REF!</f>
        <v>#REF!</v>
      </c>
      <c r="F553" t="e">
        <f>#REF!</f>
        <v>#REF!</v>
      </c>
    </row>
    <row r="554" spans="1:6" x14ac:dyDescent="0.3">
      <c r="A554" t="e">
        <f>#REF!</f>
        <v>#REF!</v>
      </c>
      <c r="B554" t="e">
        <f>#REF!</f>
        <v>#REF!</v>
      </c>
      <c r="C554" t="e">
        <f>#REF!</f>
        <v>#REF!</v>
      </c>
      <c r="D554" t="e">
        <f>#REF!</f>
        <v>#REF!</v>
      </c>
      <c r="E554" t="e">
        <f>#REF!</f>
        <v>#REF!</v>
      </c>
      <c r="F554" t="e">
        <f>#REF!</f>
        <v>#REF!</v>
      </c>
    </row>
    <row r="555" spans="1:6" x14ac:dyDescent="0.3">
      <c r="A555" t="e">
        <f>#REF!</f>
        <v>#REF!</v>
      </c>
      <c r="B555" t="e">
        <f>#REF!</f>
        <v>#REF!</v>
      </c>
      <c r="C555" t="e">
        <f>#REF!</f>
        <v>#REF!</v>
      </c>
      <c r="D555" t="e">
        <f>#REF!</f>
        <v>#REF!</v>
      </c>
      <c r="E555" t="e">
        <f>#REF!</f>
        <v>#REF!</v>
      </c>
      <c r="F555" t="e">
        <f>#REF!</f>
        <v>#REF!</v>
      </c>
    </row>
    <row r="556" spans="1:6" x14ac:dyDescent="0.3">
      <c r="A556" t="e">
        <f>#REF!</f>
        <v>#REF!</v>
      </c>
      <c r="B556" t="e">
        <f>#REF!</f>
        <v>#REF!</v>
      </c>
      <c r="C556" t="e">
        <f>#REF!</f>
        <v>#REF!</v>
      </c>
      <c r="D556" t="e">
        <f>#REF!</f>
        <v>#REF!</v>
      </c>
      <c r="E556" t="e">
        <f>#REF!</f>
        <v>#REF!</v>
      </c>
      <c r="F556" t="e">
        <f>#REF!</f>
        <v>#REF!</v>
      </c>
    </row>
    <row r="557" spans="1:6" x14ac:dyDescent="0.3">
      <c r="A557" t="e">
        <f>#REF!</f>
        <v>#REF!</v>
      </c>
      <c r="B557" t="e">
        <f>#REF!</f>
        <v>#REF!</v>
      </c>
      <c r="C557" t="e">
        <f>#REF!</f>
        <v>#REF!</v>
      </c>
      <c r="D557" t="e">
        <f>#REF!</f>
        <v>#REF!</v>
      </c>
      <c r="E557" t="e">
        <f>#REF!</f>
        <v>#REF!</v>
      </c>
      <c r="F557" t="e">
        <f>#REF!</f>
        <v>#REF!</v>
      </c>
    </row>
    <row r="558" spans="1:6" x14ac:dyDescent="0.3">
      <c r="A558" t="e">
        <f>#REF!</f>
        <v>#REF!</v>
      </c>
      <c r="B558" t="e">
        <f>#REF!</f>
        <v>#REF!</v>
      </c>
      <c r="C558" t="e">
        <f>#REF!</f>
        <v>#REF!</v>
      </c>
      <c r="D558" t="e">
        <f>#REF!</f>
        <v>#REF!</v>
      </c>
      <c r="E558" t="e">
        <f>#REF!</f>
        <v>#REF!</v>
      </c>
      <c r="F558" t="e">
        <f>#REF!</f>
        <v>#REF!</v>
      </c>
    </row>
    <row r="559" spans="1:6" x14ac:dyDescent="0.3">
      <c r="A559" t="e">
        <f>#REF!</f>
        <v>#REF!</v>
      </c>
      <c r="B559" t="e">
        <f>#REF!</f>
        <v>#REF!</v>
      </c>
      <c r="C559" t="e">
        <f>#REF!</f>
        <v>#REF!</v>
      </c>
      <c r="D559" t="e">
        <f>#REF!</f>
        <v>#REF!</v>
      </c>
      <c r="E559" t="e">
        <f>#REF!</f>
        <v>#REF!</v>
      </c>
      <c r="F559" t="e">
        <f>#REF!</f>
        <v>#REF!</v>
      </c>
    </row>
    <row r="560" spans="1:6" x14ac:dyDescent="0.3">
      <c r="A560" t="e">
        <f>#REF!</f>
        <v>#REF!</v>
      </c>
      <c r="B560" t="e">
        <f>#REF!</f>
        <v>#REF!</v>
      </c>
      <c r="C560" t="e">
        <f>#REF!</f>
        <v>#REF!</v>
      </c>
      <c r="D560" t="e">
        <f>#REF!</f>
        <v>#REF!</v>
      </c>
      <c r="E560" t="e">
        <f>#REF!</f>
        <v>#REF!</v>
      </c>
      <c r="F560" t="e">
        <f>#REF!</f>
        <v>#REF!</v>
      </c>
    </row>
    <row r="561" spans="1:6" x14ac:dyDescent="0.3">
      <c r="A561" t="e">
        <f>#REF!</f>
        <v>#REF!</v>
      </c>
      <c r="B561" t="e">
        <f>#REF!</f>
        <v>#REF!</v>
      </c>
      <c r="C561" t="e">
        <f>#REF!</f>
        <v>#REF!</v>
      </c>
      <c r="D561" t="e">
        <f>#REF!</f>
        <v>#REF!</v>
      </c>
      <c r="E561" t="e">
        <f>#REF!</f>
        <v>#REF!</v>
      </c>
      <c r="F561" t="e">
        <f>#REF!</f>
        <v>#REF!</v>
      </c>
    </row>
    <row r="562" spans="1:6" x14ac:dyDescent="0.3">
      <c r="A562" t="e">
        <f>#REF!</f>
        <v>#REF!</v>
      </c>
      <c r="B562" t="e">
        <f>#REF!</f>
        <v>#REF!</v>
      </c>
      <c r="C562" t="e">
        <f>#REF!</f>
        <v>#REF!</v>
      </c>
      <c r="D562" t="e">
        <f>#REF!</f>
        <v>#REF!</v>
      </c>
      <c r="E562" t="e">
        <f>#REF!</f>
        <v>#REF!</v>
      </c>
      <c r="F562" t="e">
        <f>#REF!</f>
        <v>#REF!</v>
      </c>
    </row>
    <row r="563" spans="1:6" x14ac:dyDescent="0.3">
      <c r="A563" t="e">
        <f>#REF!</f>
        <v>#REF!</v>
      </c>
      <c r="B563" t="e">
        <f>#REF!</f>
        <v>#REF!</v>
      </c>
      <c r="C563" t="e">
        <f>#REF!</f>
        <v>#REF!</v>
      </c>
      <c r="D563" t="e">
        <f>#REF!</f>
        <v>#REF!</v>
      </c>
      <c r="E563" t="e">
        <f>#REF!</f>
        <v>#REF!</v>
      </c>
      <c r="F563" t="e">
        <f>#REF!</f>
        <v>#REF!</v>
      </c>
    </row>
    <row r="564" spans="1:6" x14ac:dyDescent="0.3">
      <c r="A564" t="e">
        <f>#REF!</f>
        <v>#REF!</v>
      </c>
      <c r="B564" t="e">
        <f>#REF!</f>
        <v>#REF!</v>
      </c>
      <c r="C564" t="e">
        <f>#REF!</f>
        <v>#REF!</v>
      </c>
      <c r="D564" t="e">
        <f>#REF!</f>
        <v>#REF!</v>
      </c>
      <c r="E564" t="e">
        <f>#REF!</f>
        <v>#REF!</v>
      </c>
      <c r="F564" t="e">
        <f>#REF!</f>
        <v>#REF!</v>
      </c>
    </row>
    <row r="565" spans="1:6" x14ac:dyDescent="0.3">
      <c r="A565" t="e">
        <f>#REF!</f>
        <v>#REF!</v>
      </c>
      <c r="B565" t="e">
        <f>#REF!</f>
        <v>#REF!</v>
      </c>
      <c r="C565" t="e">
        <f>#REF!</f>
        <v>#REF!</v>
      </c>
      <c r="D565" t="e">
        <f>#REF!</f>
        <v>#REF!</v>
      </c>
      <c r="E565" t="e">
        <f>#REF!</f>
        <v>#REF!</v>
      </c>
      <c r="F565" t="e">
        <f>#REF!</f>
        <v>#REF!</v>
      </c>
    </row>
    <row r="566" spans="1:6" x14ac:dyDescent="0.3">
      <c r="A566" t="e">
        <f>#REF!</f>
        <v>#REF!</v>
      </c>
      <c r="B566" t="e">
        <f>#REF!</f>
        <v>#REF!</v>
      </c>
      <c r="C566" t="e">
        <f>#REF!</f>
        <v>#REF!</v>
      </c>
      <c r="D566" t="e">
        <f>#REF!</f>
        <v>#REF!</v>
      </c>
      <c r="E566" t="e">
        <f>#REF!</f>
        <v>#REF!</v>
      </c>
      <c r="F566" t="e">
        <f>#REF!</f>
        <v>#REF!</v>
      </c>
    </row>
    <row r="567" spans="1:6" x14ac:dyDescent="0.3">
      <c r="A567" t="e">
        <f>#REF!</f>
        <v>#REF!</v>
      </c>
      <c r="B567" t="e">
        <f>#REF!</f>
        <v>#REF!</v>
      </c>
      <c r="C567" t="e">
        <f>#REF!</f>
        <v>#REF!</v>
      </c>
      <c r="D567" t="e">
        <f>#REF!</f>
        <v>#REF!</v>
      </c>
      <c r="E567" t="e">
        <f>#REF!</f>
        <v>#REF!</v>
      </c>
      <c r="F567" t="e">
        <f>#REF!</f>
        <v>#REF!</v>
      </c>
    </row>
    <row r="568" spans="1:6" x14ac:dyDescent="0.3">
      <c r="A568" t="e">
        <f>#REF!</f>
        <v>#REF!</v>
      </c>
      <c r="B568" t="e">
        <f>#REF!</f>
        <v>#REF!</v>
      </c>
      <c r="C568" t="e">
        <f>#REF!</f>
        <v>#REF!</v>
      </c>
      <c r="D568" t="e">
        <f>#REF!</f>
        <v>#REF!</v>
      </c>
      <c r="E568" t="e">
        <f>#REF!</f>
        <v>#REF!</v>
      </c>
      <c r="F568" t="e">
        <f>#REF!</f>
        <v>#REF!</v>
      </c>
    </row>
    <row r="569" spans="1:6" x14ac:dyDescent="0.3">
      <c r="A569" t="e">
        <f>#REF!</f>
        <v>#REF!</v>
      </c>
      <c r="B569" t="e">
        <f>#REF!</f>
        <v>#REF!</v>
      </c>
      <c r="C569" t="e">
        <f>#REF!</f>
        <v>#REF!</v>
      </c>
      <c r="D569" t="e">
        <f>#REF!</f>
        <v>#REF!</v>
      </c>
      <c r="E569" t="e">
        <f>#REF!</f>
        <v>#REF!</v>
      </c>
      <c r="F569" t="e">
        <f>#REF!</f>
        <v>#REF!</v>
      </c>
    </row>
    <row r="570" spans="1:6" x14ac:dyDescent="0.3">
      <c r="A570" t="e">
        <f>#REF!</f>
        <v>#REF!</v>
      </c>
      <c r="B570" t="e">
        <f>#REF!</f>
        <v>#REF!</v>
      </c>
      <c r="C570" t="e">
        <f>#REF!</f>
        <v>#REF!</v>
      </c>
      <c r="D570" t="e">
        <f>#REF!</f>
        <v>#REF!</v>
      </c>
      <c r="E570" t="e">
        <f>#REF!</f>
        <v>#REF!</v>
      </c>
      <c r="F570" t="e">
        <f>#REF!</f>
        <v>#REF!</v>
      </c>
    </row>
    <row r="571" spans="1:6" x14ac:dyDescent="0.3">
      <c r="A571" t="e">
        <f>#REF!</f>
        <v>#REF!</v>
      </c>
      <c r="B571" t="e">
        <f>#REF!</f>
        <v>#REF!</v>
      </c>
      <c r="C571" t="e">
        <f>#REF!</f>
        <v>#REF!</v>
      </c>
      <c r="D571" t="e">
        <f>#REF!</f>
        <v>#REF!</v>
      </c>
      <c r="E571" t="e">
        <f>#REF!</f>
        <v>#REF!</v>
      </c>
      <c r="F571" t="e">
        <f>#REF!</f>
        <v>#REF!</v>
      </c>
    </row>
    <row r="572" spans="1:6" x14ac:dyDescent="0.3">
      <c r="A572" t="e">
        <f>#REF!</f>
        <v>#REF!</v>
      </c>
      <c r="B572" t="e">
        <f>#REF!</f>
        <v>#REF!</v>
      </c>
      <c r="C572" t="e">
        <f>#REF!</f>
        <v>#REF!</v>
      </c>
      <c r="D572" t="e">
        <f>#REF!</f>
        <v>#REF!</v>
      </c>
      <c r="E572" t="e">
        <f>#REF!</f>
        <v>#REF!</v>
      </c>
      <c r="F572" t="e">
        <f>#REF!</f>
        <v>#REF!</v>
      </c>
    </row>
    <row r="573" spans="1:6" x14ac:dyDescent="0.3">
      <c r="A573" t="e">
        <f>#REF!</f>
        <v>#REF!</v>
      </c>
      <c r="B573" t="e">
        <f>#REF!</f>
        <v>#REF!</v>
      </c>
      <c r="C573" t="e">
        <f>#REF!</f>
        <v>#REF!</v>
      </c>
      <c r="D573" t="e">
        <f>#REF!</f>
        <v>#REF!</v>
      </c>
      <c r="E573" t="e">
        <f>#REF!</f>
        <v>#REF!</v>
      </c>
      <c r="F573" t="e">
        <f>#REF!</f>
        <v>#REF!</v>
      </c>
    </row>
    <row r="574" spans="1:6" x14ac:dyDescent="0.3">
      <c r="A574" t="e">
        <f>#REF!</f>
        <v>#REF!</v>
      </c>
      <c r="B574" t="e">
        <f>#REF!</f>
        <v>#REF!</v>
      </c>
      <c r="C574" t="e">
        <f>#REF!</f>
        <v>#REF!</v>
      </c>
      <c r="D574" t="e">
        <f>#REF!</f>
        <v>#REF!</v>
      </c>
      <c r="E574" t="e">
        <f>#REF!</f>
        <v>#REF!</v>
      </c>
      <c r="F574" t="e">
        <f>#REF!</f>
        <v>#REF!</v>
      </c>
    </row>
    <row r="575" spans="1:6" x14ac:dyDescent="0.3">
      <c r="A575" t="e">
        <f>#REF!</f>
        <v>#REF!</v>
      </c>
      <c r="B575" t="e">
        <f>#REF!</f>
        <v>#REF!</v>
      </c>
      <c r="C575" t="e">
        <f>#REF!</f>
        <v>#REF!</v>
      </c>
      <c r="D575" t="e">
        <f>#REF!</f>
        <v>#REF!</v>
      </c>
      <c r="E575" t="e">
        <f>#REF!</f>
        <v>#REF!</v>
      </c>
      <c r="F575" t="e">
        <f>#REF!</f>
        <v>#REF!</v>
      </c>
    </row>
    <row r="576" spans="1:6" x14ac:dyDescent="0.3">
      <c r="A576" t="e">
        <f>#REF!</f>
        <v>#REF!</v>
      </c>
      <c r="B576" t="e">
        <f>#REF!</f>
        <v>#REF!</v>
      </c>
      <c r="C576" t="e">
        <f>#REF!</f>
        <v>#REF!</v>
      </c>
      <c r="D576" t="e">
        <f>#REF!</f>
        <v>#REF!</v>
      </c>
      <c r="E576" t="e">
        <f>#REF!</f>
        <v>#REF!</v>
      </c>
      <c r="F576" t="e">
        <f>#REF!</f>
        <v>#REF!</v>
      </c>
    </row>
    <row r="577" spans="1:6" x14ac:dyDescent="0.3">
      <c r="A577" t="e">
        <f>#REF!</f>
        <v>#REF!</v>
      </c>
      <c r="B577" t="e">
        <f>#REF!</f>
        <v>#REF!</v>
      </c>
      <c r="C577" t="e">
        <f>#REF!</f>
        <v>#REF!</v>
      </c>
      <c r="D577" t="e">
        <f>#REF!</f>
        <v>#REF!</v>
      </c>
      <c r="E577" t="e">
        <f>#REF!</f>
        <v>#REF!</v>
      </c>
      <c r="F577" t="e">
        <f>#REF!</f>
        <v>#REF!</v>
      </c>
    </row>
    <row r="578" spans="1:6" x14ac:dyDescent="0.3">
      <c r="A578" t="e">
        <f>#REF!</f>
        <v>#REF!</v>
      </c>
      <c r="B578" t="e">
        <f>#REF!</f>
        <v>#REF!</v>
      </c>
      <c r="C578" t="e">
        <f>#REF!</f>
        <v>#REF!</v>
      </c>
      <c r="D578" t="e">
        <f>#REF!</f>
        <v>#REF!</v>
      </c>
      <c r="E578" t="e">
        <f>#REF!</f>
        <v>#REF!</v>
      </c>
      <c r="F578" t="e">
        <f>#REF!</f>
        <v>#REF!</v>
      </c>
    </row>
    <row r="579" spans="1:6" x14ac:dyDescent="0.3">
      <c r="A579" t="e">
        <f>#REF!</f>
        <v>#REF!</v>
      </c>
      <c r="B579" t="e">
        <f>#REF!</f>
        <v>#REF!</v>
      </c>
      <c r="C579" t="e">
        <f>#REF!</f>
        <v>#REF!</v>
      </c>
      <c r="D579" t="e">
        <f>#REF!</f>
        <v>#REF!</v>
      </c>
      <c r="E579" t="e">
        <f>#REF!</f>
        <v>#REF!</v>
      </c>
      <c r="F579" t="e">
        <f>#REF!</f>
        <v>#REF!</v>
      </c>
    </row>
    <row r="580" spans="1:6" x14ac:dyDescent="0.3">
      <c r="A580" t="e">
        <f>#REF!</f>
        <v>#REF!</v>
      </c>
      <c r="B580" t="e">
        <f>#REF!</f>
        <v>#REF!</v>
      </c>
      <c r="C580" t="e">
        <f>#REF!</f>
        <v>#REF!</v>
      </c>
      <c r="D580" t="e">
        <f>#REF!</f>
        <v>#REF!</v>
      </c>
      <c r="E580" t="e">
        <f>#REF!</f>
        <v>#REF!</v>
      </c>
      <c r="F580" t="e">
        <f>#REF!</f>
        <v>#REF!</v>
      </c>
    </row>
    <row r="581" spans="1:6" x14ac:dyDescent="0.3">
      <c r="A581" t="e">
        <f>#REF!</f>
        <v>#REF!</v>
      </c>
      <c r="B581" t="e">
        <f>#REF!</f>
        <v>#REF!</v>
      </c>
      <c r="C581" t="e">
        <f>#REF!</f>
        <v>#REF!</v>
      </c>
      <c r="D581" t="e">
        <f>#REF!</f>
        <v>#REF!</v>
      </c>
      <c r="E581" t="e">
        <f>#REF!</f>
        <v>#REF!</v>
      </c>
      <c r="F581" t="e">
        <f>#REF!</f>
        <v>#REF!</v>
      </c>
    </row>
    <row r="582" spans="1:6" x14ac:dyDescent="0.3">
      <c r="A582" t="e">
        <f>#REF!</f>
        <v>#REF!</v>
      </c>
      <c r="B582" t="e">
        <f>#REF!</f>
        <v>#REF!</v>
      </c>
      <c r="C582" t="e">
        <f>#REF!</f>
        <v>#REF!</v>
      </c>
      <c r="D582" t="e">
        <f>#REF!</f>
        <v>#REF!</v>
      </c>
      <c r="E582" t="e">
        <f>#REF!</f>
        <v>#REF!</v>
      </c>
      <c r="F582" t="e">
        <f>#REF!</f>
        <v>#REF!</v>
      </c>
    </row>
    <row r="583" spans="1:6" x14ac:dyDescent="0.3">
      <c r="A583" t="e">
        <f>#REF!</f>
        <v>#REF!</v>
      </c>
      <c r="B583" t="e">
        <f>#REF!</f>
        <v>#REF!</v>
      </c>
      <c r="C583" t="e">
        <f>#REF!</f>
        <v>#REF!</v>
      </c>
      <c r="D583" t="e">
        <f>#REF!</f>
        <v>#REF!</v>
      </c>
      <c r="E583" t="e">
        <f>#REF!</f>
        <v>#REF!</v>
      </c>
      <c r="F583" t="e">
        <f>#REF!</f>
        <v>#REF!</v>
      </c>
    </row>
    <row r="584" spans="1:6" x14ac:dyDescent="0.3">
      <c r="A584" t="e">
        <f>#REF!</f>
        <v>#REF!</v>
      </c>
      <c r="B584" t="e">
        <f>#REF!</f>
        <v>#REF!</v>
      </c>
      <c r="C584" t="e">
        <f>#REF!</f>
        <v>#REF!</v>
      </c>
      <c r="D584" t="e">
        <f>#REF!</f>
        <v>#REF!</v>
      </c>
      <c r="E584" t="e">
        <f>#REF!</f>
        <v>#REF!</v>
      </c>
      <c r="F584" t="e">
        <f>#REF!</f>
        <v>#REF!</v>
      </c>
    </row>
    <row r="585" spans="1:6" x14ac:dyDescent="0.3">
      <c r="A585" t="e">
        <f>#REF!</f>
        <v>#REF!</v>
      </c>
      <c r="B585" t="e">
        <f>#REF!</f>
        <v>#REF!</v>
      </c>
      <c r="C585" t="e">
        <f>#REF!</f>
        <v>#REF!</v>
      </c>
      <c r="D585" t="e">
        <f>#REF!</f>
        <v>#REF!</v>
      </c>
      <c r="E585" t="e">
        <f>#REF!</f>
        <v>#REF!</v>
      </c>
      <c r="F585" t="e">
        <f>#REF!</f>
        <v>#REF!</v>
      </c>
    </row>
    <row r="586" spans="1:6" x14ac:dyDescent="0.3">
      <c r="A586" t="e">
        <f>#REF!</f>
        <v>#REF!</v>
      </c>
      <c r="B586" t="e">
        <f>#REF!</f>
        <v>#REF!</v>
      </c>
      <c r="C586" t="e">
        <f>#REF!</f>
        <v>#REF!</v>
      </c>
      <c r="D586" t="e">
        <f>#REF!</f>
        <v>#REF!</v>
      </c>
      <c r="E586" t="e">
        <f>#REF!</f>
        <v>#REF!</v>
      </c>
      <c r="F586" t="e">
        <f>#REF!</f>
        <v>#REF!</v>
      </c>
    </row>
    <row r="587" spans="1:6" x14ac:dyDescent="0.3">
      <c r="A587" t="e">
        <f>#REF!</f>
        <v>#REF!</v>
      </c>
      <c r="B587" t="e">
        <f>#REF!</f>
        <v>#REF!</v>
      </c>
      <c r="C587" t="e">
        <f>#REF!</f>
        <v>#REF!</v>
      </c>
      <c r="D587" t="e">
        <f>#REF!</f>
        <v>#REF!</v>
      </c>
      <c r="E587" t="e">
        <f>#REF!</f>
        <v>#REF!</v>
      </c>
      <c r="F587" t="e">
        <f>#REF!</f>
        <v>#REF!</v>
      </c>
    </row>
    <row r="588" spans="1:6" x14ac:dyDescent="0.3">
      <c r="A588" t="e">
        <f>#REF!</f>
        <v>#REF!</v>
      </c>
      <c r="B588" t="e">
        <f>#REF!</f>
        <v>#REF!</v>
      </c>
      <c r="C588" t="e">
        <f>#REF!</f>
        <v>#REF!</v>
      </c>
      <c r="D588" t="e">
        <f>#REF!</f>
        <v>#REF!</v>
      </c>
      <c r="E588" t="e">
        <f>#REF!</f>
        <v>#REF!</v>
      </c>
      <c r="F588" t="e">
        <f>#REF!</f>
        <v>#REF!</v>
      </c>
    </row>
    <row r="589" spans="1:6" x14ac:dyDescent="0.3">
      <c r="A589" t="e">
        <f>#REF!</f>
        <v>#REF!</v>
      </c>
      <c r="B589" t="e">
        <f>#REF!</f>
        <v>#REF!</v>
      </c>
      <c r="C589" t="e">
        <f>#REF!</f>
        <v>#REF!</v>
      </c>
      <c r="D589" t="e">
        <f>#REF!</f>
        <v>#REF!</v>
      </c>
      <c r="E589" t="e">
        <f>#REF!</f>
        <v>#REF!</v>
      </c>
      <c r="F589" t="e">
        <f>#REF!</f>
        <v>#REF!</v>
      </c>
    </row>
    <row r="590" spans="1:6" x14ac:dyDescent="0.3">
      <c r="A590" t="e">
        <f>#REF!</f>
        <v>#REF!</v>
      </c>
      <c r="B590" t="e">
        <f>#REF!</f>
        <v>#REF!</v>
      </c>
      <c r="C590" t="e">
        <f>#REF!</f>
        <v>#REF!</v>
      </c>
      <c r="D590" t="e">
        <f>#REF!</f>
        <v>#REF!</v>
      </c>
      <c r="E590" t="e">
        <f>#REF!</f>
        <v>#REF!</v>
      </c>
      <c r="F590" t="e">
        <f>#REF!</f>
        <v>#REF!</v>
      </c>
    </row>
    <row r="591" spans="1:6" x14ac:dyDescent="0.3">
      <c r="A591" t="e">
        <f>#REF!</f>
        <v>#REF!</v>
      </c>
      <c r="B591" t="e">
        <f>#REF!</f>
        <v>#REF!</v>
      </c>
      <c r="C591" t="e">
        <f>#REF!</f>
        <v>#REF!</v>
      </c>
      <c r="D591" t="e">
        <f>#REF!</f>
        <v>#REF!</v>
      </c>
      <c r="E591" t="e">
        <f>#REF!</f>
        <v>#REF!</v>
      </c>
      <c r="F591" t="e">
        <f>#REF!</f>
        <v>#REF!</v>
      </c>
    </row>
    <row r="592" spans="1:6" x14ac:dyDescent="0.3">
      <c r="A592" t="e">
        <f>#REF!</f>
        <v>#REF!</v>
      </c>
      <c r="B592" t="e">
        <f>#REF!</f>
        <v>#REF!</v>
      </c>
      <c r="C592" t="e">
        <f>#REF!</f>
        <v>#REF!</v>
      </c>
      <c r="D592" t="e">
        <f>#REF!</f>
        <v>#REF!</v>
      </c>
      <c r="E592" t="e">
        <f>#REF!</f>
        <v>#REF!</v>
      </c>
      <c r="F592" t="e">
        <f>#REF!</f>
        <v>#REF!</v>
      </c>
    </row>
    <row r="593" spans="1:6" x14ac:dyDescent="0.3">
      <c r="A593" t="e">
        <f>#REF!</f>
        <v>#REF!</v>
      </c>
      <c r="B593" t="e">
        <f>#REF!</f>
        <v>#REF!</v>
      </c>
      <c r="C593" t="e">
        <f>#REF!</f>
        <v>#REF!</v>
      </c>
      <c r="D593" t="e">
        <f>#REF!</f>
        <v>#REF!</v>
      </c>
      <c r="E593" t="e">
        <f>#REF!</f>
        <v>#REF!</v>
      </c>
      <c r="F593" t="e">
        <f>#REF!</f>
        <v>#REF!</v>
      </c>
    </row>
    <row r="594" spans="1:6" x14ac:dyDescent="0.3">
      <c r="A594" t="e">
        <f>#REF!</f>
        <v>#REF!</v>
      </c>
      <c r="B594" t="e">
        <f>#REF!</f>
        <v>#REF!</v>
      </c>
      <c r="C594" t="e">
        <f>#REF!</f>
        <v>#REF!</v>
      </c>
      <c r="D594" t="e">
        <f>#REF!</f>
        <v>#REF!</v>
      </c>
      <c r="E594" t="e">
        <f>#REF!</f>
        <v>#REF!</v>
      </c>
      <c r="F594" t="e">
        <f>#REF!</f>
        <v>#REF!</v>
      </c>
    </row>
    <row r="595" spans="1:6" x14ac:dyDescent="0.3">
      <c r="A595" t="e">
        <f>#REF!</f>
        <v>#REF!</v>
      </c>
      <c r="B595" t="e">
        <f>#REF!</f>
        <v>#REF!</v>
      </c>
      <c r="C595" t="e">
        <f>#REF!</f>
        <v>#REF!</v>
      </c>
      <c r="D595" t="e">
        <f>#REF!</f>
        <v>#REF!</v>
      </c>
      <c r="E595" t="e">
        <f>#REF!</f>
        <v>#REF!</v>
      </c>
      <c r="F595" t="e">
        <f>#REF!</f>
        <v>#REF!</v>
      </c>
    </row>
    <row r="596" spans="1:6" x14ac:dyDescent="0.3">
      <c r="A596" t="e">
        <f>#REF!</f>
        <v>#REF!</v>
      </c>
      <c r="B596" t="e">
        <f>#REF!</f>
        <v>#REF!</v>
      </c>
      <c r="C596" t="e">
        <f>#REF!</f>
        <v>#REF!</v>
      </c>
      <c r="D596" t="e">
        <f>#REF!</f>
        <v>#REF!</v>
      </c>
      <c r="E596" t="e">
        <f>#REF!</f>
        <v>#REF!</v>
      </c>
      <c r="F596" t="e">
        <f>#REF!</f>
        <v>#REF!</v>
      </c>
    </row>
    <row r="597" spans="1:6" x14ac:dyDescent="0.3">
      <c r="A597" t="e">
        <f>#REF!</f>
        <v>#REF!</v>
      </c>
      <c r="B597" t="e">
        <f>#REF!</f>
        <v>#REF!</v>
      </c>
      <c r="C597" t="e">
        <f>#REF!</f>
        <v>#REF!</v>
      </c>
      <c r="D597" t="e">
        <f>#REF!</f>
        <v>#REF!</v>
      </c>
      <c r="E597" t="e">
        <f>#REF!</f>
        <v>#REF!</v>
      </c>
      <c r="F597" t="e">
        <f>#REF!</f>
        <v>#REF!</v>
      </c>
    </row>
    <row r="598" spans="1:6" x14ac:dyDescent="0.3">
      <c r="A598" t="e">
        <f>#REF!</f>
        <v>#REF!</v>
      </c>
      <c r="B598" t="e">
        <f>#REF!</f>
        <v>#REF!</v>
      </c>
      <c r="C598" t="e">
        <f>#REF!</f>
        <v>#REF!</v>
      </c>
      <c r="D598" t="e">
        <f>#REF!</f>
        <v>#REF!</v>
      </c>
      <c r="E598" t="e">
        <f>#REF!</f>
        <v>#REF!</v>
      </c>
      <c r="F598" t="e">
        <f>#REF!</f>
        <v>#REF!</v>
      </c>
    </row>
    <row r="599" spans="1:6" x14ac:dyDescent="0.3">
      <c r="A599" t="e">
        <f>#REF!</f>
        <v>#REF!</v>
      </c>
      <c r="B599" t="e">
        <f>#REF!</f>
        <v>#REF!</v>
      </c>
      <c r="C599" t="e">
        <f>#REF!</f>
        <v>#REF!</v>
      </c>
      <c r="D599" t="e">
        <f>#REF!</f>
        <v>#REF!</v>
      </c>
      <c r="E599" t="e">
        <f>#REF!</f>
        <v>#REF!</v>
      </c>
      <c r="F599" t="e">
        <f>#REF!</f>
        <v>#REF!</v>
      </c>
    </row>
    <row r="600" spans="1:6" x14ac:dyDescent="0.3">
      <c r="A600" t="e">
        <f>#REF!</f>
        <v>#REF!</v>
      </c>
      <c r="B600" t="e">
        <f>#REF!</f>
        <v>#REF!</v>
      </c>
      <c r="C600" t="e">
        <f>#REF!</f>
        <v>#REF!</v>
      </c>
      <c r="D600" t="e">
        <f>#REF!</f>
        <v>#REF!</v>
      </c>
      <c r="E600" t="e">
        <f>#REF!</f>
        <v>#REF!</v>
      </c>
      <c r="F600" t="e">
        <f>#REF!</f>
        <v>#REF!</v>
      </c>
    </row>
    <row r="601" spans="1:6" x14ac:dyDescent="0.3">
      <c r="A601" t="e">
        <f>#REF!</f>
        <v>#REF!</v>
      </c>
      <c r="B601" t="e">
        <f>#REF!</f>
        <v>#REF!</v>
      </c>
      <c r="C601" t="e">
        <f>#REF!</f>
        <v>#REF!</v>
      </c>
      <c r="D601" t="e">
        <f>#REF!</f>
        <v>#REF!</v>
      </c>
      <c r="E601" t="e">
        <f>#REF!</f>
        <v>#REF!</v>
      </c>
      <c r="F601" t="e">
        <f>#REF!</f>
        <v>#REF!</v>
      </c>
    </row>
    <row r="602" spans="1:6" x14ac:dyDescent="0.3">
      <c r="A602" t="e">
        <f>#REF!</f>
        <v>#REF!</v>
      </c>
      <c r="B602" t="e">
        <f>#REF!</f>
        <v>#REF!</v>
      </c>
      <c r="C602" t="e">
        <f>#REF!</f>
        <v>#REF!</v>
      </c>
      <c r="D602" t="e">
        <f>#REF!</f>
        <v>#REF!</v>
      </c>
      <c r="E602" t="e">
        <f>#REF!</f>
        <v>#REF!</v>
      </c>
      <c r="F602" t="e">
        <f>#REF!</f>
        <v>#REF!</v>
      </c>
    </row>
    <row r="603" spans="1:6" x14ac:dyDescent="0.3">
      <c r="A603" t="e">
        <f>#REF!</f>
        <v>#REF!</v>
      </c>
      <c r="B603" t="e">
        <f>#REF!</f>
        <v>#REF!</v>
      </c>
      <c r="C603" t="e">
        <f>#REF!</f>
        <v>#REF!</v>
      </c>
      <c r="D603" t="e">
        <f>#REF!</f>
        <v>#REF!</v>
      </c>
      <c r="E603" t="e">
        <f>#REF!</f>
        <v>#REF!</v>
      </c>
      <c r="F603" t="e">
        <f>#REF!</f>
        <v>#REF!</v>
      </c>
    </row>
    <row r="604" spans="1:6" x14ac:dyDescent="0.3">
      <c r="A604" t="e">
        <f>#REF!</f>
        <v>#REF!</v>
      </c>
      <c r="B604" t="e">
        <f>#REF!</f>
        <v>#REF!</v>
      </c>
      <c r="C604" t="e">
        <f>#REF!</f>
        <v>#REF!</v>
      </c>
      <c r="D604" t="e">
        <f>#REF!</f>
        <v>#REF!</v>
      </c>
      <c r="E604" t="e">
        <f>#REF!</f>
        <v>#REF!</v>
      </c>
      <c r="F604" t="e">
        <f>#REF!</f>
        <v>#REF!</v>
      </c>
    </row>
    <row r="605" spans="1:6" x14ac:dyDescent="0.3">
      <c r="A605" t="e">
        <f>#REF!</f>
        <v>#REF!</v>
      </c>
      <c r="B605" t="e">
        <f>#REF!</f>
        <v>#REF!</v>
      </c>
      <c r="C605" t="e">
        <f>#REF!</f>
        <v>#REF!</v>
      </c>
      <c r="D605" t="e">
        <f>#REF!</f>
        <v>#REF!</v>
      </c>
      <c r="E605" t="e">
        <f>#REF!</f>
        <v>#REF!</v>
      </c>
      <c r="F605" t="e">
        <f>#REF!</f>
        <v>#REF!</v>
      </c>
    </row>
    <row r="606" spans="1:6" x14ac:dyDescent="0.3">
      <c r="A606" t="e">
        <f>#REF!</f>
        <v>#REF!</v>
      </c>
      <c r="B606" t="e">
        <f>#REF!</f>
        <v>#REF!</v>
      </c>
      <c r="C606" t="e">
        <f>#REF!</f>
        <v>#REF!</v>
      </c>
      <c r="D606" t="e">
        <f>#REF!</f>
        <v>#REF!</v>
      </c>
      <c r="E606" t="e">
        <f>#REF!</f>
        <v>#REF!</v>
      </c>
      <c r="F606" t="e">
        <f>#REF!</f>
        <v>#REF!</v>
      </c>
    </row>
    <row r="607" spans="1:6" x14ac:dyDescent="0.3">
      <c r="A607" t="e">
        <f>#REF!</f>
        <v>#REF!</v>
      </c>
      <c r="B607" t="e">
        <f>#REF!</f>
        <v>#REF!</v>
      </c>
      <c r="C607" t="e">
        <f>#REF!</f>
        <v>#REF!</v>
      </c>
      <c r="D607" t="e">
        <f>#REF!</f>
        <v>#REF!</v>
      </c>
      <c r="E607" t="e">
        <f>#REF!</f>
        <v>#REF!</v>
      </c>
      <c r="F607" t="e">
        <f>#REF!</f>
        <v>#REF!</v>
      </c>
    </row>
    <row r="608" spans="1:6" x14ac:dyDescent="0.3">
      <c r="A608" t="e">
        <f>#REF!</f>
        <v>#REF!</v>
      </c>
      <c r="B608" t="e">
        <f>#REF!</f>
        <v>#REF!</v>
      </c>
      <c r="C608" t="e">
        <f>#REF!</f>
        <v>#REF!</v>
      </c>
      <c r="D608" t="e">
        <f>#REF!</f>
        <v>#REF!</v>
      </c>
      <c r="E608" t="e">
        <f>#REF!</f>
        <v>#REF!</v>
      </c>
      <c r="F608" t="e">
        <f>#REF!</f>
        <v>#REF!</v>
      </c>
    </row>
    <row r="609" spans="1:6" x14ac:dyDescent="0.3">
      <c r="A609" t="e">
        <f>#REF!</f>
        <v>#REF!</v>
      </c>
      <c r="B609" t="e">
        <f>#REF!</f>
        <v>#REF!</v>
      </c>
      <c r="C609" t="e">
        <f>#REF!</f>
        <v>#REF!</v>
      </c>
      <c r="D609" t="e">
        <f>#REF!</f>
        <v>#REF!</v>
      </c>
      <c r="E609" t="e">
        <f>#REF!</f>
        <v>#REF!</v>
      </c>
      <c r="F609" t="e">
        <f>#REF!</f>
        <v>#REF!</v>
      </c>
    </row>
    <row r="610" spans="1:6" x14ac:dyDescent="0.3">
      <c r="A610" t="e">
        <f>#REF!</f>
        <v>#REF!</v>
      </c>
      <c r="B610" t="e">
        <f>#REF!</f>
        <v>#REF!</v>
      </c>
      <c r="C610" t="e">
        <f>#REF!</f>
        <v>#REF!</v>
      </c>
      <c r="D610" t="e">
        <f>#REF!</f>
        <v>#REF!</v>
      </c>
      <c r="E610" t="e">
        <f>#REF!</f>
        <v>#REF!</v>
      </c>
      <c r="F610" t="e">
        <f>#REF!</f>
        <v>#REF!</v>
      </c>
    </row>
    <row r="611" spans="1:6" x14ac:dyDescent="0.3">
      <c r="A611" t="e">
        <f>#REF!</f>
        <v>#REF!</v>
      </c>
      <c r="B611" t="e">
        <f>#REF!</f>
        <v>#REF!</v>
      </c>
      <c r="C611" t="e">
        <f>#REF!</f>
        <v>#REF!</v>
      </c>
      <c r="D611" t="e">
        <f>#REF!</f>
        <v>#REF!</v>
      </c>
      <c r="E611" t="e">
        <f>#REF!</f>
        <v>#REF!</v>
      </c>
      <c r="F611" t="e">
        <f>#REF!</f>
        <v>#REF!</v>
      </c>
    </row>
    <row r="612" spans="1:6" x14ac:dyDescent="0.3">
      <c r="A612" t="e">
        <f>#REF!</f>
        <v>#REF!</v>
      </c>
      <c r="B612" t="e">
        <f>#REF!</f>
        <v>#REF!</v>
      </c>
      <c r="C612" t="e">
        <f>#REF!</f>
        <v>#REF!</v>
      </c>
      <c r="D612" t="e">
        <f>#REF!</f>
        <v>#REF!</v>
      </c>
      <c r="E612" t="e">
        <f>#REF!</f>
        <v>#REF!</v>
      </c>
      <c r="F612" t="e">
        <f>#REF!</f>
        <v>#REF!</v>
      </c>
    </row>
    <row r="613" spans="1:6" x14ac:dyDescent="0.3">
      <c r="A613" t="e">
        <f>#REF!</f>
        <v>#REF!</v>
      </c>
      <c r="B613" t="e">
        <f>#REF!</f>
        <v>#REF!</v>
      </c>
      <c r="C613" t="e">
        <f>#REF!</f>
        <v>#REF!</v>
      </c>
      <c r="D613" t="e">
        <f>#REF!</f>
        <v>#REF!</v>
      </c>
      <c r="E613" t="e">
        <f>#REF!</f>
        <v>#REF!</v>
      </c>
      <c r="F613" t="e">
        <f>#REF!</f>
        <v>#REF!</v>
      </c>
    </row>
    <row r="614" spans="1:6" x14ac:dyDescent="0.3">
      <c r="A614" t="e">
        <f>#REF!</f>
        <v>#REF!</v>
      </c>
      <c r="B614" t="e">
        <f>#REF!</f>
        <v>#REF!</v>
      </c>
      <c r="C614" t="e">
        <f>#REF!</f>
        <v>#REF!</v>
      </c>
      <c r="D614" t="e">
        <f>#REF!</f>
        <v>#REF!</v>
      </c>
      <c r="E614" t="e">
        <f>#REF!</f>
        <v>#REF!</v>
      </c>
      <c r="F614" t="e">
        <f>#REF!</f>
        <v>#REF!</v>
      </c>
    </row>
    <row r="615" spans="1:6" x14ac:dyDescent="0.3">
      <c r="A615" t="e">
        <f>#REF!</f>
        <v>#REF!</v>
      </c>
      <c r="B615" t="e">
        <f>#REF!</f>
        <v>#REF!</v>
      </c>
      <c r="C615" t="e">
        <f>#REF!</f>
        <v>#REF!</v>
      </c>
      <c r="D615" t="e">
        <f>#REF!</f>
        <v>#REF!</v>
      </c>
      <c r="E615" t="e">
        <f>#REF!</f>
        <v>#REF!</v>
      </c>
      <c r="F615" t="e">
        <f>#REF!</f>
        <v>#REF!</v>
      </c>
    </row>
    <row r="616" spans="1:6" x14ac:dyDescent="0.3">
      <c r="A616" t="e">
        <f>#REF!</f>
        <v>#REF!</v>
      </c>
      <c r="B616" t="e">
        <f>#REF!</f>
        <v>#REF!</v>
      </c>
      <c r="C616" t="e">
        <f>#REF!</f>
        <v>#REF!</v>
      </c>
      <c r="D616" t="e">
        <f>#REF!</f>
        <v>#REF!</v>
      </c>
      <c r="E616" t="e">
        <f>#REF!</f>
        <v>#REF!</v>
      </c>
      <c r="F616" t="e">
        <f>#REF!</f>
        <v>#REF!</v>
      </c>
    </row>
    <row r="617" spans="1:6" x14ac:dyDescent="0.3">
      <c r="A617" t="e">
        <f>#REF!</f>
        <v>#REF!</v>
      </c>
      <c r="B617" t="e">
        <f>#REF!</f>
        <v>#REF!</v>
      </c>
      <c r="C617" t="e">
        <f>#REF!</f>
        <v>#REF!</v>
      </c>
      <c r="D617" t="e">
        <f>#REF!</f>
        <v>#REF!</v>
      </c>
      <c r="E617" t="e">
        <f>#REF!</f>
        <v>#REF!</v>
      </c>
      <c r="F617" t="e">
        <f>#REF!</f>
        <v>#REF!</v>
      </c>
    </row>
    <row r="618" spans="1:6" x14ac:dyDescent="0.3">
      <c r="A618" t="e">
        <f>#REF!</f>
        <v>#REF!</v>
      </c>
      <c r="B618" t="e">
        <f>#REF!</f>
        <v>#REF!</v>
      </c>
      <c r="C618" t="e">
        <f>#REF!</f>
        <v>#REF!</v>
      </c>
      <c r="D618" t="e">
        <f>#REF!</f>
        <v>#REF!</v>
      </c>
      <c r="E618" t="e">
        <f>#REF!</f>
        <v>#REF!</v>
      </c>
      <c r="F618" t="e">
        <f>#REF!</f>
        <v>#REF!</v>
      </c>
    </row>
    <row r="619" spans="1:6" x14ac:dyDescent="0.3">
      <c r="A619" t="e">
        <f>#REF!</f>
        <v>#REF!</v>
      </c>
      <c r="B619" t="e">
        <f>#REF!</f>
        <v>#REF!</v>
      </c>
      <c r="C619" t="e">
        <f>#REF!</f>
        <v>#REF!</v>
      </c>
      <c r="D619" t="e">
        <f>#REF!</f>
        <v>#REF!</v>
      </c>
      <c r="E619" t="e">
        <f>#REF!</f>
        <v>#REF!</v>
      </c>
      <c r="F619" t="e">
        <f>#REF!</f>
        <v>#REF!</v>
      </c>
    </row>
    <row r="620" spans="1:6" x14ac:dyDescent="0.3">
      <c r="A620" t="e">
        <f>#REF!</f>
        <v>#REF!</v>
      </c>
      <c r="B620" t="e">
        <f>#REF!</f>
        <v>#REF!</v>
      </c>
      <c r="C620" t="e">
        <f>#REF!</f>
        <v>#REF!</v>
      </c>
      <c r="D620" t="e">
        <f>#REF!</f>
        <v>#REF!</v>
      </c>
      <c r="E620" t="e">
        <f>#REF!</f>
        <v>#REF!</v>
      </c>
      <c r="F620" t="e">
        <f>#REF!</f>
        <v>#REF!</v>
      </c>
    </row>
    <row r="621" spans="1:6" x14ac:dyDescent="0.3">
      <c r="A621" t="e">
        <f>#REF!</f>
        <v>#REF!</v>
      </c>
      <c r="B621" t="e">
        <f>#REF!</f>
        <v>#REF!</v>
      </c>
      <c r="C621" t="e">
        <f>#REF!</f>
        <v>#REF!</v>
      </c>
      <c r="D621" t="e">
        <f>#REF!</f>
        <v>#REF!</v>
      </c>
      <c r="E621" t="e">
        <f>#REF!</f>
        <v>#REF!</v>
      </c>
      <c r="F621" t="e">
        <f>#REF!</f>
        <v>#REF!</v>
      </c>
    </row>
    <row r="622" spans="1:6" x14ac:dyDescent="0.3">
      <c r="A622" t="e">
        <f>#REF!</f>
        <v>#REF!</v>
      </c>
      <c r="B622" t="e">
        <f>#REF!</f>
        <v>#REF!</v>
      </c>
      <c r="C622" t="e">
        <f>#REF!</f>
        <v>#REF!</v>
      </c>
      <c r="D622" t="e">
        <f>#REF!</f>
        <v>#REF!</v>
      </c>
      <c r="E622" t="e">
        <f>#REF!</f>
        <v>#REF!</v>
      </c>
      <c r="F622" t="e">
        <f>#REF!</f>
        <v>#REF!</v>
      </c>
    </row>
    <row r="623" spans="1:6" x14ac:dyDescent="0.3">
      <c r="A623" t="e">
        <f>#REF!</f>
        <v>#REF!</v>
      </c>
      <c r="B623" t="e">
        <f>#REF!</f>
        <v>#REF!</v>
      </c>
      <c r="C623" t="e">
        <f>#REF!</f>
        <v>#REF!</v>
      </c>
      <c r="D623" t="e">
        <f>#REF!</f>
        <v>#REF!</v>
      </c>
      <c r="E623" t="e">
        <f>#REF!</f>
        <v>#REF!</v>
      </c>
      <c r="F623" t="e">
        <f>#REF!</f>
        <v>#REF!</v>
      </c>
    </row>
    <row r="624" spans="1:6" x14ac:dyDescent="0.3">
      <c r="A624" t="e">
        <f>#REF!</f>
        <v>#REF!</v>
      </c>
      <c r="B624" t="e">
        <f>#REF!</f>
        <v>#REF!</v>
      </c>
      <c r="C624" t="e">
        <f>#REF!</f>
        <v>#REF!</v>
      </c>
      <c r="D624" t="e">
        <f>#REF!</f>
        <v>#REF!</v>
      </c>
      <c r="E624" t="e">
        <f>#REF!</f>
        <v>#REF!</v>
      </c>
      <c r="F624" t="e">
        <f>#REF!</f>
        <v>#REF!</v>
      </c>
    </row>
    <row r="625" spans="1:6" x14ac:dyDescent="0.3">
      <c r="A625" t="e">
        <f>#REF!</f>
        <v>#REF!</v>
      </c>
      <c r="B625" t="e">
        <f>#REF!</f>
        <v>#REF!</v>
      </c>
      <c r="C625" t="e">
        <f>#REF!</f>
        <v>#REF!</v>
      </c>
      <c r="D625" t="e">
        <f>#REF!</f>
        <v>#REF!</v>
      </c>
      <c r="E625" t="e">
        <f>#REF!</f>
        <v>#REF!</v>
      </c>
      <c r="F625" t="e">
        <f>#REF!</f>
        <v>#REF!</v>
      </c>
    </row>
    <row r="626" spans="1:6" x14ac:dyDescent="0.3">
      <c r="A626" t="e">
        <f>#REF!</f>
        <v>#REF!</v>
      </c>
      <c r="B626" t="e">
        <f>#REF!</f>
        <v>#REF!</v>
      </c>
      <c r="C626" t="e">
        <f>#REF!</f>
        <v>#REF!</v>
      </c>
      <c r="D626" t="e">
        <f>#REF!</f>
        <v>#REF!</v>
      </c>
      <c r="E626" t="e">
        <f>#REF!</f>
        <v>#REF!</v>
      </c>
      <c r="F626" t="e">
        <f>#REF!</f>
        <v>#REF!</v>
      </c>
    </row>
    <row r="627" spans="1:6" x14ac:dyDescent="0.3">
      <c r="A627" t="e">
        <f>#REF!</f>
        <v>#REF!</v>
      </c>
      <c r="B627" t="e">
        <f>#REF!</f>
        <v>#REF!</v>
      </c>
      <c r="C627" t="e">
        <f>#REF!</f>
        <v>#REF!</v>
      </c>
      <c r="D627" t="e">
        <f>#REF!</f>
        <v>#REF!</v>
      </c>
      <c r="E627" t="e">
        <f>#REF!</f>
        <v>#REF!</v>
      </c>
      <c r="F627" t="e">
        <f>#REF!</f>
        <v>#REF!</v>
      </c>
    </row>
    <row r="628" spans="1:6" x14ac:dyDescent="0.3">
      <c r="A628" t="e">
        <f>#REF!</f>
        <v>#REF!</v>
      </c>
      <c r="B628" t="e">
        <f>#REF!</f>
        <v>#REF!</v>
      </c>
      <c r="C628" t="e">
        <f>#REF!</f>
        <v>#REF!</v>
      </c>
      <c r="D628" t="e">
        <f>#REF!</f>
        <v>#REF!</v>
      </c>
      <c r="E628" t="e">
        <f>#REF!</f>
        <v>#REF!</v>
      </c>
      <c r="F628" t="e">
        <f>#REF!</f>
        <v>#REF!</v>
      </c>
    </row>
    <row r="629" spans="1:6" x14ac:dyDescent="0.3">
      <c r="A629" t="e">
        <f>#REF!</f>
        <v>#REF!</v>
      </c>
      <c r="B629" t="e">
        <f>#REF!</f>
        <v>#REF!</v>
      </c>
      <c r="C629" t="e">
        <f>#REF!</f>
        <v>#REF!</v>
      </c>
      <c r="D629" t="e">
        <f>#REF!</f>
        <v>#REF!</v>
      </c>
      <c r="E629" t="e">
        <f>#REF!</f>
        <v>#REF!</v>
      </c>
      <c r="F629" t="e">
        <f>#REF!</f>
        <v>#REF!</v>
      </c>
    </row>
    <row r="630" spans="1:6" x14ac:dyDescent="0.3">
      <c r="A630" t="e">
        <f>#REF!</f>
        <v>#REF!</v>
      </c>
      <c r="B630" t="e">
        <f>#REF!</f>
        <v>#REF!</v>
      </c>
      <c r="C630" t="e">
        <f>#REF!</f>
        <v>#REF!</v>
      </c>
      <c r="D630" t="e">
        <f>#REF!</f>
        <v>#REF!</v>
      </c>
      <c r="E630" t="e">
        <f>#REF!</f>
        <v>#REF!</v>
      </c>
      <c r="F630" t="e">
        <f>#REF!</f>
        <v>#REF!</v>
      </c>
    </row>
    <row r="631" spans="1:6" x14ac:dyDescent="0.3">
      <c r="A631" t="e">
        <f>#REF!</f>
        <v>#REF!</v>
      </c>
      <c r="B631" t="e">
        <f>#REF!</f>
        <v>#REF!</v>
      </c>
      <c r="C631" t="e">
        <f>#REF!</f>
        <v>#REF!</v>
      </c>
      <c r="D631" t="e">
        <f>#REF!</f>
        <v>#REF!</v>
      </c>
      <c r="E631" t="e">
        <f>#REF!</f>
        <v>#REF!</v>
      </c>
      <c r="F631" t="e">
        <f>#REF!</f>
        <v>#REF!</v>
      </c>
    </row>
    <row r="632" spans="1:6" x14ac:dyDescent="0.3">
      <c r="A632" t="e">
        <f>#REF!</f>
        <v>#REF!</v>
      </c>
      <c r="B632" t="e">
        <f>#REF!</f>
        <v>#REF!</v>
      </c>
      <c r="C632" t="e">
        <f>#REF!</f>
        <v>#REF!</v>
      </c>
      <c r="D632" t="e">
        <f>#REF!</f>
        <v>#REF!</v>
      </c>
      <c r="E632" t="e">
        <f>#REF!</f>
        <v>#REF!</v>
      </c>
      <c r="F632" t="e">
        <f>#REF!</f>
        <v>#REF!</v>
      </c>
    </row>
    <row r="633" spans="1:6" x14ac:dyDescent="0.3">
      <c r="A633" t="e">
        <f>#REF!</f>
        <v>#REF!</v>
      </c>
      <c r="B633" t="e">
        <f>#REF!</f>
        <v>#REF!</v>
      </c>
      <c r="C633" t="e">
        <f>#REF!</f>
        <v>#REF!</v>
      </c>
      <c r="D633" t="e">
        <f>#REF!</f>
        <v>#REF!</v>
      </c>
      <c r="E633" t="e">
        <f>#REF!</f>
        <v>#REF!</v>
      </c>
      <c r="F633" t="e">
        <f>#REF!</f>
        <v>#REF!</v>
      </c>
    </row>
    <row r="634" spans="1:6" x14ac:dyDescent="0.3">
      <c r="A634" t="e">
        <f>#REF!</f>
        <v>#REF!</v>
      </c>
      <c r="B634" t="e">
        <f>#REF!</f>
        <v>#REF!</v>
      </c>
      <c r="C634" t="e">
        <f>#REF!</f>
        <v>#REF!</v>
      </c>
      <c r="D634" t="e">
        <f>#REF!</f>
        <v>#REF!</v>
      </c>
      <c r="E634" t="e">
        <f>#REF!</f>
        <v>#REF!</v>
      </c>
      <c r="F634" t="e">
        <f>#REF!</f>
        <v>#REF!</v>
      </c>
    </row>
    <row r="635" spans="1:6" x14ac:dyDescent="0.3">
      <c r="A635" t="e">
        <f>#REF!</f>
        <v>#REF!</v>
      </c>
      <c r="B635" t="e">
        <f>#REF!</f>
        <v>#REF!</v>
      </c>
      <c r="C635" t="e">
        <f>#REF!</f>
        <v>#REF!</v>
      </c>
      <c r="D635" t="e">
        <f>#REF!</f>
        <v>#REF!</v>
      </c>
      <c r="E635" t="e">
        <f>#REF!</f>
        <v>#REF!</v>
      </c>
      <c r="F635" t="e">
        <f>#REF!</f>
        <v>#REF!</v>
      </c>
    </row>
    <row r="636" spans="1:6" x14ac:dyDescent="0.3">
      <c r="A636" t="e">
        <f>#REF!</f>
        <v>#REF!</v>
      </c>
      <c r="B636" t="e">
        <f>#REF!</f>
        <v>#REF!</v>
      </c>
      <c r="C636" t="e">
        <f>#REF!</f>
        <v>#REF!</v>
      </c>
      <c r="D636" t="e">
        <f>#REF!</f>
        <v>#REF!</v>
      </c>
      <c r="E636" t="e">
        <f>#REF!</f>
        <v>#REF!</v>
      </c>
      <c r="F636" t="e">
        <f>#REF!</f>
        <v>#REF!</v>
      </c>
    </row>
    <row r="637" spans="1:6" x14ac:dyDescent="0.3">
      <c r="A637" t="e">
        <f>#REF!</f>
        <v>#REF!</v>
      </c>
      <c r="B637" t="e">
        <f>#REF!</f>
        <v>#REF!</v>
      </c>
      <c r="C637" t="e">
        <f>#REF!</f>
        <v>#REF!</v>
      </c>
      <c r="D637" t="e">
        <f>#REF!</f>
        <v>#REF!</v>
      </c>
      <c r="E637" t="e">
        <f>#REF!</f>
        <v>#REF!</v>
      </c>
      <c r="F637" t="e">
        <f>#REF!</f>
        <v>#REF!</v>
      </c>
    </row>
    <row r="638" spans="1:6" x14ac:dyDescent="0.3">
      <c r="A638" t="e">
        <f>#REF!</f>
        <v>#REF!</v>
      </c>
      <c r="B638" t="e">
        <f>#REF!</f>
        <v>#REF!</v>
      </c>
      <c r="C638" t="e">
        <f>#REF!</f>
        <v>#REF!</v>
      </c>
      <c r="D638" t="e">
        <f>#REF!</f>
        <v>#REF!</v>
      </c>
      <c r="E638" t="e">
        <f>#REF!</f>
        <v>#REF!</v>
      </c>
      <c r="F638" t="e">
        <f>#REF!</f>
        <v>#REF!</v>
      </c>
    </row>
    <row r="639" spans="1:6" x14ac:dyDescent="0.3">
      <c r="A639" t="e">
        <f>#REF!</f>
        <v>#REF!</v>
      </c>
      <c r="B639" t="e">
        <f>#REF!</f>
        <v>#REF!</v>
      </c>
      <c r="C639" t="e">
        <f>#REF!</f>
        <v>#REF!</v>
      </c>
      <c r="D639" t="e">
        <f>#REF!</f>
        <v>#REF!</v>
      </c>
      <c r="E639" t="e">
        <f>#REF!</f>
        <v>#REF!</v>
      </c>
      <c r="F639" t="e">
        <f>#REF!</f>
        <v>#REF!</v>
      </c>
    </row>
    <row r="640" spans="1:6" x14ac:dyDescent="0.3">
      <c r="A640" t="e">
        <f>#REF!</f>
        <v>#REF!</v>
      </c>
      <c r="B640" t="e">
        <f>#REF!</f>
        <v>#REF!</v>
      </c>
      <c r="C640" t="e">
        <f>#REF!</f>
        <v>#REF!</v>
      </c>
      <c r="D640" t="e">
        <f>#REF!</f>
        <v>#REF!</v>
      </c>
      <c r="E640" t="e">
        <f>#REF!</f>
        <v>#REF!</v>
      </c>
      <c r="F640" t="e">
        <f>#REF!</f>
        <v>#REF!</v>
      </c>
    </row>
    <row r="641" spans="1:6" x14ac:dyDescent="0.3">
      <c r="A641" t="e">
        <f>#REF!</f>
        <v>#REF!</v>
      </c>
      <c r="B641" t="e">
        <f>#REF!</f>
        <v>#REF!</v>
      </c>
      <c r="C641" t="e">
        <f>#REF!</f>
        <v>#REF!</v>
      </c>
      <c r="D641" t="e">
        <f>#REF!</f>
        <v>#REF!</v>
      </c>
      <c r="E641" t="e">
        <f>#REF!</f>
        <v>#REF!</v>
      </c>
      <c r="F641" t="e">
        <f>#REF!</f>
        <v>#REF!</v>
      </c>
    </row>
    <row r="642" spans="1:6" x14ac:dyDescent="0.3">
      <c r="A642" t="e">
        <f>#REF!</f>
        <v>#REF!</v>
      </c>
      <c r="B642" t="e">
        <f>#REF!</f>
        <v>#REF!</v>
      </c>
      <c r="C642" t="e">
        <f>#REF!</f>
        <v>#REF!</v>
      </c>
      <c r="D642" t="e">
        <f>#REF!</f>
        <v>#REF!</v>
      </c>
      <c r="E642" t="e">
        <f>#REF!</f>
        <v>#REF!</v>
      </c>
      <c r="F642" t="e">
        <f>#REF!</f>
        <v>#REF!</v>
      </c>
    </row>
    <row r="643" spans="1:6" x14ac:dyDescent="0.3">
      <c r="A643" t="e">
        <f>#REF!</f>
        <v>#REF!</v>
      </c>
      <c r="B643" t="e">
        <f>#REF!</f>
        <v>#REF!</v>
      </c>
      <c r="C643" t="e">
        <f>#REF!</f>
        <v>#REF!</v>
      </c>
      <c r="D643" t="e">
        <f>#REF!</f>
        <v>#REF!</v>
      </c>
      <c r="E643" t="e">
        <f>#REF!</f>
        <v>#REF!</v>
      </c>
      <c r="F643" t="e">
        <f>#REF!</f>
        <v>#REF!</v>
      </c>
    </row>
    <row r="644" spans="1:6" x14ac:dyDescent="0.3">
      <c r="A644" t="e">
        <f>#REF!</f>
        <v>#REF!</v>
      </c>
      <c r="B644" t="e">
        <f>#REF!</f>
        <v>#REF!</v>
      </c>
      <c r="C644" t="e">
        <f>#REF!</f>
        <v>#REF!</v>
      </c>
      <c r="D644" t="e">
        <f>#REF!</f>
        <v>#REF!</v>
      </c>
      <c r="E644" t="e">
        <f>#REF!</f>
        <v>#REF!</v>
      </c>
      <c r="F644" t="e">
        <f>#REF!</f>
        <v>#REF!</v>
      </c>
    </row>
    <row r="645" spans="1:6" x14ac:dyDescent="0.3">
      <c r="A645" t="e">
        <f>#REF!</f>
        <v>#REF!</v>
      </c>
      <c r="B645" t="e">
        <f>#REF!</f>
        <v>#REF!</v>
      </c>
      <c r="C645" t="e">
        <f>#REF!</f>
        <v>#REF!</v>
      </c>
      <c r="D645" t="e">
        <f>#REF!</f>
        <v>#REF!</v>
      </c>
      <c r="E645" t="e">
        <f>#REF!</f>
        <v>#REF!</v>
      </c>
      <c r="F645" t="e">
        <f>#REF!</f>
        <v>#REF!</v>
      </c>
    </row>
    <row r="646" spans="1:6" x14ac:dyDescent="0.3">
      <c r="A646" t="e">
        <f>#REF!</f>
        <v>#REF!</v>
      </c>
      <c r="B646" t="e">
        <f>#REF!</f>
        <v>#REF!</v>
      </c>
      <c r="C646" t="e">
        <f>#REF!</f>
        <v>#REF!</v>
      </c>
      <c r="D646" t="e">
        <f>#REF!</f>
        <v>#REF!</v>
      </c>
      <c r="E646" t="e">
        <f>#REF!</f>
        <v>#REF!</v>
      </c>
      <c r="F646" t="e">
        <f>#REF!</f>
        <v>#REF!</v>
      </c>
    </row>
    <row r="647" spans="1:6" x14ac:dyDescent="0.3">
      <c r="A647" t="e">
        <f>#REF!</f>
        <v>#REF!</v>
      </c>
      <c r="B647" t="e">
        <f>#REF!</f>
        <v>#REF!</v>
      </c>
      <c r="C647" t="e">
        <f>#REF!</f>
        <v>#REF!</v>
      </c>
      <c r="D647" t="e">
        <f>#REF!</f>
        <v>#REF!</v>
      </c>
      <c r="E647" t="e">
        <f>#REF!</f>
        <v>#REF!</v>
      </c>
      <c r="F647" t="e">
        <f>#REF!</f>
        <v>#REF!</v>
      </c>
    </row>
    <row r="648" spans="1:6" x14ac:dyDescent="0.3">
      <c r="A648" t="e">
        <f>#REF!</f>
        <v>#REF!</v>
      </c>
      <c r="B648" t="e">
        <f>#REF!</f>
        <v>#REF!</v>
      </c>
      <c r="C648" t="e">
        <f>#REF!</f>
        <v>#REF!</v>
      </c>
      <c r="D648" t="e">
        <f>#REF!</f>
        <v>#REF!</v>
      </c>
      <c r="E648" t="e">
        <f>#REF!</f>
        <v>#REF!</v>
      </c>
      <c r="F648" t="e">
        <f>#REF!</f>
        <v>#REF!</v>
      </c>
    </row>
    <row r="649" spans="1:6" x14ac:dyDescent="0.3">
      <c r="A649" t="e">
        <f>#REF!</f>
        <v>#REF!</v>
      </c>
      <c r="B649" t="e">
        <f>#REF!</f>
        <v>#REF!</v>
      </c>
      <c r="C649" t="e">
        <f>#REF!</f>
        <v>#REF!</v>
      </c>
      <c r="D649" t="e">
        <f>#REF!</f>
        <v>#REF!</v>
      </c>
      <c r="E649" t="e">
        <f>#REF!</f>
        <v>#REF!</v>
      </c>
      <c r="F649" t="e">
        <f>#REF!</f>
        <v>#REF!</v>
      </c>
    </row>
    <row r="650" spans="1:6" x14ac:dyDescent="0.3">
      <c r="A650" t="e">
        <f>#REF!</f>
        <v>#REF!</v>
      </c>
      <c r="B650" t="e">
        <f>#REF!</f>
        <v>#REF!</v>
      </c>
      <c r="C650" t="e">
        <f>#REF!</f>
        <v>#REF!</v>
      </c>
      <c r="D650" t="e">
        <f>#REF!</f>
        <v>#REF!</v>
      </c>
      <c r="E650" t="e">
        <f>#REF!</f>
        <v>#REF!</v>
      </c>
      <c r="F650" t="e">
        <f>#REF!</f>
        <v>#REF!</v>
      </c>
    </row>
    <row r="651" spans="1:6" x14ac:dyDescent="0.3">
      <c r="A651" t="e">
        <f>#REF!</f>
        <v>#REF!</v>
      </c>
      <c r="B651" t="e">
        <f>#REF!</f>
        <v>#REF!</v>
      </c>
      <c r="C651" t="e">
        <f>#REF!</f>
        <v>#REF!</v>
      </c>
      <c r="D651" t="e">
        <f>#REF!</f>
        <v>#REF!</v>
      </c>
      <c r="E651" t="e">
        <f>#REF!</f>
        <v>#REF!</v>
      </c>
      <c r="F651" t="e">
        <f>#REF!</f>
        <v>#REF!</v>
      </c>
    </row>
    <row r="652" spans="1:6" x14ac:dyDescent="0.3">
      <c r="A652" t="e">
        <f>#REF!</f>
        <v>#REF!</v>
      </c>
      <c r="B652" t="e">
        <f>#REF!</f>
        <v>#REF!</v>
      </c>
      <c r="C652" t="e">
        <f>#REF!</f>
        <v>#REF!</v>
      </c>
      <c r="D652" t="e">
        <f>#REF!</f>
        <v>#REF!</v>
      </c>
      <c r="E652" t="e">
        <f>#REF!</f>
        <v>#REF!</v>
      </c>
      <c r="F652" t="e">
        <f>#REF!</f>
        <v>#REF!</v>
      </c>
    </row>
    <row r="653" spans="1:6" x14ac:dyDescent="0.3">
      <c r="A653" t="e">
        <f>#REF!</f>
        <v>#REF!</v>
      </c>
      <c r="B653" t="e">
        <f>#REF!</f>
        <v>#REF!</v>
      </c>
      <c r="C653" t="e">
        <f>#REF!</f>
        <v>#REF!</v>
      </c>
      <c r="D653" t="e">
        <f>#REF!</f>
        <v>#REF!</v>
      </c>
      <c r="E653" t="e">
        <f>#REF!</f>
        <v>#REF!</v>
      </c>
      <c r="F653" t="e">
        <f>#REF!</f>
        <v>#REF!</v>
      </c>
    </row>
    <row r="654" spans="1:6" x14ac:dyDescent="0.3">
      <c r="A654" t="e">
        <f>#REF!</f>
        <v>#REF!</v>
      </c>
      <c r="B654" t="e">
        <f>#REF!</f>
        <v>#REF!</v>
      </c>
      <c r="C654" t="e">
        <f>#REF!</f>
        <v>#REF!</v>
      </c>
      <c r="D654" t="e">
        <f>#REF!</f>
        <v>#REF!</v>
      </c>
      <c r="E654" t="e">
        <f>#REF!</f>
        <v>#REF!</v>
      </c>
      <c r="F654" t="e">
        <f>#REF!</f>
        <v>#REF!</v>
      </c>
    </row>
    <row r="655" spans="1:6" x14ac:dyDescent="0.3">
      <c r="A655" t="e">
        <f>#REF!</f>
        <v>#REF!</v>
      </c>
      <c r="B655" t="e">
        <f>#REF!</f>
        <v>#REF!</v>
      </c>
      <c r="C655" t="e">
        <f>#REF!</f>
        <v>#REF!</v>
      </c>
      <c r="D655" t="e">
        <f>#REF!</f>
        <v>#REF!</v>
      </c>
      <c r="E655" t="e">
        <f>#REF!</f>
        <v>#REF!</v>
      </c>
      <c r="F655" t="e">
        <f>#REF!</f>
        <v>#REF!</v>
      </c>
    </row>
    <row r="656" spans="1:6" x14ac:dyDescent="0.3">
      <c r="A656" t="e">
        <f>#REF!</f>
        <v>#REF!</v>
      </c>
      <c r="B656" t="e">
        <f>#REF!</f>
        <v>#REF!</v>
      </c>
      <c r="C656" t="e">
        <f>#REF!</f>
        <v>#REF!</v>
      </c>
      <c r="D656" t="e">
        <f>#REF!</f>
        <v>#REF!</v>
      </c>
      <c r="E656" t="e">
        <f>#REF!</f>
        <v>#REF!</v>
      </c>
      <c r="F656" t="e">
        <f>#REF!</f>
        <v>#REF!</v>
      </c>
    </row>
    <row r="657" spans="1:6" x14ac:dyDescent="0.3">
      <c r="A657" t="e">
        <f>#REF!</f>
        <v>#REF!</v>
      </c>
      <c r="B657" t="e">
        <f>#REF!</f>
        <v>#REF!</v>
      </c>
      <c r="C657" t="e">
        <f>#REF!</f>
        <v>#REF!</v>
      </c>
      <c r="D657" t="e">
        <f>#REF!</f>
        <v>#REF!</v>
      </c>
      <c r="E657" t="e">
        <f>#REF!</f>
        <v>#REF!</v>
      </c>
      <c r="F657" t="e">
        <f>#REF!</f>
        <v>#REF!</v>
      </c>
    </row>
    <row r="658" spans="1:6" x14ac:dyDescent="0.3">
      <c r="A658" t="e">
        <f>#REF!</f>
        <v>#REF!</v>
      </c>
      <c r="B658" t="e">
        <f>#REF!</f>
        <v>#REF!</v>
      </c>
      <c r="C658" t="e">
        <f>#REF!</f>
        <v>#REF!</v>
      </c>
      <c r="D658" t="e">
        <f>#REF!</f>
        <v>#REF!</v>
      </c>
      <c r="E658" t="e">
        <f>#REF!</f>
        <v>#REF!</v>
      </c>
      <c r="F658" t="e">
        <f>#REF!</f>
        <v>#REF!</v>
      </c>
    </row>
    <row r="659" spans="1:6" x14ac:dyDescent="0.3">
      <c r="A659" t="e">
        <f>#REF!</f>
        <v>#REF!</v>
      </c>
      <c r="B659" t="e">
        <f>#REF!</f>
        <v>#REF!</v>
      </c>
      <c r="C659" t="e">
        <f>#REF!</f>
        <v>#REF!</v>
      </c>
      <c r="D659" t="e">
        <f>#REF!</f>
        <v>#REF!</v>
      </c>
      <c r="E659" t="e">
        <f>#REF!</f>
        <v>#REF!</v>
      </c>
      <c r="F659" t="e">
        <f>#REF!</f>
        <v>#REF!</v>
      </c>
    </row>
    <row r="660" spans="1:6" x14ac:dyDescent="0.3">
      <c r="A660" t="e">
        <f>#REF!</f>
        <v>#REF!</v>
      </c>
      <c r="B660" t="e">
        <f>#REF!</f>
        <v>#REF!</v>
      </c>
      <c r="C660" t="e">
        <f>#REF!</f>
        <v>#REF!</v>
      </c>
      <c r="D660" t="e">
        <f>#REF!</f>
        <v>#REF!</v>
      </c>
      <c r="E660" t="e">
        <f>#REF!</f>
        <v>#REF!</v>
      </c>
      <c r="F660" t="e">
        <f>#REF!</f>
        <v>#REF!</v>
      </c>
    </row>
    <row r="661" spans="1:6" x14ac:dyDescent="0.3">
      <c r="A661" t="e">
        <f>#REF!</f>
        <v>#REF!</v>
      </c>
      <c r="B661" t="e">
        <f>#REF!</f>
        <v>#REF!</v>
      </c>
      <c r="C661" t="e">
        <f>#REF!</f>
        <v>#REF!</v>
      </c>
      <c r="D661" t="e">
        <f>#REF!</f>
        <v>#REF!</v>
      </c>
      <c r="E661" t="e">
        <f>#REF!</f>
        <v>#REF!</v>
      </c>
      <c r="F661" t="e">
        <f>#REF!</f>
        <v>#REF!</v>
      </c>
    </row>
    <row r="662" spans="1:6" x14ac:dyDescent="0.3">
      <c r="A662" t="e">
        <f>#REF!</f>
        <v>#REF!</v>
      </c>
      <c r="B662" t="e">
        <f>#REF!</f>
        <v>#REF!</v>
      </c>
      <c r="C662" t="e">
        <f>#REF!</f>
        <v>#REF!</v>
      </c>
      <c r="D662" t="e">
        <f>#REF!</f>
        <v>#REF!</v>
      </c>
      <c r="E662" t="e">
        <f>#REF!</f>
        <v>#REF!</v>
      </c>
      <c r="F662" t="e">
        <f>#REF!</f>
        <v>#REF!</v>
      </c>
    </row>
    <row r="663" spans="1:6" x14ac:dyDescent="0.3">
      <c r="A663" t="e">
        <f>#REF!</f>
        <v>#REF!</v>
      </c>
      <c r="B663" t="e">
        <f>#REF!</f>
        <v>#REF!</v>
      </c>
      <c r="C663" t="e">
        <f>#REF!</f>
        <v>#REF!</v>
      </c>
      <c r="D663" t="e">
        <f>#REF!</f>
        <v>#REF!</v>
      </c>
      <c r="E663" t="e">
        <f>#REF!</f>
        <v>#REF!</v>
      </c>
      <c r="F663" t="e">
        <f>#REF!</f>
        <v>#REF!</v>
      </c>
    </row>
    <row r="664" spans="1:6" x14ac:dyDescent="0.3">
      <c r="A664" t="e">
        <f>#REF!</f>
        <v>#REF!</v>
      </c>
      <c r="B664" t="e">
        <f>#REF!</f>
        <v>#REF!</v>
      </c>
      <c r="C664" t="e">
        <f>#REF!</f>
        <v>#REF!</v>
      </c>
      <c r="D664" t="e">
        <f>#REF!</f>
        <v>#REF!</v>
      </c>
      <c r="E664" t="e">
        <f>#REF!</f>
        <v>#REF!</v>
      </c>
      <c r="F664" t="e">
        <f>#REF!</f>
        <v>#REF!</v>
      </c>
    </row>
    <row r="665" spans="1:6" x14ac:dyDescent="0.3">
      <c r="A665" t="e">
        <f>#REF!</f>
        <v>#REF!</v>
      </c>
      <c r="B665" t="e">
        <f>#REF!</f>
        <v>#REF!</v>
      </c>
      <c r="C665" t="e">
        <f>#REF!</f>
        <v>#REF!</v>
      </c>
      <c r="D665" t="e">
        <f>#REF!</f>
        <v>#REF!</v>
      </c>
      <c r="E665" t="e">
        <f>#REF!</f>
        <v>#REF!</v>
      </c>
      <c r="F665" t="e">
        <f>#REF!</f>
        <v>#REF!</v>
      </c>
    </row>
    <row r="666" spans="1:6" x14ac:dyDescent="0.3">
      <c r="A666" t="e">
        <f>#REF!</f>
        <v>#REF!</v>
      </c>
      <c r="B666" t="e">
        <f>#REF!</f>
        <v>#REF!</v>
      </c>
      <c r="C666" t="e">
        <f>#REF!</f>
        <v>#REF!</v>
      </c>
      <c r="D666" t="e">
        <f>#REF!</f>
        <v>#REF!</v>
      </c>
      <c r="E666" t="e">
        <f>#REF!</f>
        <v>#REF!</v>
      </c>
      <c r="F666" t="e">
        <f>#REF!</f>
        <v>#REF!</v>
      </c>
    </row>
    <row r="667" spans="1:6" x14ac:dyDescent="0.3">
      <c r="A667" t="e">
        <f>#REF!</f>
        <v>#REF!</v>
      </c>
      <c r="B667" t="e">
        <f>#REF!</f>
        <v>#REF!</v>
      </c>
      <c r="C667" t="e">
        <f>#REF!</f>
        <v>#REF!</v>
      </c>
      <c r="D667" t="e">
        <f>#REF!</f>
        <v>#REF!</v>
      </c>
      <c r="E667" t="e">
        <f>#REF!</f>
        <v>#REF!</v>
      </c>
      <c r="F667" t="e">
        <f>#REF!</f>
        <v>#REF!</v>
      </c>
    </row>
    <row r="668" spans="1:6" x14ac:dyDescent="0.3">
      <c r="A668" t="e">
        <f>#REF!</f>
        <v>#REF!</v>
      </c>
      <c r="B668" t="e">
        <f>#REF!</f>
        <v>#REF!</v>
      </c>
      <c r="C668" t="e">
        <f>#REF!</f>
        <v>#REF!</v>
      </c>
      <c r="D668" t="e">
        <f>#REF!</f>
        <v>#REF!</v>
      </c>
      <c r="E668" t="e">
        <f>#REF!</f>
        <v>#REF!</v>
      </c>
      <c r="F668" t="e">
        <f>#REF!</f>
        <v>#REF!</v>
      </c>
    </row>
    <row r="669" spans="1:6" x14ac:dyDescent="0.3">
      <c r="A669" t="e">
        <f>#REF!</f>
        <v>#REF!</v>
      </c>
      <c r="B669" t="e">
        <f>#REF!</f>
        <v>#REF!</v>
      </c>
      <c r="C669" t="e">
        <f>#REF!</f>
        <v>#REF!</v>
      </c>
      <c r="D669" t="e">
        <f>#REF!</f>
        <v>#REF!</v>
      </c>
      <c r="E669" t="e">
        <f>#REF!</f>
        <v>#REF!</v>
      </c>
      <c r="F669" t="e">
        <f>#REF!</f>
        <v>#REF!</v>
      </c>
    </row>
    <row r="670" spans="1:6" x14ac:dyDescent="0.3">
      <c r="A670" t="e">
        <f>#REF!</f>
        <v>#REF!</v>
      </c>
      <c r="B670" t="e">
        <f>#REF!</f>
        <v>#REF!</v>
      </c>
      <c r="C670" t="e">
        <f>#REF!</f>
        <v>#REF!</v>
      </c>
      <c r="D670" t="e">
        <f>#REF!</f>
        <v>#REF!</v>
      </c>
      <c r="E670" t="e">
        <f>#REF!</f>
        <v>#REF!</v>
      </c>
      <c r="F670" t="e">
        <f>#REF!</f>
        <v>#REF!</v>
      </c>
    </row>
    <row r="671" spans="1:6" x14ac:dyDescent="0.3">
      <c r="A671" t="e">
        <f>#REF!</f>
        <v>#REF!</v>
      </c>
      <c r="B671" t="e">
        <f>#REF!</f>
        <v>#REF!</v>
      </c>
      <c r="C671" t="e">
        <f>#REF!</f>
        <v>#REF!</v>
      </c>
      <c r="D671" t="e">
        <f>#REF!</f>
        <v>#REF!</v>
      </c>
      <c r="E671" t="e">
        <f>#REF!</f>
        <v>#REF!</v>
      </c>
      <c r="F671" t="e">
        <f>#REF!</f>
        <v>#REF!</v>
      </c>
    </row>
    <row r="672" spans="1:6" x14ac:dyDescent="0.3">
      <c r="A672" t="e">
        <f>#REF!</f>
        <v>#REF!</v>
      </c>
      <c r="B672" t="e">
        <f>#REF!</f>
        <v>#REF!</v>
      </c>
      <c r="C672" t="e">
        <f>#REF!</f>
        <v>#REF!</v>
      </c>
      <c r="D672" t="e">
        <f>#REF!</f>
        <v>#REF!</v>
      </c>
      <c r="E672" t="e">
        <f>#REF!</f>
        <v>#REF!</v>
      </c>
      <c r="F672" t="e">
        <f>#REF!</f>
        <v>#REF!</v>
      </c>
    </row>
    <row r="673" spans="1:6" x14ac:dyDescent="0.3">
      <c r="A673" t="e">
        <f>#REF!</f>
        <v>#REF!</v>
      </c>
      <c r="B673" t="e">
        <f>#REF!</f>
        <v>#REF!</v>
      </c>
      <c r="C673" t="e">
        <f>#REF!</f>
        <v>#REF!</v>
      </c>
      <c r="D673" t="e">
        <f>#REF!</f>
        <v>#REF!</v>
      </c>
      <c r="E673" t="e">
        <f>#REF!</f>
        <v>#REF!</v>
      </c>
      <c r="F673" t="e">
        <f>#REF!</f>
        <v>#REF!</v>
      </c>
    </row>
    <row r="674" spans="1:6" x14ac:dyDescent="0.3">
      <c r="A674" t="e">
        <f>#REF!</f>
        <v>#REF!</v>
      </c>
      <c r="B674" t="e">
        <f>#REF!</f>
        <v>#REF!</v>
      </c>
      <c r="C674" t="e">
        <f>#REF!</f>
        <v>#REF!</v>
      </c>
      <c r="D674" t="e">
        <f>#REF!</f>
        <v>#REF!</v>
      </c>
      <c r="E674" t="e">
        <f>#REF!</f>
        <v>#REF!</v>
      </c>
      <c r="F674" t="e">
        <f>#REF!</f>
        <v>#REF!</v>
      </c>
    </row>
    <row r="675" spans="1:6" x14ac:dyDescent="0.3">
      <c r="A675" t="e">
        <f>#REF!</f>
        <v>#REF!</v>
      </c>
      <c r="B675" t="e">
        <f>#REF!</f>
        <v>#REF!</v>
      </c>
      <c r="C675" t="e">
        <f>#REF!</f>
        <v>#REF!</v>
      </c>
      <c r="D675" t="e">
        <f>#REF!</f>
        <v>#REF!</v>
      </c>
      <c r="E675" t="e">
        <f>#REF!</f>
        <v>#REF!</v>
      </c>
      <c r="F675" t="e">
        <f>#REF!</f>
        <v>#REF!</v>
      </c>
    </row>
    <row r="676" spans="1:6" x14ac:dyDescent="0.3">
      <c r="A676" t="e">
        <f>#REF!</f>
        <v>#REF!</v>
      </c>
      <c r="B676" t="e">
        <f>#REF!</f>
        <v>#REF!</v>
      </c>
      <c r="C676" t="e">
        <f>#REF!</f>
        <v>#REF!</v>
      </c>
      <c r="D676" t="e">
        <f>#REF!</f>
        <v>#REF!</v>
      </c>
      <c r="E676" t="e">
        <f>#REF!</f>
        <v>#REF!</v>
      </c>
      <c r="F676" t="e">
        <f>#REF!</f>
        <v>#REF!</v>
      </c>
    </row>
    <row r="677" spans="1:6" x14ac:dyDescent="0.3">
      <c r="A677" t="e">
        <f>#REF!</f>
        <v>#REF!</v>
      </c>
      <c r="B677" t="e">
        <f>#REF!</f>
        <v>#REF!</v>
      </c>
      <c r="C677" t="e">
        <f>#REF!</f>
        <v>#REF!</v>
      </c>
      <c r="D677" t="e">
        <f>#REF!</f>
        <v>#REF!</v>
      </c>
      <c r="E677" t="e">
        <f>#REF!</f>
        <v>#REF!</v>
      </c>
      <c r="F677" t="e">
        <f>#REF!</f>
        <v>#REF!</v>
      </c>
    </row>
    <row r="678" spans="1:6" x14ac:dyDescent="0.3">
      <c r="A678" t="e">
        <f>#REF!</f>
        <v>#REF!</v>
      </c>
      <c r="B678" t="e">
        <f>#REF!</f>
        <v>#REF!</v>
      </c>
      <c r="C678" t="e">
        <f>#REF!</f>
        <v>#REF!</v>
      </c>
      <c r="D678" t="e">
        <f>#REF!</f>
        <v>#REF!</v>
      </c>
      <c r="E678" t="e">
        <f>#REF!</f>
        <v>#REF!</v>
      </c>
      <c r="F678" t="e">
        <f>#REF!</f>
        <v>#REF!</v>
      </c>
    </row>
    <row r="679" spans="1:6" x14ac:dyDescent="0.3">
      <c r="A679" t="e">
        <f>#REF!</f>
        <v>#REF!</v>
      </c>
      <c r="B679" t="e">
        <f>#REF!</f>
        <v>#REF!</v>
      </c>
      <c r="C679" t="e">
        <f>#REF!</f>
        <v>#REF!</v>
      </c>
      <c r="D679" t="e">
        <f>#REF!</f>
        <v>#REF!</v>
      </c>
      <c r="E679" t="e">
        <f>#REF!</f>
        <v>#REF!</v>
      </c>
      <c r="F679" t="e">
        <f>#REF!</f>
        <v>#REF!</v>
      </c>
    </row>
    <row r="680" spans="1:6" x14ac:dyDescent="0.3">
      <c r="A680" t="e">
        <f>#REF!</f>
        <v>#REF!</v>
      </c>
      <c r="B680" t="e">
        <f>#REF!</f>
        <v>#REF!</v>
      </c>
      <c r="C680" t="e">
        <f>#REF!</f>
        <v>#REF!</v>
      </c>
      <c r="D680" t="e">
        <f>#REF!</f>
        <v>#REF!</v>
      </c>
      <c r="E680" t="e">
        <f>#REF!</f>
        <v>#REF!</v>
      </c>
      <c r="F680" t="e">
        <f>#REF!</f>
        <v>#REF!</v>
      </c>
    </row>
    <row r="681" spans="1:6" x14ac:dyDescent="0.3">
      <c r="A681" t="e">
        <f>#REF!</f>
        <v>#REF!</v>
      </c>
      <c r="B681" t="e">
        <f>#REF!</f>
        <v>#REF!</v>
      </c>
      <c r="C681" t="e">
        <f>#REF!</f>
        <v>#REF!</v>
      </c>
      <c r="D681" t="e">
        <f>#REF!</f>
        <v>#REF!</v>
      </c>
      <c r="E681" t="e">
        <f>#REF!</f>
        <v>#REF!</v>
      </c>
      <c r="F681" t="e">
        <f>#REF!</f>
        <v>#REF!</v>
      </c>
    </row>
    <row r="682" spans="1:6" x14ac:dyDescent="0.3">
      <c r="A682" t="e">
        <f>#REF!</f>
        <v>#REF!</v>
      </c>
      <c r="B682" t="e">
        <f>#REF!</f>
        <v>#REF!</v>
      </c>
      <c r="C682" t="e">
        <f>#REF!</f>
        <v>#REF!</v>
      </c>
      <c r="D682" t="e">
        <f>#REF!</f>
        <v>#REF!</v>
      </c>
      <c r="E682" t="e">
        <f>#REF!</f>
        <v>#REF!</v>
      </c>
      <c r="F682" t="e">
        <f>#REF!</f>
        <v>#REF!</v>
      </c>
    </row>
    <row r="683" spans="1:6" x14ac:dyDescent="0.3">
      <c r="A683" t="e">
        <f>#REF!</f>
        <v>#REF!</v>
      </c>
      <c r="B683" t="e">
        <f>#REF!</f>
        <v>#REF!</v>
      </c>
      <c r="C683" t="e">
        <f>#REF!</f>
        <v>#REF!</v>
      </c>
      <c r="D683" t="e">
        <f>#REF!</f>
        <v>#REF!</v>
      </c>
      <c r="E683" t="e">
        <f>#REF!</f>
        <v>#REF!</v>
      </c>
      <c r="F683" t="e">
        <f>#REF!</f>
        <v>#REF!</v>
      </c>
    </row>
    <row r="684" spans="1:6" x14ac:dyDescent="0.3">
      <c r="A684" t="e">
        <f>#REF!</f>
        <v>#REF!</v>
      </c>
      <c r="B684" t="e">
        <f>#REF!</f>
        <v>#REF!</v>
      </c>
      <c r="C684" t="e">
        <f>#REF!</f>
        <v>#REF!</v>
      </c>
      <c r="D684" t="e">
        <f>#REF!</f>
        <v>#REF!</v>
      </c>
      <c r="E684" t="e">
        <f>#REF!</f>
        <v>#REF!</v>
      </c>
      <c r="F684" t="e">
        <f>#REF!</f>
        <v>#REF!</v>
      </c>
    </row>
    <row r="685" spans="1:6" x14ac:dyDescent="0.3">
      <c r="A685" t="e">
        <f>#REF!</f>
        <v>#REF!</v>
      </c>
      <c r="B685" t="e">
        <f>#REF!</f>
        <v>#REF!</v>
      </c>
      <c r="C685" t="e">
        <f>#REF!</f>
        <v>#REF!</v>
      </c>
      <c r="D685" t="e">
        <f>#REF!</f>
        <v>#REF!</v>
      </c>
      <c r="E685" t="e">
        <f>#REF!</f>
        <v>#REF!</v>
      </c>
      <c r="F685" t="e">
        <f>#REF!</f>
        <v>#REF!</v>
      </c>
    </row>
    <row r="686" spans="1:6" x14ac:dyDescent="0.3">
      <c r="A686" t="e">
        <f>#REF!</f>
        <v>#REF!</v>
      </c>
      <c r="B686" t="e">
        <f>#REF!</f>
        <v>#REF!</v>
      </c>
      <c r="C686" t="e">
        <f>#REF!</f>
        <v>#REF!</v>
      </c>
      <c r="D686" t="e">
        <f>#REF!</f>
        <v>#REF!</v>
      </c>
      <c r="E686" t="e">
        <f>#REF!</f>
        <v>#REF!</v>
      </c>
      <c r="F686" t="e">
        <f>#REF!</f>
        <v>#REF!</v>
      </c>
    </row>
    <row r="687" spans="1:6" x14ac:dyDescent="0.3">
      <c r="A687" t="e">
        <f>#REF!</f>
        <v>#REF!</v>
      </c>
      <c r="B687" t="e">
        <f>#REF!</f>
        <v>#REF!</v>
      </c>
      <c r="C687" t="e">
        <f>#REF!</f>
        <v>#REF!</v>
      </c>
      <c r="D687" t="e">
        <f>#REF!</f>
        <v>#REF!</v>
      </c>
      <c r="E687" t="e">
        <f>#REF!</f>
        <v>#REF!</v>
      </c>
      <c r="F687" t="e">
        <f>#REF!</f>
        <v>#REF!</v>
      </c>
    </row>
    <row r="688" spans="1:6" x14ac:dyDescent="0.3">
      <c r="A688" t="e">
        <f>#REF!</f>
        <v>#REF!</v>
      </c>
      <c r="B688" t="e">
        <f>#REF!</f>
        <v>#REF!</v>
      </c>
      <c r="C688" t="e">
        <f>#REF!</f>
        <v>#REF!</v>
      </c>
      <c r="D688" t="e">
        <f>#REF!</f>
        <v>#REF!</v>
      </c>
      <c r="E688" t="e">
        <f>#REF!</f>
        <v>#REF!</v>
      </c>
      <c r="F688" t="e">
        <f>#REF!</f>
        <v>#REF!</v>
      </c>
    </row>
    <row r="689" spans="1:6" x14ac:dyDescent="0.3">
      <c r="A689" t="e">
        <f>#REF!</f>
        <v>#REF!</v>
      </c>
      <c r="B689" t="e">
        <f>#REF!</f>
        <v>#REF!</v>
      </c>
      <c r="C689" t="e">
        <f>#REF!</f>
        <v>#REF!</v>
      </c>
      <c r="D689" t="e">
        <f>#REF!</f>
        <v>#REF!</v>
      </c>
      <c r="E689" t="e">
        <f>#REF!</f>
        <v>#REF!</v>
      </c>
      <c r="F689" t="e">
        <f>#REF!</f>
        <v>#REF!</v>
      </c>
    </row>
    <row r="690" spans="1:6" x14ac:dyDescent="0.3">
      <c r="A690" t="e">
        <f>#REF!</f>
        <v>#REF!</v>
      </c>
      <c r="B690" t="e">
        <f>#REF!</f>
        <v>#REF!</v>
      </c>
      <c r="C690" t="e">
        <f>#REF!</f>
        <v>#REF!</v>
      </c>
      <c r="D690" t="e">
        <f>#REF!</f>
        <v>#REF!</v>
      </c>
      <c r="E690" t="e">
        <f>#REF!</f>
        <v>#REF!</v>
      </c>
      <c r="F690" t="e">
        <f>#REF!</f>
        <v>#REF!</v>
      </c>
    </row>
    <row r="691" spans="1:6" x14ac:dyDescent="0.3">
      <c r="A691" t="e">
        <f>#REF!</f>
        <v>#REF!</v>
      </c>
      <c r="B691" t="e">
        <f>#REF!</f>
        <v>#REF!</v>
      </c>
      <c r="C691" t="e">
        <f>#REF!</f>
        <v>#REF!</v>
      </c>
      <c r="D691" t="e">
        <f>#REF!</f>
        <v>#REF!</v>
      </c>
      <c r="E691" t="e">
        <f>#REF!</f>
        <v>#REF!</v>
      </c>
      <c r="F691" t="e">
        <f>#REF!</f>
        <v>#REF!</v>
      </c>
    </row>
    <row r="692" spans="1:6" x14ac:dyDescent="0.3">
      <c r="A692" t="e">
        <f>#REF!</f>
        <v>#REF!</v>
      </c>
      <c r="B692" t="e">
        <f>#REF!</f>
        <v>#REF!</v>
      </c>
      <c r="C692" t="e">
        <f>#REF!</f>
        <v>#REF!</v>
      </c>
      <c r="D692" t="e">
        <f>#REF!</f>
        <v>#REF!</v>
      </c>
      <c r="E692" t="e">
        <f>#REF!</f>
        <v>#REF!</v>
      </c>
      <c r="F692" t="e">
        <f>#REF!</f>
        <v>#REF!</v>
      </c>
    </row>
    <row r="693" spans="1:6" x14ac:dyDescent="0.3">
      <c r="A693" t="e">
        <f>#REF!</f>
        <v>#REF!</v>
      </c>
      <c r="B693" t="e">
        <f>#REF!</f>
        <v>#REF!</v>
      </c>
      <c r="C693" t="e">
        <f>#REF!</f>
        <v>#REF!</v>
      </c>
      <c r="D693" t="e">
        <f>#REF!</f>
        <v>#REF!</v>
      </c>
      <c r="E693" t="e">
        <f>#REF!</f>
        <v>#REF!</v>
      </c>
      <c r="F693" t="e">
        <f>#REF!</f>
        <v>#REF!</v>
      </c>
    </row>
    <row r="694" spans="1:6" x14ac:dyDescent="0.3">
      <c r="A694" t="e">
        <f>#REF!</f>
        <v>#REF!</v>
      </c>
      <c r="B694" t="e">
        <f>#REF!</f>
        <v>#REF!</v>
      </c>
      <c r="C694" t="e">
        <f>#REF!</f>
        <v>#REF!</v>
      </c>
      <c r="D694" t="e">
        <f>#REF!</f>
        <v>#REF!</v>
      </c>
      <c r="E694" t="e">
        <f>#REF!</f>
        <v>#REF!</v>
      </c>
      <c r="F694" t="e">
        <f>#REF!</f>
        <v>#REF!</v>
      </c>
    </row>
    <row r="695" spans="1:6" x14ac:dyDescent="0.3">
      <c r="A695" t="e">
        <f>#REF!</f>
        <v>#REF!</v>
      </c>
      <c r="B695" t="e">
        <f>#REF!</f>
        <v>#REF!</v>
      </c>
      <c r="C695" t="e">
        <f>#REF!</f>
        <v>#REF!</v>
      </c>
      <c r="D695" t="e">
        <f>#REF!</f>
        <v>#REF!</v>
      </c>
      <c r="E695" t="e">
        <f>#REF!</f>
        <v>#REF!</v>
      </c>
      <c r="F695" t="e">
        <f>#REF!</f>
        <v>#REF!</v>
      </c>
    </row>
    <row r="696" spans="1:6" x14ac:dyDescent="0.3">
      <c r="A696" t="e">
        <f>#REF!</f>
        <v>#REF!</v>
      </c>
      <c r="B696" t="e">
        <f>#REF!</f>
        <v>#REF!</v>
      </c>
      <c r="C696" t="e">
        <f>#REF!</f>
        <v>#REF!</v>
      </c>
      <c r="D696" t="e">
        <f>#REF!</f>
        <v>#REF!</v>
      </c>
      <c r="E696" t="e">
        <f>#REF!</f>
        <v>#REF!</v>
      </c>
      <c r="F696" t="e">
        <f>#REF!</f>
        <v>#REF!</v>
      </c>
    </row>
    <row r="697" spans="1:6" x14ac:dyDescent="0.3">
      <c r="A697" t="e">
        <f>#REF!</f>
        <v>#REF!</v>
      </c>
      <c r="B697" t="e">
        <f>#REF!</f>
        <v>#REF!</v>
      </c>
      <c r="C697" t="e">
        <f>#REF!</f>
        <v>#REF!</v>
      </c>
      <c r="D697" t="e">
        <f>#REF!</f>
        <v>#REF!</v>
      </c>
      <c r="E697" t="e">
        <f>#REF!</f>
        <v>#REF!</v>
      </c>
      <c r="F697" t="e">
        <f>#REF!</f>
        <v>#REF!</v>
      </c>
    </row>
    <row r="698" spans="1:6" x14ac:dyDescent="0.3">
      <c r="A698" t="e">
        <f>#REF!</f>
        <v>#REF!</v>
      </c>
      <c r="B698" t="e">
        <f>#REF!</f>
        <v>#REF!</v>
      </c>
      <c r="C698" t="e">
        <f>#REF!</f>
        <v>#REF!</v>
      </c>
      <c r="D698" t="e">
        <f>#REF!</f>
        <v>#REF!</v>
      </c>
      <c r="E698" t="e">
        <f>#REF!</f>
        <v>#REF!</v>
      </c>
      <c r="F698" t="e">
        <f>#REF!</f>
        <v>#REF!</v>
      </c>
    </row>
    <row r="699" spans="1:6" x14ac:dyDescent="0.3">
      <c r="A699" t="e">
        <f>#REF!</f>
        <v>#REF!</v>
      </c>
      <c r="B699" t="e">
        <f>#REF!</f>
        <v>#REF!</v>
      </c>
      <c r="C699" t="e">
        <f>#REF!</f>
        <v>#REF!</v>
      </c>
      <c r="D699" t="e">
        <f>#REF!</f>
        <v>#REF!</v>
      </c>
      <c r="E699" t="e">
        <f>#REF!</f>
        <v>#REF!</v>
      </c>
      <c r="F699" t="e">
        <f>#REF!</f>
        <v>#REF!</v>
      </c>
    </row>
    <row r="700" spans="1:6" x14ac:dyDescent="0.3">
      <c r="A700" t="e">
        <f>#REF!</f>
        <v>#REF!</v>
      </c>
      <c r="B700" t="e">
        <f>#REF!</f>
        <v>#REF!</v>
      </c>
      <c r="C700" t="e">
        <f>#REF!</f>
        <v>#REF!</v>
      </c>
      <c r="D700" t="e">
        <f>#REF!</f>
        <v>#REF!</v>
      </c>
      <c r="E700" t="e">
        <f>#REF!</f>
        <v>#REF!</v>
      </c>
      <c r="F700" t="e">
        <f>#REF!</f>
        <v>#REF!</v>
      </c>
    </row>
    <row r="701" spans="1:6" x14ac:dyDescent="0.3">
      <c r="A701" t="e">
        <f>#REF!</f>
        <v>#REF!</v>
      </c>
      <c r="B701" t="e">
        <f>#REF!</f>
        <v>#REF!</v>
      </c>
      <c r="C701" t="e">
        <f>#REF!</f>
        <v>#REF!</v>
      </c>
      <c r="D701" t="e">
        <f>#REF!</f>
        <v>#REF!</v>
      </c>
      <c r="E701" t="e">
        <f>#REF!</f>
        <v>#REF!</v>
      </c>
      <c r="F701" t="e">
        <f>#REF!</f>
        <v>#REF!</v>
      </c>
    </row>
    <row r="702" spans="1:6" x14ac:dyDescent="0.3">
      <c r="A702" t="e">
        <f>#REF!</f>
        <v>#REF!</v>
      </c>
      <c r="B702" t="e">
        <f>#REF!</f>
        <v>#REF!</v>
      </c>
      <c r="C702" t="e">
        <f>#REF!</f>
        <v>#REF!</v>
      </c>
      <c r="D702" t="e">
        <f>#REF!</f>
        <v>#REF!</v>
      </c>
      <c r="E702" t="e">
        <f>#REF!</f>
        <v>#REF!</v>
      </c>
      <c r="F702" t="e">
        <f>#REF!</f>
        <v>#REF!</v>
      </c>
    </row>
    <row r="703" spans="1:6" x14ac:dyDescent="0.3">
      <c r="A703" t="e">
        <f>#REF!</f>
        <v>#REF!</v>
      </c>
      <c r="B703" t="e">
        <f>#REF!</f>
        <v>#REF!</v>
      </c>
      <c r="C703" t="e">
        <f>#REF!</f>
        <v>#REF!</v>
      </c>
      <c r="D703" t="e">
        <f>#REF!</f>
        <v>#REF!</v>
      </c>
      <c r="E703" t="e">
        <f>#REF!</f>
        <v>#REF!</v>
      </c>
      <c r="F703" t="e">
        <f>#REF!</f>
        <v>#REF!</v>
      </c>
    </row>
    <row r="704" spans="1:6" x14ac:dyDescent="0.3">
      <c r="A704" t="e">
        <f>#REF!</f>
        <v>#REF!</v>
      </c>
      <c r="B704" t="e">
        <f>#REF!</f>
        <v>#REF!</v>
      </c>
      <c r="C704" t="e">
        <f>#REF!</f>
        <v>#REF!</v>
      </c>
      <c r="D704" t="e">
        <f>#REF!</f>
        <v>#REF!</v>
      </c>
      <c r="E704" t="e">
        <f>#REF!</f>
        <v>#REF!</v>
      </c>
      <c r="F704" t="e">
        <f>#REF!</f>
        <v>#REF!</v>
      </c>
    </row>
    <row r="705" spans="1:6" x14ac:dyDescent="0.3">
      <c r="A705" t="e">
        <f>#REF!</f>
        <v>#REF!</v>
      </c>
      <c r="B705" t="e">
        <f>#REF!</f>
        <v>#REF!</v>
      </c>
      <c r="C705" t="e">
        <f>#REF!</f>
        <v>#REF!</v>
      </c>
      <c r="D705" t="e">
        <f>#REF!</f>
        <v>#REF!</v>
      </c>
      <c r="E705" t="e">
        <f>#REF!</f>
        <v>#REF!</v>
      </c>
      <c r="F705" t="e">
        <f>#REF!</f>
        <v>#REF!</v>
      </c>
    </row>
    <row r="706" spans="1:6" x14ac:dyDescent="0.3">
      <c r="A706" t="e">
        <f>#REF!</f>
        <v>#REF!</v>
      </c>
      <c r="B706" t="e">
        <f>#REF!</f>
        <v>#REF!</v>
      </c>
      <c r="C706" t="e">
        <f>#REF!</f>
        <v>#REF!</v>
      </c>
      <c r="D706" t="e">
        <f>#REF!</f>
        <v>#REF!</v>
      </c>
      <c r="E706" t="e">
        <f>#REF!</f>
        <v>#REF!</v>
      </c>
      <c r="F706" t="e">
        <f>#REF!</f>
        <v>#REF!</v>
      </c>
    </row>
    <row r="707" spans="1:6" x14ac:dyDescent="0.3">
      <c r="A707" t="e">
        <f>#REF!</f>
        <v>#REF!</v>
      </c>
      <c r="B707" t="e">
        <f>#REF!</f>
        <v>#REF!</v>
      </c>
      <c r="C707" t="e">
        <f>#REF!</f>
        <v>#REF!</v>
      </c>
      <c r="D707" t="e">
        <f>#REF!</f>
        <v>#REF!</v>
      </c>
      <c r="E707" t="e">
        <f>#REF!</f>
        <v>#REF!</v>
      </c>
      <c r="F707" t="e">
        <f>#REF!</f>
        <v>#REF!</v>
      </c>
    </row>
    <row r="708" spans="1:6" x14ac:dyDescent="0.3">
      <c r="A708" t="e">
        <f>#REF!</f>
        <v>#REF!</v>
      </c>
      <c r="B708" t="e">
        <f>#REF!</f>
        <v>#REF!</v>
      </c>
      <c r="C708" t="e">
        <f>#REF!</f>
        <v>#REF!</v>
      </c>
      <c r="D708" t="e">
        <f>#REF!</f>
        <v>#REF!</v>
      </c>
      <c r="E708" t="e">
        <f>#REF!</f>
        <v>#REF!</v>
      </c>
      <c r="F708" t="e">
        <f>#REF!</f>
        <v>#REF!</v>
      </c>
    </row>
    <row r="709" spans="1:6" x14ac:dyDescent="0.3">
      <c r="A709" t="e">
        <f>#REF!</f>
        <v>#REF!</v>
      </c>
      <c r="B709" t="e">
        <f>#REF!</f>
        <v>#REF!</v>
      </c>
      <c r="C709" t="e">
        <f>#REF!</f>
        <v>#REF!</v>
      </c>
      <c r="D709" t="e">
        <f>#REF!</f>
        <v>#REF!</v>
      </c>
      <c r="E709" t="e">
        <f>#REF!</f>
        <v>#REF!</v>
      </c>
      <c r="F709" t="e">
        <f>#REF!</f>
        <v>#REF!</v>
      </c>
    </row>
    <row r="710" spans="1:6" x14ac:dyDescent="0.3">
      <c r="A710" t="e">
        <f>#REF!</f>
        <v>#REF!</v>
      </c>
      <c r="B710" t="e">
        <f>#REF!</f>
        <v>#REF!</v>
      </c>
      <c r="C710" t="e">
        <f>#REF!</f>
        <v>#REF!</v>
      </c>
      <c r="D710" t="e">
        <f>#REF!</f>
        <v>#REF!</v>
      </c>
      <c r="E710" t="e">
        <f>#REF!</f>
        <v>#REF!</v>
      </c>
      <c r="F710" t="e">
        <f>#REF!</f>
        <v>#REF!</v>
      </c>
    </row>
    <row r="711" spans="1:6" x14ac:dyDescent="0.3">
      <c r="A711" t="e">
        <f>#REF!</f>
        <v>#REF!</v>
      </c>
      <c r="B711" t="e">
        <f>#REF!</f>
        <v>#REF!</v>
      </c>
      <c r="C711" t="e">
        <f>#REF!</f>
        <v>#REF!</v>
      </c>
      <c r="D711" t="e">
        <f>#REF!</f>
        <v>#REF!</v>
      </c>
      <c r="E711" t="e">
        <f>#REF!</f>
        <v>#REF!</v>
      </c>
      <c r="F711" t="e">
        <f>#REF!</f>
        <v>#REF!</v>
      </c>
    </row>
    <row r="712" spans="1:6" x14ac:dyDescent="0.3">
      <c r="A712" t="e">
        <f>#REF!</f>
        <v>#REF!</v>
      </c>
      <c r="B712" t="e">
        <f>#REF!</f>
        <v>#REF!</v>
      </c>
      <c r="C712" t="e">
        <f>#REF!</f>
        <v>#REF!</v>
      </c>
      <c r="D712" t="e">
        <f>#REF!</f>
        <v>#REF!</v>
      </c>
      <c r="E712" t="e">
        <f>#REF!</f>
        <v>#REF!</v>
      </c>
      <c r="F712" t="e">
        <f>#REF!</f>
        <v>#REF!</v>
      </c>
    </row>
    <row r="713" spans="1:6" x14ac:dyDescent="0.3">
      <c r="A713" t="e">
        <f>#REF!</f>
        <v>#REF!</v>
      </c>
      <c r="B713" t="e">
        <f>#REF!</f>
        <v>#REF!</v>
      </c>
      <c r="C713" t="e">
        <f>#REF!</f>
        <v>#REF!</v>
      </c>
      <c r="D713" t="e">
        <f>#REF!</f>
        <v>#REF!</v>
      </c>
      <c r="E713" t="e">
        <f>#REF!</f>
        <v>#REF!</v>
      </c>
      <c r="F713" t="e">
        <f>#REF!</f>
        <v>#REF!</v>
      </c>
    </row>
    <row r="714" spans="1:6" x14ac:dyDescent="0.3">
      <c r="A714" t="e">
        <f>#REF!</f>
        <v>#REF!</v>
      </c>
      <c r="B714" t="e">
        <f>#REF!</f>
        <v>#REF!</v>
      </c>
      <c r="C714" t="e">
        <f>#REF!</f>
        <v>#REF!</v>
      </c>
      <c r="D714" t="e">
        <f>#REF!</f>
        <v>#REF!</v>
      </c>
      <c r="E714" t="e">
        <f>#REF!</f>
        <v>#REF!</v>
      </c>
      <c r="F714" t="e">
        <f>#REF!</f>
        <v>#REF!</v>
      </c>
    </row>
    <row r="715" spans="1:6" x14ac:dyDescent="0.3">
      <c r="A715" t="e">
        <f>#REF!</f>
        <v>#REF!</v>
      </c>
      <c r="B715" t="e">
        <f>#REF!</f>
        <v>#REF!</v>
      </c>
      <c r="C715" t="e">
        <f>#REF!</f>
        <v>#REF!</v>
      </c>
      <c r="D715" t="e">
        <f>#REF!</f>
        <v>#REF!</v>
      </c>
      <c r="E715" t="e">
        <f>#REF!</f>
        <v>#REF!</v>
      </c>
      <c r="F715" t="e">
        <f>#REF!</f>
        <v>#REF!</v>
      </c>
    </row>
    <row r="716" spans="1:6" x14ac:dyDescent="0.3">
      <c r="A716" t="e">
        <f>#REF!</f>
        <v>#REF!</v>
      </c>
      <c r="B716" t="e">
        <f>#REF!</f>
        <v>#REF!</v>
      </c>
      <c r="C716" t="e">
        <f>#REF!</f>
        <v>#REF!</v>
      </c>
      <c r="D716" t="e">
        <f>#REF!</f>
        <v>#REF!</v>
      </c>
      <c r="E716" t="e">
        <f>#REF!</f>
        <v>#REF!</v>
      </c>
      <c r="F716" t="e">
        <f>#REF!</f>
        <v>#REF!</v>
      </c>
    </row>
    <row r="717" spans="1:6" x14ac:dyDescent="0.3">
      <c r="A717" t="e">
        <f>#REF!</f>
        <v>#REF!</v>
      </c>
      <c r="B717" t="e">
        <f>#REF!</f>
        <v>#REF!</v>
      </c>
      <c r="C717" t="e">
        <f>#REF!</f>
        <v>#REF!</v>
      </c>
      <c r="D717" t="e">
        <f>#REF!</f>
        <v>#REF!</v>
      </c>
      <c r="E717" t="e">
        <f>#REF!</f>
        <v>#REF!</v>
      </c>
      <c r="F717" t="e">
        <f>#REF!</f>
        <v>#REF!</v>
      </c>
    </row>
    <row r="718" spans="1:6" x14ac:dyDescent="0.3">
      <c r="A718" t="e">
        <f>#REF!</f>
        <v>#REF!</v>
      </c>
      <c r="B718" t="e">
        <f>#REF!</f>
        <v>#REF!</v>
      </c>
      <c r="C718" t="e">
        <f>#REF!</f>
        <v>#REF!</v>
      </c>
      <c r="D718" t="e">
        <f>#REF!</f>
        <v>#REF!</v>
      </c>
      <c r="E718" t="e">
        <f>#REF!</f>
        <v>#REF!</v>
      </c>
      <c r="F718" t="e">
        <f>#REF!</f>
        <v>#REF!</v>
      </c>
    </row>
    <row r="719" spans="1:6" x14ac:dyDescent="0.3">
      <c r="A719" t="e">
        <f>#REF!</f>
        <v>#REF!</v>
      </c>
      <c r="B719" t="e">
        <f>#REF!</f>
        <v>#REF!</v>
      </c>
      <c r="C719" t="e">
        <f>#REF!</f>
        <v>#REF!</v>
      </c>
      <c r="D719" t="e">
        <f>#REF!</f>
        <v>#REF!</v>
      </c>
      <c r="E719" t="e">
        <f>#REF!</f>
        <v>#REF!</v>
      </c>
      <c r="F719" t="e">
        <f>#REF!</f>
        <v>#REF!</v>
      </c>
    </row>
    <row r="720" spans="1:6" x14ac:dyDescent="0.3">
      <c r="A720" t="e">
        <f>#REF!</f>
        <v>#REF!</v>
      </c>
      <c r="B720" t="e">
        <f>#REF!</f>
        <v>#REF!</v>
      </c>
      <c r="C720" t="e">
        <f>#REF!</f>
        <v>#REF!</v>
      </c>
      <c r="D720" t="e">
        <f>#REF!</f>
        <v>#REF!</v>
      </c>
      <c r="E720" t="e">
        <f>#REF!</f>
        <v>#REF!</v>
      </c>
      <c r="F720" t="e">
        <f>#REF!</f>
        <v>#REF!</v>
      </c>
    </row>
    <row r="721" spans="1:6" x14ac:dyDescent="0.3">
      <c r="A721" t="e">
        <f>#REF!</f>
        <v>#REF!</v>
      </c>
      <c r="B721" t="e">
        <f>#REF!</f>
        <v>#REF!</v>
      </c>
      <c r="C721" t="e">
        <f>#REF!</f>
        <v>#REF!</v>
      </c>
      <c r="D721" t="e">
        <f>#REF!</f>
        <v>#REF!</v>
      </c>
      <c r="E721" t="e">
        <f>#REF!</f>
        <v>#REF!</v>
      </c>
      <c r="F721" t="e">
        <f>#REF!</f>
        <v>#REF!</v>
      </c>
    </row>
    <row r="722" spans="1:6" x14ac:dyDescent="0.3">
      <c r="A722" t="e">
        <f>#REF!</f>
        <v>#REF!</v>
      </c>
      <c r="B722" t="e">
        <f>#REF!</f>
        <v>#REF!</v>
      </c>
      <c r="C722" t="e">
        <f>#REF!</f>
        <v>#REF!</v>
      </c>
      <c r="D722" t="e">
        <f>#REF!</f>
        <v>#REF!</v>
      </c>
      <c r="E722" t="e">
        <f>#REF!</f>
        <v>#REF!</v>
      </c>
      <c r="F722" t="e">
        <f>#REF!</f>
        <v>#REF!</v>
      </c>
    </row>
    <row r="723" spans="1:6" x14ac:dyDescent="0.3">
      <c r="A723" t="e">
        <f>#REF!</f>
        <v>#REF!</v>
      </c>
      <c r="B723" t="e">
        <f>#REF!</f>
        <v>#REF!</v>
      </c>
      <c r="C723" t="e">
        <f>#REF!</f>
        <v>#REF!</v>
      </c>
      <c r="D723" t="e">
        <f>#REF!</f>
        <v>#REF!</v>
      </c>
      <c r="E723" t="e">
        <f>#REF!</f>
        <v>#REF!</v>
      </c>
      <c r="F723" t="e">
        <f>#REF!</f>
        <v>#REF!</v>
      </c>
    </row>
    <row r="724" spans="1:6" x14ac:dyDescent="0.3">
      <c r="A724" t="e">
        <f>#REF!</f>
        <v>#REF!</v>
      </c>
      <c r="B724" t="e">
        <f>#REF!</f>
        <v>#REF!</v>
      </c>
      <c r="C724" t="e">
        <f>#REF!</f>
        <v>#REF!</v>
      </c>
      <c r="D724" t="e">
        <f>#REF!</f>
        <v>#REF!</v>
      </c>
      <c r="E724" t="e">
        <f>#REF!</f>
        <v>#REF!</v>
      </c>
      <c r="F724" t="e">
        <f>#REF!</f>
        <v>#REF!</v>
      </c>
    </row>
    <row r="725" spans="1:6" x14ac:dyDescent="0.3">
      <c r="A725" t="e">
        <f>#REF!</f>
        <v>#REF!</v>
      </c>
      <c r="B725" t="e">
        <f>#REF!</f>
        <v>#REF!</v>
      </c>
      <c r="C725" t="e">
        <f>#REF!</f>
        <v>#REF!</v>
      </c>
      <c r="D725" t="e">
        <f>#REF!</f>
        <v>#REF!</v>
      </c>
      <c r="E725" t="e">
        <f>#REF!</f>
        <v>#REF!</v>
      </c>
      <c r="F725" t="e">
        <f>#REF!</f>
        <v>#REF!</v>
      </c>
    </row>
    <row r="726" spans="1:6" x14ac:dyDescent="0.3">
      <c r="A726" t="e">
        <f>#REF!</f>
        <v>#REF!</v>
      </c>
      <c r="B726" t="e">
        <f>#REF!</f>
        <v>#REF!</v>
      </c>
      <c r="C726" t="e">
        <f>#REF!</f>
        <v>#REF!</v>
      </c>
      <c r="D726" t="e">
        <f>#REF!</f>
        <v>#REF!</v>
      </c>
      <c r="E726" t="e">
        <f>#REF!</f>
        <v>#REF!</v>
      </c>
      <c r="F726" t="e">
        <f>#REF!</f>
        <v>#REF!</v>
      </c>
    </row>
    <row r="727" spans="1:6" x14ac:dyDescent="0.3">
      <c r="A727" t="e">
        <f>#REF!</f>
        <v>#REF!</v>
      </c>
      <c r="B727" t="e">
        <f>#REF!</f>
        <v>#REF!</v>
      </c>
      <c r="C727" t="e">
        <f>#REF!</f>
        <v>#REF!</v>
      </c>
      <c r="D727" t="e">
        <f>#REF!</f>
        <v>#REF!</v>
      </c>
      <c r="E727" t="e">
        <f>#REF!</f>
        <v>#REF!</v>
      </c>
      <c r="F727" t="e">
        <f>#REF!</f>
        <v>#REF!</v>
      </c>
    </row>
    <row r="728" spans="1:6" x14ac:dyDescent="0.3">
      <c r="A728" t="e">
        <f>#REF!</f>
        <v>#REF!</v>
      </c>
      <c r="B728" t="e">
        <f>#REF!</f>
        <v>#REF!</v>
      </c>
      <c r="C728" t="e">
        <f>#REF!</f>
        <v>#REF!</v>
      </c>
      <c r="D728" t="e">
        <f>#REF!</f>
        <v>#REF!</v>
      </c>
      <c r="E728" t="e">
        <f>#REF!</f>
        <v>#REF!</v>
      </c>
      <c r="F728" t="e">
        <f>#REF!</f>
        <v>#REF!</v>
      </c>
    </row>
    <row r="729" spans="1:6" x14ac:dyDescent="0.3">
      <c r="A729" t="e">
        <f>#REF!</f>
        <v>#REF!</v>
      </c>
      <c r="B729" t="e">
        <f>#REF!</f>
        <v>#REF!</v>
      </c>
      <c r="C729" t="e">
        <f>#REF!</f>
        <v>#REF!</v>
      </c>
      <c r="D729" t="e">
        <f>#REF!</f>
        <v>#REF!</v>
      </c>
      <c r="E729" t="e">
        <f>#REF!</f>
        <v>#REF!</v>
      </c>
      <c r="F729" t="e">
        <f>#REF!</f>
        <v>#REF!</v>
      </c>
    </row>
    <row r="730" spans="1:6" x14ac:dyDescent="0.3">
      <c r="A730" t="e">
        <f>#REF!</f>
        <v>#REF!</v>
      </c>
      <c r="B730" t="e">
        <f>#REF!</f>
        <v>#REF!</v>
      </c>
      <c r="C730" t="e">
        <f>#REF!</f>
        <v>#REF!</v>
      </c>
      <c r="D730" t="e">
        <f>#REF!</f>
        <v>#REF!</v>
      </c>
      <c r="E730" t="e">
        <f>#REF!</f>
        <v>#REF!</v>
      </c>
      <c r="F730" t="e">
        <f>#REF!</f>
        <v>#REF!</v>
      </c>
    </row>
    <row r="731" spans="1:6" x14ac:dyDescent="0.3">
      <c r="A731" t="e">
        <f>#REF!</f>
        <v>#REF!</v>
      </c>
      <c r="B731" t="e">
        <f>#REF!</f>
        <v>#REF!</v>
      </c>
      <c r="C731" t="e">
        <f>#REF!</f>
        <v>#REF!</v>
      </c>
      <c r="D731" t="e">
        <f>#REF!</f>
        <v>#REF!</v>
      </c>
      <c r="E731" t="e">
        <f>#REF!</f>
        <v>#REF!</v>
      </c>
      <c r="F731" t="e">
        <f>#REF!</f>
        <v>#REF!</v>
      </c>
    </row>
    <row r="732" spans="1:6" x14ac:dyDescent="0.3">
      <c r="A732" t="e">
        <f>#REF!</f>
        <v>#REF!</v>
      </c>
      <c r="B732" t="e">
        <f>#REF!</f>
        <v>#REF!</v>
      </c>
      <c r="C732" t="e">
        <f>#REF!</f>
        <v>#REF!</v>
      </c>
      <c r="D732" t="e">
        <f>#REF!</f>
        <v>#REF!</v>
      </c>
      <c r="E732" t="e">
        <f>#REF!</f>
        <v>#REF!</v>
      </c>
      <c r="F732" t="e">
        <f>#REF!</f>
        <v>#REF!</v>
      </c>
    </row>
    <row r="733" spans="1:6" x14ac:dyDescent="0.3">
      <c r="A733" t="e">
        <f>#REF!</f>
        <v>#REF!</v>
      </c>
      <c r="B733" t="e">
        <f>#REF!</f>
        <v>#REF!</v>
      </c>
      <c r="C733" t="e">
        <f>#REF!</f>
        <v>#REF!</v>
      </c>
      <c r="D733" t="e">
        <f>#REF!</f>
        <v>#REF!</v>
      </c>
      <c r="E733" t="e">
        <f>#REF!</f>
        <v>#REF!</v>
      </c>
      <c r="F733" t="e">
        <f>#REF!</f>
        <v>#REF!</v>
      </c>
    </row>
    <row r="734" spans="1:6" x14ac:dyDescent="0.3">
      <c r="A734" t="e">
        <f>#REF!</f>
        <v>#REF!</v>
      </c>
      <c r="B734" t="e">
        <f>#REF!</f>
        <v>#REF!</v>
      </c>
      <c r="C734" t="e">
        <f>#REF!</f>
        <v>#REF!</v>
      </c>
      <c r="D734" t="e">
        <f>#REF!</f>
        <v>#REF!</v>
      </c>
      <c r="E734" t="e">
        <f>#REF!</f>
        <v>#REF!</v>
      </c>
      <c r="F734" t="e">
        <f>#REF!</f>
        <v>#REF!</v>
      </c>
    </row>
    <row r="735" spans="1:6" x14ac:dyDescent="0.3">
      <c r="A735" t="e">
        <f>#REF!</f>
        <v>#REF!</v>
      </c>
      <c r="B735" t="e">
        <f>#REF!</f>
        <v>#REF!</v>
      </c>
      <c r="C735" t="e">
        <f>#REF!</f>
        <v>#REF!</v>
      </c>
      <c r="D735" t="e">
        <f>#REF!</f>
        <v>#REF!</v>
      </c>
      <c r="E735" t="e">
        <f>#REF!</f>
        <v>#REF!</v>
      </c>
      <c r="F735" t="e">
        <f>#REF!</f>
        <v>#REF!</v>
      </c>
    </row>
    <row r="736" spans="1:6" x14ac:dyDescent="0.3">
      <c r="A736" t="e">
        <f>#REF!</f>
        <v>#REF!</v>
      </c>
      <c r="B736" t="e">
        <f>#REF!</f>
        <v>#REF!</v>
      </c>
      <c r="C736" t="e">
        <f>#REF!</f>
        <v>#REF!</v>
      </c>
      <c r="D736" t="e">
        <f>#REF!</f>
        <v>#REF!</v>
      </c>
      <c r="E736" t="e">
        <f>#REF!</f>
        <v>#REF!</v>
      </c>
      <c r="F736" t="e">
        <f>#REF!</f>
        <v>#REF!</v>
      </c>
    </row>
    <row r="737" spans="1:6" x14ac:dyDescent="0.3">
      <c r="A737" t="e">
        <f>#REF!</f>
        <v>#REF!</v>
      </c>
      <c r="B737" t="e">
        <f>#REF!</f>
        <v>#REF!</v>
      </c>
      <c r="C737" t="e">
        <f>#REF!</f>
        <v>#REF!</v>
      </c>
      <c r="D737" t="e">
        <f>#REF!</f>
        <v>#REF!</v>
      </c>
      <c r="E737" t="e">
        <f>#REF!</f>
        <v>#REF!</v>
      </c>
      <c r="F737" t="e">
        <f>#REF!</f>
        <v>#REF!</v>
      </c>
    </row>
    <row r="738" spans="1:6" x14ac:dyDescent="0.3">
      <c r="A738" t="e">
        <f>#REF!</f>
        <v>#REF!</v>
      </c>
      <c r="B738" t="e">
        <f>#REF!</f>
        <v>#REF!</v>
      </c>
      <c r="C738" t="e">
        <f>#REF!</f>
        <v>#REF!</v>
      </c>
      <c r="D738" t="e">
        <f>#REF!</f>
        <v>#REF!</v>
      </c>
      <c r="E738" t="e">
        <f>#REF!</f>
        <v>#REF!</v>
      </c>
      <c r="F738" t="e">
        <f>#REF!</f>
        <v>#REF!</v>
      </c>
    </row>
    <row r="739" spans="1:6" x14ac:dyDescent="0.3">
      <c r="A739" t="e">
        <f>#REF!</f>
        <v>#REF!</v>
      </c>
      <c r="B739" t="e">
        <f>#REF!</f>
        <v>#REF!</v>
      </c>
      <c r="C739" t="e">
        <f>#REF!</f>
        <v>#REF!</v>
      </c>
      <c r="D739" t="e">
        <f>#REF!</f>
        <v>#REF!</v>
      </c>
      <c r="E739" t="e">
        <f>#REF!</f>
        <v>#REF!</v>
      </c>
      <c r="F739" t="e">
        <f>#REF!</f>
        <v>#REF!</v>
      </c>
    </row>
    <row r="740" spans="1:6" x14ac:dyDescent="0.3">
      <c r="A740" t="e">
        <f>#REF!</f>
        <v>#REF!</v>
      </c>
      <c r="B740" t="e">
        <f>#REF!</f>
        <v>#REF!</v>
      </c>
      <c r="C740" t="e">
        <f>#REF!</f>
        <v>#REF!</v>
      </c>
      <c r="D740" t="e">
        <f>#REF!</f>
        <v>#REF!</v>
      </c>
      <c r="E740" t="e">
        <f>#REF!</f>
        <v>#REF!</v>
      </c>
      <c r="F740" t="e">
        <f>#REF!</f>
        <v>#REF!</v>
      </c>
    </row>
    <row r="741" spans="1:6" x14ac:dyDescent="0.3">
      <c r="A741" t="e">
        <f>#REF!</f>
        <v>#REF!</v>
      </c>
      <c r="B741" t="e">
        <f>#REF!</f>
        <v>#REF!</v>
      </c>
      <c r="C741" t="e">
        <f>#REF!</f>
        <v>#REF!</v>
      </c>
      <c r="D741" t="e">
        <f>#REF!</f>
        <v>#REF!</v>
      </c>
      <c r="E741" t="e">
        <f>#REF!</f>
        <v>#REF!</v>
      </c>
      <c r="F741" t="e">
        <f>#REF!</f>
        <v>#REF!</v>
      </c>
    </row>
    <row r="742" spans="1:6" x14ac:dyDescent="0.3">
      <c r="A742" t="e">
        <f>#REF!</f>
        <v>#REF!</v>
      </c>
      <c r="B742" t="e">
        <f>#REF!</f>
        <v>#REF!</v>
      </c>
      <c r="C742" t="e">
        <f>#REF!</f>
        <v>#REF!</v>
      </c>
      <c r="D742" t="e">
        <f>#REF!</f>
        <v>#REF!</v>
      </c>
      <c r="E742" t="e">
        <f>#REF!</f>
        <v>#REF!</v>
      </c>
      <c r="F742" t="e">
        <f>#REF!</f>
        <v>#REF!</v>
      </c>
    </row>
    <row r="743" spans="1:6" x14ac:dyDescent="0.3">
      <c r="A743" t="e">
        <f>#REF!</f>
        <v>#REF!</v>
      </c>
      <c r="B743" t="e">
        <f>#REF!</f>
        <v>#REF!</v>
      </c>
      <c r="C743" t="e">
        <f>#REF!</f>
        <v>#REF!</v>
      </c>
      <c r="D743" t="e">
        <f>#REF!</f>
        <v>#REF!</v>
      </c>
      <c r="E743" t="e">
        <f>#REF!</f>
        <v>#REF!</v>
      </c>
      <c r="F743" t="e">
        <f>#REF!</f>
        <v>#REF!</v>
      </c>
    </row>
    <row r="744" spans="1:6" x14ac:dyDescent="0.3">
      <c r="A744" t="e">
        <f>#REF!</f>
        <v>#REF!</v>
      </c>
      <c r="B744" t="e">
        <f>#REF!</f>
        <v>#REF!</v>
      </c>
      <c r="C744" t="e">
        <f>#REF!</f>
        <v>#REF!</v>
      </c>
      <c r="D744" t="e">
        <f>#REF!</f>
        <v>#REF!</v>
      </c>
      <c r="E744" t="e">
        <f>#REF!</f>
        <v>#REF!</v>
      </c>
      <c r="F744" t="e">
        <f>#REF!</f>
        <v>#REF!</v>
      </c>
    </row>
    <row r="745" spans="1:6" x14ac:dyDescent="0.3">
      <c r="A745" t="e">
        <f>#REF!</f>
        <v>#REF!</v>
      </c>
      <c r="B745" t="e">
        <f>#REF!</f>
        <v>#REF!</v>
      </c>
      <c r="C745" t="e">
        <f>#REF!</f>
        <v>#REF!</v>
      </c>
      <c r="D745" t="e">
        <f>#REF!</f>
        <v>#REF!</v>
      </c>
      <c r="E745" t="e">
        <f>#REF!</f>
        <v>#REF!</v>
      </c>
      <c r="F745" t="e">
        <f>#REF!</f>
        <v>#REF!</v>
      </c>
    </row>
    <row r="746" spans="1:6" x14ac:dyDescent="0.3">
      <c r="A746" t="e">
        <f>#REF!</f>
        <v>#REF!</v>
      </c>
      <c r="B746" t="e">
        <f>#REF!</f>
        <v>#REF!</v>
      </c>
      <c r="C746" t="e">
        <f>#REF!</f>
        <v>#REF!</v>
      </c>
      <c r="D746" t="e">
        <f>#REF!</f>
        <v>#REF!</v>
      </c>
      <c r="E746" t="e">
        <f>#REF!</f>
        <v>#REF!</v>
      </c>
      <c r="F746" t="e">
        <f>#REF!</f>
        <v>#REF!</v>
      </c>
    </row>
    <row r="747" spans="1:6" x14ac:dyDescent="0.3">
      <c r="A747" t="e">
        <f>#REF!</f>
        <v>#REF!</v>
      </c>
      <c r="B747" t="e">
        <f>#REF!</f>
        <v>#REF!</v>
      </c>
      <c r="C747" t="e">
        <f>#REF!</f>
        <v>#REF!</v>
      </c>
      <c r="D747" t="e">
        <f>#REF!</f>
        <v>#REF!</v>
      </c>
      <c r="E747" t="e">
        <f>#REF!</f>
        <v>#REF!</v>
      </c>
      <c r="F747" t="e">
        <f>#REF!</f>
        <v>#REF!</v>
      </c>
    </row>
    <row r="748" spans="1:6" x14ac:dyDescent="0.3">
      <c r="A748" t="e">
        <f>#REF!</f>
        <v>#REF!</v>
      </c>
      <c r="B748" t="e">
        <f>#REF!</f>
        <v>#REF!</v>
      </c>
      <c r="C748" t="e">
        <f>#REF!</f>
        <v>#REF!</v>
      </c>
      <c r="D748" t="e">
        <f>#REF!</f>
        <v>#REF!</v>
      </c>
      <c r="E748" t="e">
        <f>#REF!</f>
        <v>#REF!</v>
      </c>
      <c r="F748" t="e">
        <f>#REF!</f>
        <v>#REF!</v>
      </c>
    </row>
    <row r="749" spans="1:6" x14ac:dyDescent="0.3">
      <c r="A749" t="e">
        <f>#REF!</f>
        <v>#REF!</v>
      </c>
      <c r="B749" t="e">
        <f>#REF!</f>
        <v>#REF!</v>
      </c>
      <c r="C749" t="e">
        <f>#REF!</f>
        <v>#REF!</v>
      </c>
      <c r="D749" t="e">
        <f>#REF!</f>
        <v>#REF!</v>
      </c>
      <c r="E749" t="e">
        <f>#REF!</f>
        <v>#REF!</v>
      </c>
      <c r="F749" t="e">
        <f>#REF!</f>
        <v>#REF!</v>
      </c>
    </row>
    <row r="750" spans="1:6" x14ac:dyDescent="0.3">
      <c r="A750" t="e">
        <f>#REF!</f>
        <v>#REF!</v>
      </c>
      <c r="B750" t="e">
        <f>#REF!</f>
        <v>#REF!</v>
      </c>
      <c r="C750" t="e">
        <f>#REF!</f>
        <v>#REF!</v>
      </c>
      <c r="D750" t="e">
        <f>#REF!</f>
        <v>#REF!</v>
      </c>
      <c r="E750" t="e">
        <f>#REF!</f>
        <v>#REF!</v>
      </c>
      <c r="F750" t="e">
        <f>#REF!</f>
        <v>#REF!</v>
      </c>
    </row>
    <row r="751" spans="1:6" x14ac:dyDescent="0.3">
      <c r="A751" t="e">
        <f>#REF!</f>
        <v>#REF!</v>
      </c>
      <c r="B751" t="e">
        <f>#REF!</f>
        <v>#REF!</v>
      </c>
      <c r="C751" t="e">
        <f>#REF!</f>
        <v>#REF!</v>
      </c>
      <c r="D751" t="e">
        <f>#REF!</f>
        <v>#REF!</v>
      </c>
      <c r="E751" t="e">
        <f>#REF!</f>
        <v>#REF!</v>
      </c>
      <c r="F751" t="e">
        <f>#REF!</f>
        <v>#REF!</v>
      </c>
    </row>
    <row r="752" spans="1:6" x14ac:dyDescent="0.3">
      <c r="A752" t="e">
        <f>#REF!</f>
        <v>#REF!</v>
      </c>
      <c r="B752" t="e">
        <f>#REF!</f>
        <v>#REF!</v>
      </c>
      <c r="C752" t="e">
        <f>#REF!</f>
        <v>#REF!</v>
      </c>
      <c r="D752" t="e">
        <f>#REF!</f>
        <v>#REF!</v>
      </c>
      <c r="E752" t="e">
        <f>#REF!</f>
        <v>#REF!</v>
      </c>
      <c r="F752" t="e">
        <f>#REF!</f>
        <v>#REF!</v>
      </c>
    </row>
    <row r="753" spans="1:6" x14ac:dyDescent="0.3">
      <c r="A753" t="e">
        <f>#REF!</f>
        <v>#REF!</v>
      </c>
      <c r="B753" t="e">
        <f>#REF!</f>
        <v>#REF!</v>
      </c>
      <c r="C753" t="e">
        <f>#REF!</f>
        <v>#REF!</v>
      </c>
      <c r="D753" t="e">
        <f>#REF!</f>
        <v>#REF!</v>
      </c>
      <c r="E753" t="e">
        <f>#REF!</f>
        <v>#REF!</v>
      </c>
      <c r="F753" t="e">
        <f>#REF!</f>
        <v>#REF!</v>
      </c>
    </row>
    <row r="754" spans="1:6" x14ac:dyDescent="0.3">
      <c r="A754" t="e">
        <f>#REF!</f>
        <v>#REF!</v>
      </c>
      <c r="B754" t="e">
        <f>#REF!</f>
        <v>#REF!</v>
      </c>
      <c r="C754" t="e">
        <f>#REF!</f>
        <v>#REF!</v>
      </c>
      <c r="D754" t="e">
        <f>#REF!</f>
        <v>#REF!</v>
      </c>
      <c r="E754" t="e">
        <f>#REF!</f>
        <v>#REF!</v>
      </c>
      <c r="F754" t="e">
        <f>#REF!</f>
        <v>#REF!</v>
      </c>
    </row>
    <row r="755" spans="1:6" x14ac:dyDescent="0.3">
      <c r="A755" t="e">
        <f>#REF!</f>
        <v>#REF!</v>
      </c>
      <c r="B755" t="e">
        <f>#REF!</f>
        <v>#REF!</v>
      </c>
      <c r="C755" t="e">
        <f>#REF!</f>
        <v>#REF!</v>
      </c>
      <c r="D755" t="e">
        <f>#REF!</f>
        <v>#REF!</v>
      </c>
      <c r="E755" t="e">
        <f>#REF!</f>
        <v>#REF!</v>
      </c>
      <c r="F755" t="e">
        <f>#REF!</f>
        <v>#REF!</v>
      </c>
    </row>
    <row r="756" spans="1:6" x14ac:dyDescent="0.3">
      <c r="A756" t="e">
        <f>#REF!</f>
        <v>#REF!</v>
      </c>
      <c r="B756" t="e">
        <f>#REF!</f>
        <v>#REF!</v>
      </c>
      <c r="C756" t="e">
        <f>#REF!</f>
        <v>#REF!</v>
      </c>
      <c r="D756" t="e">
        <f>#REF!</f>
        <v>#REF!</v>
      </c>
      <c r="E756" t="e">
        <f>#REF!</f>
        <v>#REF!</v>
      </c>
      <c r="F756" t="e">
        <f>#REF!</f>
        <v>#REF!</v>
      </c>
    </row>
    <row r="757" spans="1:6" x14ac:dyDescent="0.3">
      <c r="A757" t="e">
        <f>#REF!</f>
        <v>#REF!</v>
      </c>
      <c r="B757" t="e">
        <f>#REF!</f>
        <v>#REF!</v>
      </c>
      <c r="C757" t="e">
        <f>#REF!</f>
        <v>#REF!</v>
      </c>
      <c r="D757" t="e">
        <f>#REF!</f>
        <v>#REF!</v>
      </c>
      <c r="E757" t="e">
        <f>#REF!</f>
        <v>#REF!</v>
      </c>
      <c r="F757" t="e">
        <f>#REF!</f>
        <v>#REF!</v>
      </c>
    </row>
    <row r="758" spans="1:6" x14ac:dyDescent="0.3">
      <c r="A758" t="e">
        <f>#REF!</f>
        <v>#REF!</v>
      </c>
      <c r="B758" t="e">
        <f>#REF!</f>
        <v>#REF!</v>
      </c>
      <c r="C758" t="e">
        <f>#REF!</f>
        <v>#REF!</v>
      </c>
      <c r="D758" t="e">
        <f>#REF!</f>
        <v>#REF!</v>
      </c>
      <c r="E758" t="e">
        <f>#REF!</f>
        <v>#REF!</v>
      </c>
      <c r="F758" t="e">
        <f>#REF!</f>
        <v>#REF!</v>
      </c>
    </row>
    <row r="759" spans="1:6" x14ac:dyDescent="0.3">
      <c r="A759" t="e">
        <f>#REF!</f>
        <v>#REF!</v>
      </c>
      <c r="B759" t="e">
        <f>#REF!</f>
        <v>#REF!</v>
      </c>
      <c r="C759" t="e">
        <f>#REF!</f>
        <v>#REF!</v>
      </c>
      <c r="D759" t="e">
        <f>#REF!</f>
        <v>#REF!</v>
      </c>
      <c r="E759" t="e">
        <f>#REF!</f>
        <v>#REF!</v>
      </c>
      <c r="F759" t="e">
        <f>#REF!</f>
        <v>#REF!</v>
      </c>
    </row>
    <row r="760" spans="1:6" x14ac:dyDescent="0.3">
      <c r="A760" t="e">
        <f>#REF!</f>
        <v>#REF!</v>
      </c>
      <c r="B760" t="e">
        <f>#REF!</f>
        <v>#REF!</v>
      </c>
      <c r="C760" t="e">
        <f>#REF!</f>
        <v>#REF!</v>
      </c>
      <c r="D760" t="e">
        <f>#REF!</f>
        <v>#REF!</v>
      </c>
      <c r="E760" t="e">
        <f>#REF!</f>
        <v>#REF!</v>
      </c>
      <c r="F760" t="e">
        <f>#REF!</f>
        <v>#REF!</v>
      </c>
    </row>
    <row r="761" spans="1:6" x14ac:dyDescent="0.3">
      <c r="A761" t="e">
        <f>#REF!</f>
        <v>#REF!</v>
      </c>
      <c r="B761" t="e">
        <f>#REF!</f>
        <v>#REF!</v>
      </c>
      <c r="C761" t="e">
        <f>#REF!</f>
        <v>#REF!</v>
      </c>
      <c r="D761" t="e">
        <f>#REF!</f>
        <v>#REF!</v>
      </c>
      <c r="E761" t="e">
        <f>#REF!</f>
        <v>#REF!</v>
      </c>
      <c r="F761" t="e">
        <f>#REF!</f>
        <v>#REF!</v>
      </c>
    </row>
    <row r="762" spans="1:6" x14ac:dyDescent="0.3">
      <c r="A762" t="e">
        <f>#REF!</f>
        <v>#REF!</v>
      </c>
      <c r="B762" t="e">
        <f>#REF!</f>
        <v>#REF!</v>
      </c>
      <c r="C762" t="e">
        <f>#REF!</f>
        <v>#REF!</v>
      </c>
      <c r="D762" t="e">
        <f>#REF!</f>
        <v>#REF!</v>
      </c>
      <c r="E762" t="e">
        <f>#REF!</f>
        <v>#REF!</v>
      </c>
      <c r="F762" t="e">
        <f>#REF!</f>
        <v>#REF!</v>
      </c>
    </row>
    <row r="763" spans="1:6" x14ac:dyDescent="0.3">
      <c r="A763" t="e">
        <f>#REF!</f>
        <v>#REF!</v>
      </c>
      <c r="B763" t="e">
        <f>#REF!</f>
        <v>#REF!</v>
      </c>
      <c r="C763" t="e">
        <f>#REF!</f>
        <v>#REF!</v>
      </c>
      <c r="D763" t="e">
        <f>#REF!</f>
        <v>#REF!</v>
      </c>
      <c r="E763" t="e">
        <f>#REF!</f>
        <v>#REF!</v>
      </c>
      <c r="F763" t="e">
        <f>#REF!</f>
        <v>#REF!</v>
      </c>
    </row>
    <row r="764" spans="1:6" x14ac:dyDescent="0.3">
      <c r="A764" t="e">
        <f>#REF!</f>
        <v>#REF!</v>
      </c>
      <c r="B764" t="e">
        <f>#REF!</f>
        <v>#REF!</v>
      </c>
      <c r="C764" t="e">
        <f>#REF!</f>
        <v>#REF!</v>
      </c>
      <c r="D764" t="e">
        <f>#REF!</f>
        <v>#REF!</v>
      </c>
      <c r="E764" t="e">
        <f>#REF!</f>
        <v>#REF!</v>
      </c>
      <c r="F764" t="e">
        <f>#REF!</f>
        <v>#REF!</v>
      </c>
    </row>
    <row r="765" spans="1:6" x14ac:dyDescent="0.3">
      <c r="A765" t="e">
        <f>#REF!</f>
        <v>#REF!</v>
      </c>
      <c r="B765" t="e">
        <f>#REF!</f>
        <v>#REF!</v>
      </c>
      <c r="C765" t="e">
        <f>#REF!</f>
        <v>#REF!</v>
      </c>
      <c r="D765" t="e">
        <f>#REF!</f>
        <v>#REF!</v>
      </c>
      <c r="E765" t="e">
        <f>#REF!</f>
        <v>#REF!</v>
      </c>
      <c r="F765" t="e">
        <f>#REF!</f>
        <v>#REF!</v>
      </c>
    </row>
    <row r="766" spans="1:6" x14ac:dyDescent="0.3">
      <c r="A766" t="e">
        <f>#REF!</f>
        <v>#REF!</v>
      </c>
      <c r="B766" t="e">
        <f>#REF!</f>
        <v>#REF!</v>
      </c>
      <c r="C766" t="e">
        <f>#REF!</f>
        <v>#REF!</v>
      </c>
      <c r="D766" t="e">
        <f>#REF!</f>
        <v>#REF!</v>
      </c>
      <c r="E766" t="e">
        <f>#REF!</f>
        <v>#REF!</v>
      </c>
      <c r="F766" t="e">
        <f>#REF!</f>
        <v>#REF!</v>
      </c>
    </row>
    <row r="767" spans="1:6" x14ac:dyDescent="0.3">
      <c r="A767" t="e">
        <f>#REF!</f>
        <v>#REF!</v>
      </c>
      <c r="B767" t="e">
        <f>#REF!</f>
        <v>#REF!</v>
      </c>
      <c r="C767" t="e">
        <f>#REF!</f>
        <v>#REF!</v>
      </c>
      <c r="D767" t="e">
        <f>#REF!</f>
        <v>#REF!</v>
      </c>
      <c r="E767" t="e">
        <f>#REF!</f>
        <v>#REF!</v>
      </c>
      <c r="F767" t="e">
        <f>#REF!</f>
        <v>#REF!</v>
      </c>
    </row>
    <row r="768" spans="1:6" x14ac:dyDescent="0.3">
      <c r="A768" t="e">
        <f>#REF!</f>
        <v>#REF!</v>
      </c>
      <c r="B768" t="e">
        <f>#REF!</f>
        <v>#REF!</v>
      </c>
      <c r="C768" t="e">
        <f>#REF!</f>
        <v>#REF!</v>
      </c>
      <c r="D768" t="e">
        <f>#REF!</f>
        <v>#REF!</v>
      </c>
      <c r="E768" t="e">
        <f>#REF!</f>
        <v>#REF!</v>
      </c>
      <c r="F768" t="e">
        <f>#REF!</f>
        <v>#REF!</v>
      </c>
    </row>
    <row r="769" spans="1:6" x14ac:dyDescent="0.3">
      <c r="A769" t="e">
        <f>#REF!</f>
        <v>#REF!</v>
      </c>
      <c r="B769" t="e">
        <f>#REF!</f>
        <v>#REF!</v>
      </c>
      <c r="C769" t="e">
        <f>#REF!</f>
        <v>#REF!</v>
      </c>
      <c r="D769" t="e">
        <f>#REF!</f>
        <v>#REF!</v>
      </c>
      <c r="E769" t="e">
        <f>#REF!</f>
        <v>#REF!</v>
      </c>
      <c r="F769" t="e">
        <f>#REF!</f>
        <v>#REF!</v>
      </c>
    </row>
    <row r="770" spans="1:6" x14ac:dyDescent="0.3">
      <c r="A770" t="e">
        <f>#REF!</f>
        <v>#REF!</v>
      </c>
      <c r="B770" t="e">
        <f>#REF!</f>
        <v>#REF!</v>
      </c>
      <c r="C770" t="e">
        <f>#REF!</f>
        <v>#REF!</v>
      </c>
      <c r="D770" t="e">
        <f>#REF!</f>
        <v>#REF!</v>
      </c>
      <c r="E770" t="e">
        <f>#REF!</f>
        <v>#REF!</v>
      </c>
      <c r="F770" t="e">
        <f>#REF!</f>
        <v>#REF!</v>
      </c>
    </row>
    <row r="771" spans="1:6" x14ac:dyDescent="0.3">
      <c r="A771" t="e">
        <f>#REF!</f>
        <v>#REF!</v>
      </c>
      <c r="B771" t="e">
        <f>#REF!</f>
        <v>#REF!</v>
      </c>
      <c r="C771" t="e">
        <f>#REF!</f>
        <v>#REF!</v>
      </c>
      <c r="D771" t="e">
        <f>#REF!</f>
        <v>#REF!</v>
      </c>
      <c r="E771" t="e">
        <f>#REF!</f>
        <v>#REF!</v>
      </c>
      <c r="F771" t="e">
        <f>#REF!</f>
        <v>#REF!</v>
      </c>
    </row>
    <row r="772" spans="1:6" x14ac:dyDescent="0.3">
      <c r="A772" t="e">
        <f>#REF!</f>
        <v>#REF!</v>
      </c>
      <c r="B772" t="e">
        <f>#REF!</f>
        <v>#REF!</v>
      </c>
      <c r="C772" t="e">
        <f>#REF!</f>
        <v>#REF!</v>
      </c>
      <c r="D772" t="e">
        <f>#REF!</f>
        <v>#REF!</v>
      </c>
      <c r="E772" t="e">
        <f>#REF!</f>
        <v>#REF!</v>
      </c>
      <c r="F772" t="e">
        <f>#REF!</f>
        <v>#REF!</v>
      </c>
    </row>
    <row r="773" spans="1:6" x14ac:dyDescent="0.3">
      <c r="A773" t="e">
        <f>#REF!</f>
        <v>#REF!</v>
      </c>
      <c r="B773" t="e">
        <f>#REF!</f>
        <v>#REF!</v>
      </c>
      <c r="C773" t="e">
        <f>#REF!</f>
        <v>#REF!</v>
      </c>
      <c r="D773" t="e">
        <f>#REF!</f>
        <v>#REF!</v>
      </c>
      <c r="E773" t="e">
        <f>#REF!</f>
        <v>#REF!</v>
      </c>
      <c r="F773" t="e">
        <f>#REF!</f>
        <v>#REF!</v>
      </c>
    </row>
    <row r="774" spans="1:6" x14ac:dyDescent="0.3">
      <c r="A774" t="e">
        <f>#REF!</f>
        <v>#REF!</v>
      </c>
      <c r="B774" t="e">
        <f>#REF!</f>
        <v>#REF!</v>
      </c>
      <c r="C774" t="e">
        <f>#REF!</f>
        <v>#REF!</v>
      </c>
      <c r="D774" t="e">
        <f>#REF!</f>
        <v>#REF!</v>
      </c>
      <c r="E774" t="e">
        <f>#REF!</f>
        <v>#REF!</v>
      </c>
      <c r="F774" t="e">
        <f>#REF!</f>
        <v>#REF!</v>
      </c>
    </row>
    <row r="775" spans="1:6" x14ac:dyDescent="0.3">
      <c r="A775" t="e">
        <f>#REF!</f>
        <v>#REF!</v>
      </c>
      <c r="B775" t="e">
        <f>#REF!</f>
        <v>#REF!</v>
      </c>
      <c r="C775" t="e">
        <f>#REF!</f>
        <v>#REF!</v>
      </c>
      <c r="D775" t="e">
        <f>#REF!</f>
        <v>#REF!</v>
      </c>
      <c r="E775" t="e">
        <f>#REF!</f>
        <v>#REF!</v>
      </c>
      <c r="F775" t="e">
        <f>#REF!</f>
        <v>#REF!</v>
      </c>
    </row>
    <row r="776" spans="1:6" x14ac:dyDescent="0.3">
      <c r="A776" t="e">
        <f>#REF!</f>
        <v>#REF!</v>
      </c>
      <c r="B776" t="e">
        <f>#REF!</f>
        <v>#REF!</v>
      </c>
      <c r="C776" t="e">
        <f>#REF!</f>
        <v>#REF!</v>
      </c>
      <c r="D776" t="e">
        <f>#REF!</f>
        <v>#REF!</v>
      </c>
      <c r="E776" t="e">
        <f>#REF!</f>
        <v>#REF!</v>
      </c>
      <c r="F776" t="e">
        <f>#REF!</f>
        <v>#REF!</v>
      </c>
    </row>
    <row r="777" spans="1:6" x14ac:dyDescent="0.3">
      <c r="A777" t="e">
        <f>#REF!</f>
        <v>#REF!</v>
      </c>
      <c r="B777" t="e">
        <f>#REF!</f>
        <v>#REF!</v>
      </c>
      <c r="C777" t="e">
        <f>#REF!</f>
        <v>#REF!</v>
      </c>
      <c r="D777" t="e">
        <f>#REF!</f>
        <v>#REF!</v>
      </c>
      <c r="E777" t="e">
        <f>#REF!</f>
        <v>#REF!</v>
      </c>
      <c r="F777" t="e">
        <f>#REF!</f>
        <v>#REF!</v>
      </c>
    </row>
    <row r="778" spans="1:6" x14ac:dyDescent="0.3">
      <c r="A778" t="e">
        <f>#REF!</f>
        <v>#REF!</v>
      </c>
      <c r="B778" t="e">
        <f>#REF!</f>
        <v>#REF!</v>
      </c>
      <c r="C778" t="e">
        <f>#REF!</f>
        <v>#REF!</v>
      </c>
      <c r="D778" t="e">
        <f>#REF!</f>
        <v>#REF!</v>
      </c>
      <c r="E778" t="e">
        <f>#REF!</f>
        <v>#REF!</v>
      </c>
      <c r="F778" t="e">
        <f>#REF!</f>
        <v>#REF!</v>
      </c>
    </row>
    <row r="779" spans="1:6" x14ac:dyDescent="0.3">
      <c r="A779" t="e">
        <f>#REF!</f>
        <v>#REF!</v>
      </c>
      <c r="B779" t="e">
        <f>#REF!</f>
        <v>#REF!</v>
      </c>
      <c r="C779" t="e">
        <f>#REF!</f>
        <v>#REF!</v>
      </c>
      <c r="D779" t="e">
        <f>#REF!</f>
        <v>#REF!</v>
      </c>
      <c r="E779" t="e">
        <f>#REF!</f>
        <v>#REF!</v>
      </c>
      <c r="F779" t="e">
        <f>#REF!</f>
        <v>#REF!</v>
      </c>
    </row>
    <row r="780" spans="1:6" x14ac:dyDescent="0.3">
      <c r="A780" t="e">
        <f>#REF!</f>
        <v>#REF!</v>
      </c>
      <c r="B780" t="e">
        <f>#REF!</f>
        <v>#REF!</v>
      </c>
      <c r="C780" t="e">
        <f>#REF!</f>
        <v>#REF!</v>
      </c>
      <c r="D780" t="e">
        <f>#REF!</f>
        <v>#REF!</v>
      </c>
      <c r="E780" t="e">
        <f>#REF!</f>
        <v>#REF!</v>
      </c>
      <c r="F780" t="e">
        <f>#REF!</f>
        <v>#REF!</v>
      </c>
    </row>
    <row r="781" spans="1:6" x14ac:dyDescent="0.3">
      <c r="A781" t="e">
        <f>#REF!</f>
        <v>#REF!</v>
      </c>
      <c r="B781" t="e">
        <f>#REF!</f>
        <v>#REF!</v>
      </c>
      <c r="C781" t="e">
        <f>#REF!</f>
        <v>#REF!</v>
      </c>
      <c r="D781" t="e">
        <f>#REF!</f>
        <v>#REF!</v>
      </c>
      <c r="E781" t="e">
        <f>#REF!</f>
        <v>#REF!</v>
      </c>
      <c r="F781" t="e">
        <f>#REF!</f>
        <v>#REF!</v>
      </c>
    </row>
    <row r="782" spans="1:6" x14ac:dyDescent="0.3">
      <c r="A782" t="e">
        <f>#REF!</f>
        <v>#REF!</v>
      </c>
      <c r="B782" t="e">
        <f>#REF!</f>
        <v>#REF!</v>
      </c>
      <c r="C782" t="e">
        <f>#REF!</f>
        <v>#REF!</v>
      </c>
      <c r="D782" t="e">
        <f>#REF!</f>
        <v>#REF!</v>
      </c>
      <c r="E782" t="e">
        <f>#REF!</f>
        <v>#REF!</v>
      </c>
      <c r="F782" t="e">
        <f>#REF!</f>
        <v>#REF!</v>
      </c>
    </row>
    <row r="783" spans="1:6" x14ac:dyDescent="0.3">
      <c r="A783" t="e">
        <f>#REF!</f>
        <v>#REF!</v>
      </c>
      <c r="B783" t="e">
        <f>#REF!</f>
        <v>#REF!</v>
      </c>
      <c r="C783" t="e">
        <f>#REF!</f>
        <v>#REF!</v>
      </c>
      <c r="D783" t="e">
        <f>#REF!</f>
        <v>#REF!</v>
      </c>
      <c r="E783" t="e">
        <f>#REF!</f>
        <v>#REF!</v>
      </c>
      <c r="F783" t="e">
        <f>#REF!</f>
        <v>#REF!</v>
      </c>
    </row>
    <row r="784" spans="1:6" x14ac:dyDescent="0.3">
      <c r="A784" t="e">
        <f>#REF!</f>
        <v>#REF!</v>
      </c>
      <c r="B784" t="e">
        <f>#REF!</f>
        <v>#REF!</v>
      </c>
      <c r="C784" t="e">
        <f>#REF!</f>
        <v>#REF!</v>
      </c>
      <c r="D784" t="e">
        <f>#REF!</f>
        <v>#REF!</v>
      </c>
      <c r="E784" t="e">
        <f>#REF!</f>
        <v>#REF!</v>
      </c>
      <c r="F784" t="e">
        <f>#REF!</f>
        <v>#REF!</v>
      </c>
    </row>
    <row r="785" spans="1:6" x14ac:dyDescent="0.3">
      <c r="A785" t="e">
        <f>#REF!</f>
        <v>#REF!</v>
      </c>
      <c r="B785" t="e">
        <f>#REF!</f>
        <v>#REF!</v>
      </c>
      <c r="C785" t="e">
        <f>#REF!</f>
        <v>#REF!</v>
      </c>
      <c r="D785" t="e">
        <f>#REF!</f>
        <v>#REF!</v>
      </c>
      <c r="E785" t="e">
        <f>#REF!</f>
        <v>#REF!</v>
      </c>
      <c r="F785" t="e">
        <f>#REF!</f>
        <v>#REF!</v>
      </c>
    </row>
    <row r="786" spans="1:6" x14ac:dyDescent="0.3">
      <c r="A786" t="e">
        <f>#REF!</f>
        <v>#REF!</v>
      </c>
      <c r="B786" t="e">
        <f>#REF!</f>
        <v>#REF!</v>
      </c>
      <c r="C786" t="e">
        <f>#REF!</f>
        <v>#REF!</v>
      </c>
      <c r="D786" t="e">
        <f>#REF!</f>
        <v>#REF!</v>
      </c>
      <c r="E786" t="e">
        <f>#REF!</f>
        <v>#REF!</v>
      </c>
      <c r="F786" t="e">
        <f>#REF!</f>
        <v>#REF!</v>
      </c>
    </row>
    <row r="787" spans="1:6" x14ac:dyDescent="0.3">
      <c r="A787" t="e">
        <f>#REF!</f>
        <v>#REF!</v>
      </c>
      <c r="B787" t="e">
        <f>#REF!</f>
        <v>#REF!</v>
      </c>
      <c r="C787" t="e">
        <f>#REF!</f>
        <v>#REF!</v>
      </c>
      <c r="D787" t="e">
        <f>#REF!</f>
        <v>#REF!</v>
      </c>
      <c r="E787" t="e">
        <f>#REF!</f>
        <v>#REF!</v>
      </c>
      <c r="F787" t="e">
        <f>#REF!</f>
        <v>#REF!</v>
      </c>
    </row>
    <row r="788" spans="1:6" x14ac:dyDescent="0.3">
      <c r="A788" t="e">
        <f>#REF!</f>
        <v>#REF!</v>
      </c>
      <c r="B788" t="e">
        <f>#REF!</f>
        <v>#REF!</v>
      </c>
      <c r="C788" t="e">
        <f>#REF!</f>
        <v>#REF!</v>
      </c>
      <c r="D788" t="e">
        <f>#REF!</f>
        <v>#REF!</v>
      </c>
      <c r="E788" t="e">
        <f>#REF!</f>
        <v>#REF!</v>
      </c>
      <c r="F788" t="e">
        <f>#REF!</f>
        <v>#REF!</v>
      </c>
    </row>
    <row r="789" spans="1:6" x14ac:dyDescent="0.3">
      <c r="A789" t="e">
        <f>#REF!</f>
        <v>#REF!</v>
      </c>
      <c r="B789" t="e">
        <f>#REF!</f>
        <v>#REF!</v>
      </c>
      <c r="C789" t="e">
        <f>#REF!</f>
        <v>#REF!</v>
      </c>
      <c r="D789" t="e">
        <f>#REF!</f>
        <v>#REF!</v>
      </c>
      <c r="E789" t="e">
        <f>#REF!</f>
        <v>#REF!</v>
      </c>
      <c r="F789" t="e">
        <f>#REF!</f>
        <v>#REF!</v>
      </c>
    </row>
    <row r="790" spans="1:6" x14ac:dyDescent="0.3">
      <c r="A790" t="e">
        <f>#REF!</f>
        <v>#REF!</v>
      </c>
      <c r="B790" t="e">
        <f>#REF!</f>
        <v>#REF!</v>
      </c>
      <c r="C790" t="e">
        <f>#REF!</f>
        <v>#REF!</v>
      </c>
      <c r="D790" t="e">
        <f>#REF!</f>
        <v>#REF!</v>
      </c>
      <c r="E790" t="e">
        <f>#REF!</f>
        <v>#REF!</v>
      </c>
      <c r="F790" t="e">
        <f>#REF!</f>
        <v>#REF!</v>
      </c>
    </row>
    <row r="791" spans="1:6" x14ac:dyDescent="0.3">
      <c r="A791" t="e">
        <f>#REF!</f>
        <v>#REF!</v>
      </c>
      <c r="B791" t="e">
        <f>#REF!</f>
        <v>#REF!</v>
      </c>
      <c r="C791" t="e">
        <f>#REF!</f>
        <v>#REF!</v>
      </c>
      <c r="D791" t="e">
        <f>#REF!</f>
        <v>#REF!</v>
      </c>
      <c r="E791" t="e">
        <f>#REF!</f>
        <v>#REF!</v>
      </c>
      <c r="F791" t="e">
        <f>#REF!</f>
        <v>#REF!</v>
      </c>
    </row>
    <row r="792" spans="1:6" x14ac:dyDescent="0.3">
      <c r="A792" t="e">
        <f>#REF!</f>
        <v>#REF!</v>
      </c>
      <c r="B792" t="e">
        <f>#REF!</f>
        <v>#REF!</v>
      </c>
      <c r="C792" t="e">
        <f>#REF!</f>
        <v>#REF!</v>
      </c>
      <c r="D792" t="e">
        <f>#REF!</f>
        <v>#REF!</v>
      </c>
      <c r="E792" t="e">
        <f>#REF!</f>
        <v>#REF!</v>
      </c>
      <c r="F792" t="e">
        <f>#REF!</f>
        <v>#REF!</v>
      </c>
    </row>
    <row r="793" spans="1:6" x14ac:dyDescent="0.3">
      <c r="A793" t="e">
        <f>#REF!</f>
        <v>#REF!</v>
      </c>
      <c r="B793" t="e">
        <f>#REF!</f>
        <v>#REF!</v>
      </c>
      <c r="C793" t="e">
        <f>#REF!</f>
        <v>#REF!</v>
      </c>
      <c r="D793" t="e">
        <f>#REF!</f>
        <v>#REF!</v>
      </c>
      <c r="E793" t="e">
        <f>#REF!</f>
        <v>#REF!</v>
      </c>
      <c r="F793" t="e">
        <f>#REF!</f>
        <v>#REF!</v>
      </c>
    </row>
    <row r="794" spans="1:6" x14ac:dyDescent="0.3">
      <c r="A794" t="e">
        <f>#REF!</f>
        <v>#REF!</v>
      </c>
      <c r="B794" t="e">
        <f>#REF!</f>
        <v>#REF!</v>
      </c>
      <c r="C794" t="e">
        <f>#REF!</f>
        <v>#REF!</v>
      </c>
      <c r="D794" t="e">
        <f>#REF!</f>
        <v>#REF!</v>
      </c>
      <c r="E794" t="e">
        <f>#REF!</f>
        <v>#REF!</v>
      </c>
      <c r="F794" t="e">
        <f>#REF!</f>
        <v>#REF!</v>
      </c>
    </row>
    <row r="795" spans="1:6" x14ac:dyDescent="0.3">
      <c r="A795" t="e">
        <f>#REF!</f>
        <v>#REF!</v>
      </c>
      <c r="B795" t="e">
        <f>#REF!</f>
        <v>#REF!</v>
      </c>
      <c r="C795" t="e">
        <f>#REF!</f>
        <v>#REF!</v>
      </c>
      <c r="D795" t="e">
        <f>#REF!</f>
        <v>#REF!</v>
      </c>
      <c r="E795" t="e">
        <f>#REF!</f>
        <v>#REF!</v>
      </c>
      <c r="F795" t="e">
        <f>#REF!</f>
        <v>#REF!</v>
      </c>
    </row>
    <row r="796" spans="1:6" x14ac:dyDescent="0.3">
      <c r="A796" t="e">
        <f>#REF!</f>
        <v>#REF!</v>
      </c>
      <c r="B796" t="e">
        <f>#REF!</f>
        <v>#REF!</v>
      </c>
      <c r="C796" t="e">
        <f>#REF!</f>
        <v>#REF!</v>
      </c>
      <c r="D796" t="e">
        <f>#REF!</f>
        <v>#REF!</v>
      </c>
      <c r="E796" t="e">
        <f>#REF!</f>
        <v>#REF!</v>
      </c>
      <c r="F796" t="e">
        <f>#REF!</f>
        <v>#REF!</v>
      </c>
    </row>
    <row r="797" spans="1:6" x14ac:dyDescent="0.3">
      <c r="A797" t="e">
        <f>#REF!</f>
        <v>#REF!</v>
      </c>
      <c r="B797" t="e">
        <f>#REF!</f>
        <v>#REF!</v>
      </c>
      <c r="C797" t="e">
        <f>#REF!</f>
        <v>#REF!</v>
      </c>
      <c r="D797" t="e">
        <f>#REF!</f>
        <v>#REF!</v>
      </c>
      <c r="E797" t="e">
        <f>#REF!</f>
        <v>#REF!</v>
      </c>
      <c r="F797" t="e">
        <f>#REF!</f>
        <v>#REF!</v>
      </c>
    </row>
    <row r="798" spans="1:6" x14ac:dyDescent="0.3">
      <c r="A798" t="e">
        <f>#REF!</f>
        <v>#REF!</v>
      </c>
      <c r="B798" t="e">
        <f>#REF!</f>
        <v>#REF!</v>
      </c>
      <c r="C798" t="e">
        <f>#REF!</f>
        <v>#REF!</v>
      </c>
      <c r="D798" t="e">
        <f>#REF!</f>
        <v>#REF!</v>
      </c>
      <c r="E798" t="e">
        <f>#REF!</f>
        <v>#REF!</v>
      </c>
      <c r="F798" t="e">
        <f>#REF!</f>
        <v>#REF!</v>
      </c>
    </row>
    <row r="799" spans="1:6" x14ac:dyDescent="0.3">
      <c r="A799" t="e">
        <f>#REF!</f>
        <v>#REF!</v>
      </c>
      <c r="B799" t="e">
        <f>#REF!</f>
        <v>#REF!</v>
      </c>
      <c r="C799" t="e">
        <f>#REF!</f>
        <v>#REF!</v>
      </c>
      <c r="D799" t="e">
        <f>#REF!</f>
        <v>#REF!</v>
      </c>
      <c r="E799" t="e">
        <f>#REF!</f>
        <v>#REF!</v>
      </c>
      <c r="F799" t="e">
        <f>#REF!</f>
        <v>#REF!</v>
      </c>
    </row>
    <row r="800" spans="1:6" x14ac:dyDescent="0.3">
      <c r="A800" t="e">
        <f>#REF!</f>
        <v>#REF!</v>
      </c>
      <c r="B800" t="e">
        <f>#REF!</f>
        <v>#REF!</v>
      </c>
      <c r="C800" t="e">
        <f>#REF!</f>
        <v>#REF!</v>
      </c>
      <c r="D800" t="e">
        <f>#REF!</f>
        <v>#REF!</v>
      </c>
      <c r="E800" t="e">
        <f>#REF!</f>
        <v>#REF!</v>
      </c>
      <c r="F800" t="e">
        <f>#REF!</f>
        <v>#REF!</v>
      </c>
    </row>
    <row r="801" spans="1:6" x14ac:dyDescent="0.3">
      <c r="A801" t="e">
        <f>#REF!</f>
        <v>#REF!</v>
      </c>
      <c r="B801" t="e">
        <f>#REF!</f>
        <v>#REF!</v>
      </c>
      <c r="C801" t="e">
        <f>#REF!</f>
        <v>#REF!</v>
      </c>
      <c r="D801" t="e">
        <f>#REF!</f>
        <v>#REF!</v>
      </c>
      <c r="E801" t="e">
        <f>#REF!</f>
        <v>#REF!</v>
      </c>
      <c r="F801" t="e">
        <f>#REF!</f>
        <v>#REF!</v>
      </c>
    </row>
    <row r="802" spans="1:6" x14ac:dyDescent="0.3">
      <c r="A802" t="e">
        <f>#REF!</f>
        <v>#REF!</v>
      </c>
      <c r="B802" t="e">
        <f>#REF!</f>
        <v>#REF!</v>
      </c>
      <c r="C802" t="e">
        <f>#REF!</f>
        <v>#REF!</v>
      </c>
      <c r="D802" t="e">
        <f>#REF!</f>
        <v>#REF!</v>
      </c>
      <c r="E802" t="e">
        <f>#REF!</f>
        <v>#REF!</v>
      </c>
      <c r="F802" t="e">
        <f>#REF!</f>
        <v>#REF!</v>
      </c>
    </row>
    <row r="803" spans="1:6" x14ac:dyDescent="0.3">
      <c r="A803" t="e">
        <f>#REF!</f>
        <v>#REF!</v>
      </c>
      <c r="B803" t="e">
        <f>#REF!</f>
        <v>#REF!</v>
      </c>
      <c r="C803" t="e">
        <f>#REF!</f>
        <v>#REF!</v>
      </c>
      <c r="D803" t="e">
        <f>#REF!</f>
        <v>#REF!</v>
      </c>
      <c r="E803" t="e">
        <f>#REF!</f>
        <v>#REF!</v>
      </c>
      <c r="F803" t="e">
        <f>#REF!</f>
        <v>#REF!</v>
      </c>
    </row>
    <row r="804" spans="1:6" x14ac:dyDescent="0.3">
      <c r="A804" t="e">
        <f>#REF!</f>
        <v>#REF!</v>
      </c>
      <c r="B804" t="e">
        <f>#REF!</f>
        <v>#REF!</v>
      </c>
      <c r="C804" t="e">
        <f>#REF!</f>
        <v>#REF!</v>
      </c>
      <c r="D804" t="e">
        <f>#REF!</f>
        <v>#REF!</v>
      </c>
      <c r="E804" t="e">
        <f>#REF!</f>
        <v>#REF!</v>
      </c>
      <c r="F804" t="e">
        <f>#REF!</f>
        <v>#REF!</v>
      </c>
    </row>
    <row r="805" spans="1:6" x14ac:dyDescent="0.3">
      <c r="A805" t="e">
        <f>#REF!</f>
        <v>#REF!</v>
      </c>
      <c r="B805" t="e">
        <f>#REF!</f>
        <v>#REF!</v>
      </c>
      <c r="C805" t="e">
        <f>#REF!</f>
        <v>#REF!</v>
      </c>
      <c r="D805" t="e">
        <f>#REF!</f>
        <v>#REF!</v>
      </c>
      <c r="E805" t="e">
        <f>#REF!</f>
        <v>#REF!</v>
      </c>
      <c r="F805" t="e">
        <f>#REF!</f>
        <v>#REF!</v>
      </c>
    </row>
    <row r="806" spans="1:6" x14ac:dyDescent="0.3">
      <c r="A806" t="e">
        <f>#REF!</f>
        <v>#REF!</v>
      </c>
      <c r="B806" t="e">
        <f>#REF!</f>
        <v>#REF!</v>
      </c>
      <c r="C806" t="e">
        <f>#REF!</f>
        <v>#REF!</v>
      </c>
      <c r="D806" t="e">
        <f>#REF!</f>
        <v>#REF!</v>
      </c>
      <c r="E806" t="e">
        <f>#REF!</f>
        <v>#REF!</v>
      </c>
      <c r="F806" t="e">
        <f>#REF!</f>
        <v>#REF!</v>
      </c>
    </row>
    <row r="807" spans="1:6" x14ac:dyDescent="0.3">
      <c r="A807" t="e">
        <f>#REF!</f>
        <v>#REF!</v>
      </c>
      <c r="B807" t="e">
        <f>#REF!</f>
        <v>#REF!</v>
      </c>
      <c r="C807" t="e">
        <f>#REF!</f>
        <v>#REF!</v>
      </c>
      <c r="D807" t="e">
        <f>#REF!</f>
        <v>#REF!</v>
      </c>
      <c r="E807" t="e">
        <f>#REF!</f>
        <v>#REF!</v>
      </c>
      <c r="F807" t="e">
        <f>#REF!</f>
        <v>#REF!</v>
      </c>
    </row>
    <row r="808" spans="1:6" x14ac:dyDescent="0.3">
      <c r="A808" t="e">
        <f>#REF!</f>
        <v>#REF!</v>
      </c>
      <c r="B808" t="e">
        <f>#REF!</f>
        <v>#REF!</v>
      </c>
      <c r="C808" t="e">
        <f>#REF!</f>
        <v>#REF!</v>
      </c>
      <c r="D808" t="e">
        <f>#REF!</f>
        <v>#REF!</v>
      </c>
      <c r="E808" t="e">
        <f>#REF!</f>
        <v>#REF!</v>
      </c>
      <c r="F808" t="e">
        <f>#REF!</f>
        <v>#REF!</v>
      </c>
    </row>
    <row r="809" spans="1:6" x14ac:dyDescent="0.3">
      <c r="A809" t="e">
        <f>#REF!</f>
        <v>#REF!</v>
      </c>
      <c r="B809" t="e">
        <f>#REF!</f>
        <v>#REF!</v>
      </c>
      <c r="C809" t="e">
        <f>#REF!</f>
        <v>#REF!</v>
      </c>
      <c r="D809" t="e">
        <f>#REF!</f>
        <v>#REF!</v>
      </c>
      <c r="E809" t="e">
        <f>#REF!</f>
        <v>#REF!</v>
      </c>
      <c r="F809" t="e">
        <f>#REF!</f>
        <v>#REF!</v>
      </c>
    </row>
    <row r="810" spans="1:6" x14ac:dyDescent="0.3">
      <c r="A810" t="e">
        <f>#REF!</f>
        <v>#REF!</v>
      </c>
      <c r="B810" t="e">
        <f>#REF!</f>
        <v>#REF!</v>
      </c>
      <c r="C810" t="e">
        <f>#REF!</f>
        <v>#REF!</v>
      </c>
      <c r="D810" t="e">
        <f>#REF!</f>
        <v>#REF!</v>
      </c>
      <c r="E810" t="e">
        <f>#REF!</f>
        <v>#REF!</v>
      </c>
      <c r="F810" t="e">
        <f>#REF!</f>
        <v>#REF!</v>
      </c>
    </row>
    <row r="811" spans="1:6" x14ac:dyDescent="0.3">
      <c r="A811" t="e">
        <f>#REF!</f>
        <v>#REF!</v>
      </c>
      <c r="B811" t="e">
        <f>#REF!</f>
        <v>#REF!</v>
      </c>
      <c r="C811" t="e">
        <f>#REF!</f>
        <v>#REF!</v>
      </c>
      <c r="D811" t="e">
        <f>#REF!</f>
        <v>#REF!</v>
      </c>
      <c r="E811" t="e">
        <f>#REF!</f>
        <v>#REF!</v>
      </c>
      <c r="F811" t="e">
        <f>#REF!</f>
        <v>#REF!</v>
      </c>
    </row>
    <row r="812" spans="1:6" x14ac:dyDescent="0.3">
      <c r="A812" t="e">
        <f>#REF!</f>
        <v>#REF!</v>
      </c>
      <c r="B812" t="e">
        <f>#REF!</f>
        <v>#REF!</v>
      </c>
      <c r="C812" t="e">
        <f>#REF!</f>
        <v>#REF!</v>
      </c>
      <c r="D812" t="e">
        <f>#REF!</f>
        <v>#REF!</v>
      </c>
      <c r="E812" t="e">
        <f>#REF!</f>
        <v>#REF!</v>
      </c>
      <c r="F812" t="e">
        <f>#REF!</f>
        <v>#REF!</v>
      </c>
    </row>
    <row r="813" spans="1:6" x14ac:dyDescent="0.3">
      <c r="A813" t="e">
        <f>#REF!</f>
        <v>#REF!</v>
      </c>
      <c r="B813" t="e">
        <f>#REF!</f>
        <v>#REF!</v>
      </c>
      <c r="C813" t="e">
        <f>#REF!</f>
        <v>#REF!</v>
      </c>
      <c r="D813" t="e">
        <f>#REF!</f>
        <v>#REF!</v>
      </c>
      <c r="E813" t="e">
        <f>#REF!</f>
        <v>#REF!</v>
      </c>
      <c r="F813" t="e">
        <f>#REF!</f>
        <v>#REF!</v>
      </c>
    </row>
    <row r="814" spans="1:6" x14ac:dyDescent="0.3">
      <c r="A814" t="e">
        <f>#REF!</f>
        <v>#REF!</v>
      </c>
      <c r="B814" t="e">
        <f>#REF!</f>
        <v>#REF!</v>
      </c>
      <c r="C814" t="e">
        <f>#REF!</f>
        <v>#REF!</v>
      </c>
      <c r="D814" t="e">
        <f>#REF!</f>
        <v>#REF!</v>
      </c>
      <c r="E814" t="e">
        <f>#REF!</f>
        <v>#REF!</v>
      </c>
      <c r="F814" t="e">
        <f>#REF!</f>
        <v>#REF!</v>
      </c>
    </row>
    <row r="815" spans="1:6" x14ac:dyDescent="0.3">
      <c r="A815" t="e">
        <f>#REF!</f>
        <v>#REF!</v>
      </c>
      <c r="B815" t="e">
        <f>#REF!</f>
        <v>#REF!</v>
      </c>
      <c r="C815" t="e">
        <f>#REF!</f>
        <v>#REF!</v>
      </c>
      <c r="D815" t="e">
        <f>#REF!</f>
        <v>#REF!</v>
      </c>
      <c r="E815" t="e">
        <f>#REF!</f>
        <v>#REF!</v>
      </c>
      <c r="F815" t="e">
        <f>#REF!</f>
        <v>#REF!</v>
      </c>
    </row>
    <row r="816" spans="1:6" x14ac:dyDescent="0.3">
      <c r="A816" t="e">
        <f>#REF!</f>
        <v>#REF!</v>
      </c>
      <c r="B816" t="e">
        <f>#REF!</f>
        <v>#REF!</v>
      </c>
      <c r="C816" t="e">
        <f>#REF!</f>
        <v>#REF!</v>
      </c>
      <c r="D816" t="e">
        <f>#REF!</f>
        <v>#REF!</v>
      </c>
      <c r="E816" t="e">
        <f>#REF!</f>
        <v>#REF!</v>
      </c>
      <c r="F816" t="e">
        <f>#REF!</f>
        <v>#REF!</v>
      </c>
    </row>
    <row r="817" spans="1:6" x14ac:dyDescent="0.3">
      <c r="A817" t="e">
        <f>#REF!</f>
        <v>#REF!</v>
      </c>
      <c r="B817" t="e">
        <f>#REF!</f>
        <v>#REF!</v>
      </c>
      <c r="C817" t="e">
        <f>#REF!</f>
        <v>#REF!</v>
      </c>
      <c r="D817" t="e">
        <f>#REF!</f>
        <v>#REF!</v>
      </c>
      <c r="E817" t="e">
        <f>#REF!</f>
        <v>#REF!</v>
      </c>
      <c r="F817" t="e">
        <f>#REF!</f>
        <v>#REF!</v>
      </c>
    </row>
    <row r="818" spans="1:6" x14ac:dyDescent="0.3">
      <c r="A818" t="e">
        <f>#REF!</f>
        <v>#REF!</v>
      </c>
      <c r="B818" t="e">
        <f>#REF!</f>
        <v>#REF!</v>
      </c>
      <c r="C818" t="e">
        <f>#REF!</f>
        <v>#REF!</v>
      </c>
      <c r="D818" t="e">
        <f>#REF!</f>
        <v>#REF!</v>
      </c>
      <c r="E818" t="e">
        <f>#REF!</f>
        <v>#REF!</v>
      </c>
      <c r="F818" t="e">
        <f>#REF!</f>
        <v>#REF!</v>
      </c>
    </row>
    <row r="819" spans="1:6" x14ac:dyDescent="0.3">
      <c r="A819" t="e">
        <f>#REF!</f>
        <v>#REF!</v>
      </c>
      <c r="B819" t="e">
        <f>#REF!</f>
        <v>#REF!</v>
      </c>
      <c r="C819" t="e">
        <f>#REF!</f>
        <v>#REF!</v>
      </c>
      <c r="D819" t="e">
        <f>#REF!</f>
        <v>#REF!</v>
      </c>
      <c r="E819" t="e">
        <f>#REF!</f>
        <v>#REF!</v>
      </c>
      <c r="F819" t="e">
        <f>#REF!</f>
        <v>#REF!</v>
      </c>
    </row>
    <row r="820" spans="1:6" x14ac:dyDescent="0.3">
      <c r="A820" t="e">
        <f>#REF!</f>
        <v>#REF!</v>
      </c>
      <c r="B820" t="e">
        <f>#REF!</f>
        <v>#REF!</v>
      </c>
      <c r="C820" t="e">
        <f>#REF!</f>
        <v>#REF!</v>
      </c>
      <c r="D820" t="e">
        <f>#REF!</f>
        <v>#REF!</v>
      </c>
      <c r="E820" t="e">
        <f>#REF!</f>
        <v>#REF!</v>
      </c>
      <c r="F820" t="e">
        <f>#REF!</f>
        <v>#REF!</v>
      </c>
    </row>
    <row r="821" spans="1:6" x14ac:dyDescent="0.3">
      <c r="A821" t="e">
        <f>#REF!</f>
        <v>#REF!</v>
      </c>
      <c r="B821" t="e">
        <f>#REF!</f>
        <v>#REF!</v>
      </c>
      <c r="C821" t="e">
        <f>#REF!</f>
        <v>#REF!</v>
      </c>
      <c r="D821" t="e">
        <f>#REF!</f>
        <v>#REF!</v>
      </c>
      <c r="E821" t="e">
        <f>#REF!</f>
        <v>#REF!</v>
      </c>
      <c r="F821" t="e">
        <f>#REF!</f>
        <v>#REF!</v>
      </c>
    </row>
    <row r="822" spans="1:6" x14ac:dyDescent="0.3">
      <c r="A822" t="e">
        <f>#REF!</f>
        <v>#REF!</v>
      </c>
      <c r="B822" t="e">
        <f>#REF!</f>
        <v>#REF!</v>
      </c>
      <c r="C822" t="e">
        <f>#REF!</f>
        <v>#REF!</v>
      </c>
      <c r="D822" t="e">
        <f>#REF!</f>
        <v>#REF!</v>
      </c>
      <c r="E822" t="e">
        <f>#REF!</f>
        <v>#REF!</v>
      </c>
      <c r="F822" t="e">
        <f>#REF!</f>
        <v>#REF!</v>
      </c>
    </row>
    <row r="823" spans="1:6" x14ac:dyDescent="0.3">
      <c r="A823" t="e">
        <f>#REF!</f>
        <v>#REF!</v>
      </c>
      <c r="B823" t="e">
        <f>#REF!</f>
        <v>#REF!</v>
      </c>
      <c r="C823" t="e">
        <f>#REF!</f>
        <v>#REF!</v>
      </c>
      <c r="D823" t="e">
        <f>#REF!</f>
        <v>#REF!</v>
      </c>
      <c r="E823" t="e">
        <f>#REF!</f>
        <v>#REF!</v>
      </c>
      <c r="F823" t="e">
        <f>#REF!</f>
        <v>#REF!</v>
      </c>
    </row>
    <row r="824" spans="1:6" x14ac:dyDescent="0.3">
      <c r="A824" t="e">
        <f>#REF!</f>
        <v>#REF!</v>
      </c>
      <c r="B824" t="e">
        <f>#REF!</f>
        <v>#REF!</v>
      </c>
      <c r="C824" t="e">
        <f>#REF!</f>
        <v>#REF!</v>
      </c>
      <c r="D824" t="e">
        <f>#REF!</f>
        <v>#REF!</v>
      </c>
      <c r="E824" t="e">
        <f>#REF!</f>
        <v>#REF!</v>
      </c>
      <c r="F824" t="e">
        <f>#REF!</f>
        <v>#REF!</v>
      </c>
    </row>
    <row r="825" spans="1:6" x14ac:dyDescent="0.3">
      <c r="A825" t="e">
        <f>#REF!</f>
        <v>#REF!</v>
      </c>
      <c r="B825" t="e">
        <f>#REF!</f>
        <v>#REF!</v>
      </c>
      <c r="C825" t="e">
        <f>#REF!</f>
        <v>#REF!</v>
      </c>
      <c r="D825" t="e">
        <f>#REF!</f>
        <v>#REF!</v>
      </c>
      <c r="E825" t="e">
        <f>#REF!</f>
        <v>#REF!</v>
      </c>
      <c r="F825" t="e">
        <f>#REF!</f>
        <v>#REF!</v>
      </c>
    </row>
    <row r="826" spans="1:6" x14ac:dyDescent="0.3">
      <c r="A826" t="e">
        <f>#REF!</f>
        <v>#REF!</v>
      </c>
      <c r="B826" t="e">
        <f>#REF!</f>
        <v>#REF!</v>
      </c>
      <c r="C826" t="e">
        <f>#REF!</f>
        <v>#REF!</v>
      </c>
      <c r="D826" t="e">
        <f>#REF!</f>
        <v>#REF!</v>
      </c>
      <c r="E826" t="e">
        <f>#REF!</f>
        <v>#REF!</v>
      </c>
      <c r="F826" t="e">
        <f>#REF!</f>
        <v>#REF!</v>
      </c>
    </row>
    <row r="827" spans="1:6" x14ac:dyDescent="0.3">
      <c r="A827" t="e">
        <f>#REF!</f>
        <v>#REF!</v>
      </c>
      <c r="B827" t="e">
        <f>#REF!</f>
        <v>#REF!</v>
      </c>
      <c r="C827" t="e">
        <f>#REF!</f>
        <v>#REF!</v>
      </c>
      <c r="D827" t="e">
        <f>#REF!</f>
        <v>#REF!</v>
      </c>
      <c r="E827" t="e">
        <f>#REF!</f>
        <v>#REF!</v>
      </c>
      <c r="F827" t="e">
        <f>#REF!</f>
        <v>#REF!</v>
      </c>
    </row>
    <row r="828" spans="1:6" x14ac:dyDescent="0.3">
      <c r="A828" t="e">
        <f>#REF!</f>
        <v>#REF!</v>
      </c>
      <c r="B828" t="e">
        <f>#REF!</f>
        <v>#REF!</v>
      </c>
      <c r="C828" t="e">
        <f>#REF!</f>
        <v>#REF!</v>
      </c>
      <c r="D828" t="e">
        <f>#REF!</f>
        <v>#REF!</v>
      </c>
      <c r="E828" t="e">
        <f>#REF!</f>
        <v>#REF!</v>
      </c>
      <c r="F828" t="e">
        <f>#REF!</f>
        <v>#REF!</v>
      </c>
    </row>
    <row r="829" spans="1:6" x14ac:dyDescent="0.3">
      <c r="A829" t="e">
        <f>#REF!</f>
        <v>#REF!</v>
      </c>
      <c r="B829" t="e">
        <f>#REF!</f>
        <v>#REF!</v>
      </c>
      <c r="C829" t="e">
        <f>#REF!</f>
        <v>#REF!</v>
      </c>
      <c r="D829" t="e">
        <f>#REF!</f>
        <v>#REF!</v>
      </c>
      <c r="E829" t="e">
        <f>#REF!</f>
        <v>#REF!</v>
      </c>
      <c r="F829" t="e">
        <f>#REF!</f>
        <v>#REF!</v>
      </c>
    </row>
    <row r="830" spans="1:6" x14ac:dyDescent="0.3">
      <c r="A830" t="e">
        <f>#REF!</f>
        <v>#REF!</v>
      </c>
      <c r="B830" t="e">
        <f>#REF!</f>
        <v>#REF!</v>
      </c>
      <c r="C830" t="e">
        <f>#REF!</f>
        <v>#REF!</v>
      </c>
      <c r="D830" t="e">
        <f>#REF!</f>
        <v>#REF!</v>
      </c>
      <c r="E830" t="e">
        <f>#REF!</f>
        <v>#REF!</v>
      </c>
      <c r="F830" t="e">
        <f>#REF!</f>
        <v>#REF!</v>
      </c>
    </row>
    <row r="831" spans="1:6" x14ac:dyDescent="0.3">
      <c r="A831" t="e">
        <f>#REF!</f>
        <v>#REF!</v>
      </c>
      <c r="B831" t="e">
        <f>#REF!</f>
        <v>#REF!</v>
      </c>
      <c r="C831" t="e">
        <f>#REF!</f>
        <v>#REF!</v>
      </c>
      <c r="D831" t="e">
        <f>#REF!</f>
        <v>#REF!</v>
      </c>
      <c r="E831" t="e">
        <f>#REF!</f>
        <v>#REF!</v>
      </c>
      <c r="F831" t="e">
        <f>#REF!</f>
        <v>#REF!</v>
      </c>
    </row>
    <row r="832" spans="1:6" x14ac:dyDescent="0.3">
      <c r="A832" t="e">
        <f>#REF!</f>
        <v>#REF!</v>
      </c>
      <c r="B832" t="e">
        <f>#REF!</f>
        <v>#REF!</v>
      </c>
      <c r="C832" t="e">
        <f>#REF!</f>
        <v>#REF!</v>
      </c>
      <c r="D832" t="e">
        <f>#REF!</f>
        <v>#REF!</v>
      </c>
      <c r="E832" t="e">
        <f>#REF!</f>
        <v>#REF!</v>
      </c>
      <c r="F832" t="e">
        <f>#REF!</f>
        <v>#REF!</v>
      </c>
    </row>
    <row r="833" spans="1:6" x14ac:dyDescent="0.3">
      <c r="A833" t="e">
        <f>#REF!</f>
        <v>#REF!</v>
      </c>
      <c r="B833" t="e">
        <f>#REF!</f>
        <v>#REF!</v>
      </c>
      <c r="C833" t="e">
        <f>#REF!</f>
        <v>#REF!</v>
      </c>
      <c r="D833" t="e">
        <f>#REF!</f>
        <v>#REF!</v>
      </c>
      <c r="E833" t="e">
        <f>#REF!</f>
        <v>#REF!</v>
      </c>
      <c r="F833" t="e">
        <f>#REF!</f>
        <v>#REF!</v>
      </c>
    </row>
    <row r="834" spans="1:6" x14ac:dyDescent="0.3">
      <c r="A834" t="e">
        <f>#REF!</f>
        <v>#REF!</v>
      </c>
      <c r="B834" t="e">
        <f>#REF!</f>
        <v>#REF!</v>
      </c>
      <c r="C834" t="e">
        <f>#REF!</f>
        <v>#REF!</v>
      </c>
      <c r="D834" t="e">
        <f>#REF!</f>
        <v>#REF!</v>
      </c>
      <c r="E834" t="e">
        <f>#REF!</f>
        <v>#REF!</v>
      </c>
      <c r="F834" t="e">
        <f>#REF!</f>
        <v>#REF!</v>
      </c>
    </row>
    <row r="835" spans="1:6" x14ac:dyDescent="0.3">
      <c r="A835" t="e">
        <f>#REF!</f>
        <v>#REF!</v>
      </c>
      <c r="B835" t="e">
        <f>#REF!</f>
        <v>#REF!</v>
      </c>
      <c r="C835" t="e">
        <f>#REF!</f>
        <v>#REF!</v>
      </c>
      <c r="D835" t="e">
        <f>#REF!</f>
        <v>#REF!</v>
      </c>
      <c r="E835" t="e">
        <f>#REF!</f>
        <v>#REF!</v>
      </c>
      <c r="F835" t="e">
        <f>#REF!</f>
        <v>#REF!</v>
      </c>
    </row>
    <row r="836" spans="1:6" x14ac:dyDescent="0.3">
      <c r="A836" t="e">
        <f>#REF!</f>
        <v>#REF!</v>
      </c>
      <c r="B836" t="e">
        <f>#REF!</f>
        <v>#REF!</v>
      </c>
      <c r="C836" t="e">
        <f>#REF!</f>
        <v>#REF!</v>
      </c>
      <c r="D836" t="e">
        <f>#REF!</f>
        <v>#REF!</v>
      </c>
      <c r="E836" t="e">
        <f>#REF!</f>
        <v>#REF!</v>
      </c>
      <c r="F836" t="e">
        <f>#REF!</f>
        <v>#REF!</v>
      </c>
    </row>
    <row r="837" spans="1:6" x14ac:dyDescent="0.3">
      <c r="A837" t="e">
        <f>#REF!</f>
        <v>#REF!</v>
      </c>
      <c r="B837" t="e">
        <f>#REF!</f>
        <v>#REF!</v>
      </c>
      <c r="C837" t="e">
        <f>#REF!</f>
        <v>#REF!</v>
      </c>
      <c r="D837" t="e">
        <f>#REF!</f>
        <v>#REF!</v>
      </c>
      <c r="E837" t="e">
        <f>#REF!</f>
        <v>#REF!</v>
      </c>
      <c r="F837" t="e">
        <f>#REF!</f>
        <v>#REF!</v>
      </c>
    </row>
    <row r="838" spans="1:6" x14ac:dyDescent="0.3">
      <c r="A838" t="e">
        <f>#REF!</f>
        <v>#REF!</v>
      </c>
      <c r="B838" t="e">
        <f>#REF!</f>
        <v>#REF!</v>
      </c>
      <c r="C838" t="e">
        <f>#REF!</f>
        <v>#REF!</v>
      </c>
      <c r="D838" t="e">
        <f>#REF!</f>
        <v>#REF!</v>
      </c>
      <c r="E838" t="e">
        <f>#REF!</f>
        <v>#REF!</v>
      </c>
      <c r="F838" t="e">
        <f>#REF!</f>
        <v>#REF!</v>
      </c>
    </row>
    <row r="839" spans="1:6" x14ac:dyDescent="0.3">
      <c r="A839" t="e">
        <f>#REF!</f>
        <v>#REF!</v>
      </c>
      <c r="B839" t="e">
        <f>#REF!</f>
        <v>#REF!</v>
      </c>
      <c r="C839" t="e">
        <f>#REF!</f>
        <v>#REF!</v>
      </c>
      <c r="D839" t="e">
        <f>#REF!</f>
        <v>#REF!</v>
      </c>
      <c r="E839" t="e">
        <f>#REF!</f>
        <v>#REF!</v>
      </c>
      <c r="F839" t="e">
        <f>#REF!</f>
        <v>#REF!</v>
      </c>
    </row>
    <row r="840" spans="1:6" x14ac:dyDescent="0.3">
      <c r="A840" t="e">
        <f>#REF!</f>
        <v>#REF!</v>
      </c>
      <c r="B840" t="e">
        <f>#REF!</f>
        <v>#REF!</v>
      </c>
      <c r="C840" t="e">
        <f>#REF!</f>
        <v>#REF!</v>
      </c>
      <c r="D840" t="e">
        <f>#REF!</f>
        <v>#REF!</v>
      </c>
      <c r="E840" t="e">
        <f>#REF!</f>
        <v>#REF!</v>
      </c>
      <c r="F840" t="e">
        <f>#REF!</f>
        <v>#REF!</v>
      </c>
    </row>
    <row r="841" spans="1:6" x14ac:dyDescent="0.3">
      <c r="A841" t="e">
        <f>#REF!</f>
        <v>#REF!</v>
      </c>
      <c r="B841" t="e">
        <f>#REF!</f>
        <v>#REF!</v>
      </c>
      <c r="C841" t="e">
        <f>#REF!</f>
        <v>#REF!</v>
      </c>
      <c r="D841" t="e">
        <f>#REF!</f>
        <v>#REF!</v>
      </c>
      <c r="E841" t="e">
        <f>#REF!</f>
        <v>#REF!</v>
      </c>
      <c r="F841" t="e">
        <f>#REF!</f>
        <v>#REF!</v>
      </c>
    </row>
    <row r="842" spans="1:6" x14ac:dyDescent="0.3">
      <c r="A842" t="e">
        <f>#REF!</f>
        <v>#REF!</v>
      </c>
      <c r="B842" t="e">
        <f>#REF!</f>
        <v>#REF!</v>
      </c>
      <c r="C842" t="e">
        <f>#REF!</f>
        <v>#REF!</v>
      </c>
      <c r="D842" t="e">
        <f>#REF!</f>
        <v>#REF!</v>
      </c>
      <c r="E842" t="e">
        <f>#REF!</f>
        <v>#REF!</v>
      </c>
      <c r="F842" t="e">
        <f>#REF!</f>
        <v>#REF!</v>
      </c>
    </row>
    <row r="843" spans="1:6" x14ac:dyDescent="0.3">
      <c r="A843" t="e">
        <f>#REF!</f>
        <v>#REF!</v>
      </c>
      <c r="B843" t="e">
        <f>#REF!</f>
        <v>#REF!</v>
      </c>
      <c r="C843" t="e">
        <f>#REF!</f>
        <v>#REF!</v>
      </c>
      <c r="D843" t="e">
        <f>#REF!</f>
        <v>#REF!</v>
      </c>
      <c r="E843" t="e">
        <f>#REF!</f>
        <v>#REF!</v>
      </c>
      <c r="F843" t="e">
        <f>#REF!</f>
        <v>#REF!</v>
      </c>
    </row>
    <row r="844" spans="1:6" x14ac:dyDescent="0.3">
      <c r="A844" t="e">
        <f>#REF!</f>
        <v>#REF!</v>
      </c>
      <c r="B844" t="e">
        <f>#REF!</f>
        <v>#REF!</v>
      </c>
      <c r="C844" t="e">
        <f>#REF!</f>
        <v>#REF!</v>
      </c>
      <c r="D844" t="e">
        <f>#REF!</f>
        <v>#REF!</v>
      </c>
      <c r="E844" t="e">
        <f>#REF!</f>
        <v>#REF!</v>
      </c>
      <c r="F844" t="e">
        <f>#REF!</f>
        <v>#REF!</v>
      </c>
    </row>
    <row r="845" spans="1:6" x14ac:dyDescent="0.3">
      <c r="A845" t="e">
        <f>#REF!</f>
        <v>#REF!</v>
      </c>
      <c r="B845" t="e">
        <f>#REF!</f>
        <v>#REF!</v>
      </c>
      <c r="C845" t="e">
        <f>#REF!</f>
        <v>#REF!</v>
      </c>
      <c r="D845" t="e">
        <f>#REF!</f>
        <v>#REF!</v>
      </c>
      <c r="E845" t="e">
        <f>#REF!</f>
        <v>#REF!</v>
      </c>
      <c r="F845" t="e">
        <f>#REF!</f>
        <v>#REF!</v>
      </c>
    </row>
    <row r="846" spans="1:6" x14ac:dyDescent="0.3">
      <c r="A846" t="e">
        <f>#REF!</f>
        <v>#REF!</v>
      </c>
      <c r="B846" t="e">
        <f>#REF!</f>
        <v>#REF!</v>
      </c>
      <c r="C846" t="e">
        <f>#REF!</f>
        <v>#REF!</v>
      </c>
      <c r="D846" t="e">
        <f>#REF!</f>
        <v>#REF!</v>
      </c>
      <c r="E846" t="e">
        <f>#REF!</f>
        <v>#REF!</v>
      </c>
      <c r="F846" t="e">
        <f>#REF!</f>
        <v>#REF!</v>
      </c>
    </row>
    <row r="847" spans="1:6" x14ac:dyDescent="0.3">
      <c r="A847" t="e">
        <f>#REF!</f>
        <v>#REF!</v>
      </c>
      <c r="B847" t="e">
        <f>#REF!</f>
        <v>#REF!</v>
      </c>
      <c r="C847" t="e">
        <f>#REF!</f>
        <v>#REF!</v>
      </c>
      <c r="D847" t="e">
        <f>#REF!</f>
        <v>#REF!</v>
      </c>
      <c r="E847" t="e">
        <f>#REF!</f>
        <v>#REF!</v>
      </c>
      <c r="F847" t="e">
        <f>#REF!</f>
        <v>#REF!</v>
      </c>
    </row>
    <row r="848" spans="1:6" x14ac:dyDescent="0.3">
      <c r="A848" t="e">
        <f>#REF!</f>
        <v>#REF!</v>
      </c>
      <c r="B848" t="e">
        <f>#REF!</f>
        <v>#REF!</v>
      </c>
      <c r="C848" t="e">
        <f>#REF!</f>
        <v>#REF!</v>
      </c>
      <c r="D848" t="e">
        <f>#REF!</f>
        <v>#REF!</v>
      </c>
      <c r="E848" t="e">
        <f>#REF!</f>
        <v>#REF!</v>
      </c>
      <c r="F848" t="e">
        <f>#REF!</f>
        <v>#REF!</v>
      </c>
    </row>
    <row r="849" spans="1:6" x14ac:dyDescent="0.3">
      <c r="A849" t="e">
        <f>#REF!</f>
        <v>#REF!</v>
      </c>
      <c r="B849" t="e">
        <f>#REF!</f>
        <v>#REF!</v>
      </c>
      <c r="C849" t="e">
        <f>#REF!</f>
        <v>#REF!</v>
      </c>
      <c r="D849" t="e">
        <f>#REF!</f>
        <v>#REF!</v>
      </c>
      <c r="E849" t="e">
        <f>#REF!</f>
        <v>#REF!</v>
      </c>
      <c r="F849" t="e">
        <f>#REF!</f>
        <v>#REF!</v>
      </c>
    </row>
    <row r="850" spans="1:6" x14ac:dyDescent="0.3">
      <c r="A850" t="e">
        <f>#REF!</f>
        <v>#REF!</v>
      </c>
      <c r="B850" t="e">
        <f>#REF!</f>
        <v>#REF!</v>
      </c>
      <c r="C850" t="e">
        <f>#REF!</f>
        <v>#REF!</v>
      </c>
      <c r="D850" t="e">
        <f>#REF!</f>
        <v>#REF!</v>
      </c>
      <c r="E850" t="e">
        <f>#REF!</f>
        <v>#REF!</v>
      </c>
      <c r="F850" t="e">
        <f>#REF!</f>
        <v>#REF!</v>
      </c>
    </row>
    <row r="851" spans="1:6" x14ac:dyDescent="0.3">
      <c r="A851" t="e">
        <f>#REF!</f>
        <v>#REF!</v>
      </c>
      <c r="B851" t="e">
        <f>#REF!</f>
        <v>#REF!</v>
      </c>
      <c r="C851" t="e">
        <f>#REF!</f>
        <v>#REF!</v>
      </c>
      <c r="D851" t="e">
        <f>#REF!</f>
        <v>#REF!</v>
      </c>
      <c r="E851" t="e">
        <f>#REF!</f>
        <v>#REF!</v>
      </c>
      <c r="F851" t="e">
        <f>#REF!</f>
        <v>#REF!</v>
      </c>
    </row>
    <row r="852" spans="1:6" x14ac:dyDescent="0.3">
      <c r="A852" t="e">
        <f>#REF!</f>
        <v>#REF!</v>
      </c>
      <c r="B852" t="e">
        <f>#REF!</f>
        <v>#REF!</v>
      </c>
      <c r="C852" t="e">
        <f>#REF!</f>
        <v>#REF!</v>
      </c>
      <c r="D852" t="e">
        <f>#REF!</f>
        <v>#REF!</v>
      </c>
      <c r="E852" t="e">
        <f>#REF!</f>
        <v>#REF!</v>
      </c>
      <c r="F852" t="e">
        <f>#REF!</f>
        <v>#REF!</v>
      </c>
    </row>
    <row r="853" spans="1:6" x14ac:dyDescent="0.3">
      <c r="A853" t="e">
        <f>#REF!</f>
        <v>#REF!</v>
      </c>
      <c r="B853" t="e">
        <f>#REF!</f>
        <v>#REF!</v>
      </c>
      <c r="C853" t="e">
        <f>#REF!</f>
        <v>#REF!</v>
      </c>
      <c r="D853" t="e">
        <f>#REF!</f>
        <v>#REF!</v>
      </c>
      <c r="E853" t="e">
        <f>#REF!</f>
        <v>#REF!</v>
      </c>
      <c r="F853" t="e">
        <f>#REF!</f>
        <v>#REF!</v>
      </c>
    </row>
    <row r="854" spans="1:6" x14ac:dyDescent="0.3">
      <c r="A854" t="e">
        <f>#REF!</f>
        <v>#REF!</v>
      </c>
      <c r="B854" t="e">
        <f>#REF!</f>
        <v>#REF!</v>
      </c>
      <c r="C854" t="e">
        <f>#REF!</f>
        <v>#REF!</v>
      </c>
      <c r="D854" t="e">
        <f>#REF!</f>
        <v>#REF!</v>
      </c>
      <c r="E854" t="e">
        <f>#REF!</f>
        <v>#REF!</v>
      </c>
      <c r="F854" t="e">
        <f>#REF!</f>
        <v>#REF!</v>
      </c>
    </row>
    <row r="855" spans="1:6" x14ac:dyDescent="0.3">
      <c r="A855" t="e">
        <f>#REF!</f>
        <v>#REF!</v>
      </c>
      <c r="B855" t="e">
        <f>#REF!</f>
        <v>#REF!</v>
      </c>
      <c r="C855" t="e">
        <f>#REF!</f>
        <v>#REF!</v>
      </c>
      <c r="D855" t="e">
        <f>#REF!</f>
        <v>#REF!</v>
      </c>
      <c r="E855" t="e">
        <f>#REF!</f>
        <v>#REF!</v>
      </c>
      <c r="F855" t="e">
        <f>#REF!</f>
        <v>#REF!</v>
      </c>
    </row>
    <row r="856" spans="1:6" x14ac:dyDescent="0.3">
      <c r="A856" t="e">
        <f>#REF!</f>
        <v>#REF!</v>
      </c>
      <c r="B856" t="e">
        <f>#REF!</f>
        <v>#REF!</v>
      </c>
      <c r="C856" t="e">
        <f>#REF!</f>
        <v>#REF!</v>
      </c>
      <c r="D856" t="e">
        <f>#REF!</f>
        <v>#REF!</v>
      </c>
      <c r="E856" t="e">
        <f>#REF!</f>
        <v>#REF!</v>
      </c>
      <c r="F856" t="e">
        <f>#REF!</f>
        <v>#REF!</v>
      </c>
    </row>
    <row r="857" spans="1:6" x14ac:dyDescent="0.3">
      <c r="A857" t="e">
        <f>#REF!</f>
        <v>#REF!</v>
      </c>
      <c r="B857" t="e">
        <f>#REF!</f>
        <v>#REF!</v>
      </c>
      <c r="C857" t="e">
        <f>#REF!</f>
        <v>#REF!</v>
      </c>
      <c r="D857" t="e">
        <f>#REF!</f>
        <v>#REF!</v>
      </c>
      <c r="E857" t="e">
        <f>#REF!</f>
        <v>#REF!</v>
      </c>
      <c r="F857" t="e">
        <f>#REF!</f>
        <v>#REF!</v>
      </c>
    </row>
    <row r="858" spans="1:6" x14ac:dyDescent="0.3">
      <c r="A858" t="e">
        <f>#REF!</f>
        <v>#REF!</v>
      </c>
      <c r="B858" t="e">
        <f>#REF!</f>
        <v>#REF!</v>
      </c>
      <c r="C858" t="e">
        <f>#REF!</f>
        <v>#REF!</v>
      </c>
      <c r="D858" t="e">
        <f>#REF!</f>
        <v>#REF!</v>
      </c>
      <c r="E858" t="e">
        <f>#REF!</f>
        <v>#REF!</v>
      </c>
      <c r="F858" t="e">
        <f>#REF!</f>
        <v>#REF!</v>
      </c>
    </row>
    <row r="859" spans="1:6" x14ac:dyDescent="0.3">
      <c r="A859" t="e">
        <f>#REF!</f>
        <v>#REF!</v>
      </c>
      <c r="B859" t="e">
        <f>#REF!</f>
        <v>#REF!</v>
      </c>
      <c r="C859" t="e">
        <f>#REF!</f>
        <v>#REF!</v>
      </c>
      <c r="D859" t="e">
        <f>#REF!</f>
        <v>#REF!</v>
      </c>
      <c r="E859" t="e">
        <f>#REF!</f>
        <v>#REF!</v>
      </c>
      <c r="F859" t="e">
        <f>#REF!</f>
        <v>#REF!</v>
      </c>
    </row>
    <row r="860" spans="1:6" x14ac:dyDescent="0.3">
      <c r="A860" t="e">
        <f>#REF!</f>
        <v>#REF!</v>
      </c>
      <c r="B860" t="e">
        <f>#REF!</f>
        <v>#REF!</v>
      </c>
      <c r="C860" t="e">
        <f>#REF!</f>
        <v>#REF!</v>
      </c>
      <c r="D860" t="e">
        <f>#REF!</f>
        <v>#REF!</v>
      </c>
      <c r="E860" t="e">
        <f>#REF!</f>
        <v>#REF!</v>
      </c>
      <c r="F860" t="e">
        <f>#REF!</f>
        <v>#REF!</v>
      </c>
    </row>
    <row r="861" spans="1:6" x14ac:dyDescent="0.3">
      <c r="A861" t="e">
        <f>#REF!</f>
        <v>#REF!</v>
      </c>
      <c r="B861" t="e">
        <f>#REF!</f>
        <v>#REF!</v>
      </c>
      <c r="C861" t="e">
        <f>#REF!</f>
        <v>#REF!</v>
      </c>
      <c r="D861" t="e">
        <f>#REF!</f>
        <v>#REF!</v>
      </c>
      <c r="E861" t="e">
        <f>#REF!</f>
        <v>#REF!</v>
      </c>
      <c r="F861" t="e">
        <f>#REF!</f>
        <v>#REF!</v>
      </c>
    </row>
    <row r="862" spans="1:6" x14ac:dyDescent="0.3">
      <c r="A862" t="e">
        <f>#REF!</f>
        <v>#REF!</v>
      </c>
      <c r="B862" t="e">
        <f>#REF!</f>
        <v>#REF!</v>
      </c>
      <c r="C862" t="e">
        <f>#REF!</f>
        <v>#REF!</v>
      </c>
      <c r="D862" t="e">
        <f>#REF!</f>
        <v>#REF!</v>
      </c>
      <c r="E862" t="e">
        <f>#REF!</f>
        <v>#REF!</v>
      </c>
      <c r="F862" t="e">
        <f>#REF!</f>
        <v>#REF!</v>
      </c>
    </row>
    <row r="863" spans="1:6" x14ac:dyDescent="0.3">
      <c r="A863" t="e">
        <f>#REF!</f>
        <v>#REF!</v>
      </c>
      <c r="B863" t="e">
        <f>#REF!</f>
        <v>#REF!</v>
      </c>
      <c r="C863" t="e">
        <f>#REF!</f>
        <v>#REF!</v>
      </c>
      <c r="D863" t="e">
        <f>#REF!</f>
        <v>#REF!</v>
      </c>
      <c r="E863" t="e">
        <f>#REF!</f>
        <v>#REF!</v>
      </c>
      <c r="F863" t="e">
        <f>#REF!</f>
        <v>#REF!</v>
      </c>
    </row>
    <row r="864" spans="1:6" x14ac:dyDescent="0.3">
      <c r="A864" t="e">
        <f>#REF!</f>
        <v>#REF!</v>
      </c>
      <c r="B864" t="e">
        <f>#REF!</f>
        <v>#REF!</v>
      </c>
      <c r="C864" t="e">
        <f>#REF!</f>
        <v>#REF!</v>
      </c>
      <c r="D864" t="e">
        <f>#REF!</f>
        <v>#REF!</v>
      </c>
      <c r="E864" t="e">
        <f>#REF!</f>
        <v>#REF!</v>
      </c>
      <c r="F864" t="e">
        <f>#REF!</f>
        <v>#REF!</v>
      </c>
    </row>
    <row r="865" spans="1:6" x14ac:dyDescent="0.3">
      <c r="A865" t="e">
        <f>#REF!</f>
        <v>#REF!</v>
      </c>
      <c r="B865" t="e">
        <f>#REF!</f>
        <v>#REF!</v>
      </c>
      <c r="C865" t="e">
        <f>#REF!</f>
        <v>#REF!</v>
      </c>
      <c r="D865" t="e">
        <f>#REF!</f>
        <v>#REF!</v>
      </c>
      <c r="E865" t="e">
        <f>#REF!</f>
        <v>#REF!</v>
      </c>
      <c r="F865" t="e">
        <f>#REF!</f>
        <v>#REF!</v>
      </c>
    </row>
    <row r="866" spans="1:6" x14ac:dyDescent="0.3">
      <c r="A866" t="e">
        <f>#REF!</f>
        <v>#REF!</v>
      </c>
      <c r="B866" t="e">
        <f>#REF!</f>
        <v>#REF!</v>
      </c>
      <c r="C866" t="e">
        <f>#REF!</f>
        <v>#REF!</v>
      </c>
      <c r="D866" t="e">
        <f>#REF!</f>
        <v>#REF!</v>
      </c>
      <c r="E866" t="e">
        <f>#REF!</f>
        <v>#REF!</v>
      </c>
      <c r="F866" t="e">
        <f>#REF!</f>
        <v>#REF!</v>
      </c>
    </row>
    <row r="867" spans="1:6" x14ac:dyDescent="0.3">
      <c r="A867" t="e">
        <f>#REF!</f>
        <v>#REF!</v>
      </c>
      <c r="B867" t="e">
        <f>#REF!</f>
        <v>#REF!</v>
      </c>
      <c r="C867" t="e">
        <f>#REF!</f>
        <v>#REF!</v>
      </c>
      <c r="D867" t="e">
        <f>#REF!</f>
        <v>#REF!</v>
      </c>
      <c r="E867" t="e">
        <f>#REF!</f>
        <v>#REF!</v>
      </c>
      <c r="F867" t="e">
        <f>#REF!</f>
        <v>#REF!</v>
      </c>
    </row>
    <row r="868" spans="1:6" x14ac:dyDescent="0.3">
      <c r="A868" t="e">
        <f>#REF!</f>
        <v>#REF!</v>
      </c>
      <c r="B868" t="e">
        <f>#REF!</f>
        <v>#REF!</v>
      </c>
      <c r="C868" t="e">
        <f>#REF!</f>
        <v>#REF!</v>
      </c>
      <c r="D868" t="e">
        <f>#REF!</f>
        <v>#REF!</v>
      </c>
      <c r="E868" t="e">
        <f>#REF!</f>
        <v>#REF!</v>
      </c>
      <c r="F868" t="e">
        <f>#REF!</f>
        <v>#REF!</v>
      </c>
    </row>
    <row r="869" spans="1:6" x14ac:dyDescent="0.3">
      <c r="A869" t="e">
        <f>#REF!</f>
        <v>#REF!</v>
      </c>
      <c r="B869" t="e">
        <f>#REF!</f>
        <v>#REF!</v>
      </c>
      <c r="C869" t="e">
        <f>#REF!</f>
        <v>#REF!</v>
      </c>
      <c r="D869" t="e">
        <f>#REF!</f>
        <v>#REF!</v>
      </c>
      <c r="E869" t="e">
        <f>#REF!</f>
        <v>#REF!</v>
      </c>
      <c r="F869" t="e">
        <f>#REF!</f>
        <v>#REF!</v>
      </c>
    </row>
    <row r="870" spans="1:6" x14ac:dyDescent="0.3">
      <c r="A870" t="e">
        <f>#REF!</f>
        <v>#REF!</v>
      </c>
      <c r="B870" t="e">
        <f>#REF!</f>
        <v>#REF!</v>
      </c>
      <c r="C870" t="e">
        <f>#REF!</f>
        <v>#REF!</v>
      </c>
      <c r="D870" t="e">
        <f>#REF!</f>
        <v>#REF!</v>
      </c>
      <c r="E870" t="e">
        <f>#REF!</f>
        <v>#REF!</v>
      </c>
      <c r="F870" t="e">
        <f>#REF!</f>
        <v>#REF!</v>
      </c>
    </row>
    <row r="871" spans="1:6" x14ac:dyDescent="0.3">
      <c r="A871" t="e">
        <f>#REF!</f>
        <v>#REF!</v>
      </c>
      <c r="B871" t="e">
        <f>#REF!</f>
        <v>#REF!</v>
      </c>
      <c r="C871" t="e">
        <f>#REF!</f>
        <v>#REF!</v>
      </c>
      <c r="D871" t="e">
        <f>#REF!</f>
        <v>#REF!</v>
      </c>
      <c r="E871" t="e">
        <f>#REF!</f>
        <v>#REF!</v>
      </c>
      <c r="F871" t="e">
        <f>#REF!</f>
        <v>#REF!</v>
      </c>
    </row>
    <row r="872" spans="1:6" x14ac:dyDescent="0.3">
      <c r="A872" t="e">
        <f>#REF!</f>
        <v>#REF!</v>
      </c>
      <c r="B872" t="e">
        <f>#REF!</f>
        <v>#REF!</v>
      </c>
      <c r="C872" t="e">
        <f>#REF!</f>
        <v>#REF!</v>
      </c>
      <c r="D872" t="e">
        <f>#REF!</f>
        <v>#REF!</v>
      </c>
      <c r="E872" t="e">
        <f>#REF!</f>
        <v>#REF!</v>
      </c>
      <c r="F872" t="e">
        <f>#REF!</f>
        <v>#REF!</v>
      </c>
    </row>
    <row r="873" spans="1:6" x14ac:dyDescent="0.3">
      <c r="A873" t="e">
        <f>#REF!</f>
        <v>#REF!</v>
      </c>
      <c r="B873" t="e">
        <f>#REF!</f>
        <v>#REF!</v>
      </c>
      <c r="C873" t="e">
        <f>#REF!</f>
        <v>#REF!</v>
      </c>
      <c r="D873" t="e">
        <f>#REF!</f>
        <v>#REF!</v>
      </c>
      <c r="E873" t="e">
        <f>#REF!</f>
        <v>#REF!</v>
      </c>
      <c r="F873" t="e">
        <f>#REF!</f>
        <v>#REF!</v>
      </c>
    </row>
    <row r="874" spans="1:6" x14ac:dyDescent="0.3">
      <c r="A874" t="e">
        <f>#REF!</f>
        <v>#REF!</v>
      </c>
      <c r="B874" t="e">
        <f>#REF!</f>
        <v>#REF!</v>
      </c>
      <c r="C874" t="e">
        <f>#REF!</f>
        <v>#REF!</v>
      </c>
      <c r="D874" t="e">
        <f>#REF!</f>
        <v>#REF!</v>
      </c>
      <c r="E874" t="e">
        <f>#REF!</f>
        <v>#REF!</v>
      </c>
      <c r="F874" t="e">
        <f>#REF!</f>
        <v>#REF!</v>
      </c>
    </row>
    <row r="875" spans="1:6" x14ac:dyDescent="0.3">
      <c r="A875" t="e">
        <f>#REF!</f>
        <v>#REF!</v>
      </c>
      <c r="B875" t="e">
        <f>#REF!</f>
        <v>#REF!</v>
      </c>
      <c r="C875" t="e">
        <f>#REF!</f>
        <v>#REF!</v>
      </c>
      <c r="D875" t="e">
        <f>#REF!</f>
        <v>#REF!</v>
      </c>
      <c r="E875" t="e">
        <f>#REF!</f>
        <v>#REF!</v>
      </c>
      <c r="F875" t="e">
        <f>#REF!</f>
        <v>#REF!</v>
      </c>
    </row>
    <row r="876" spans="1:6" x14ac:dyDescent="0.3">
      <c r="A876" t="e">
        <f>#REF!</f>
        <v>#REF!</v>
      </c>
      <c r="B876" t="e">
        <f>#REF!</f>
        <v>#REF!</v>
      </c>
      <c r="C876" t="e">
        <f>#REF!</f>
        <v>#REF!</v>
      </c>
      <c r="D876" t="e">
        <f>#REF!</f>
        <v>#REF!</v>
      </c>
      <c r="E876" t="e">
        <f>#REF!</f>
        <v>#REF!</v>
      </c>
      <c r="F876" t="e">
        <f>#REF!</f>
        <v>#REF!</v>
      </c>
    </row>
    <row r="877" spans="1:6" x14ac:dyDescent="0.3">
      <c r="A877" t="e">
        <f>#REF!</f>
        <v>#REF!</v>
      </c>
      <c r="B877" t="e">
        <f>#REF!</f>
        <v>#REF!</v>
      </c>
      <c r="C877" t="e">
        <f>#REF!</f>
        <v>#REF!</v>
      </c>
      <c r="D877" t="e">
        <f>#REF!</f>
        <v>#REF!</v>
      </c>
      <c r="E877" t="e">
        <f>#REF!</f>
        <v>#REF!</v>
      </c>
      <c r="F877" t="e">
        <f>#REF!</f>
        <v>#REF!</v>
      </c>
    </row>
    <row r="878" spans="1:6" x14ac:dyDescent="0.3">
      <c r="A878" t="e">
        <f>#REF!</f>
        <v>#REF!</v>
      </c>
      <c r="B878" t="e">
        <f>#REF!</f>
        <v>#REF!</v>
      </c>
      <c r="C878" t="e">
        <f>#REF!</f>
        <v>#REF!</v>
      </c>
      <c r="D878" t="e">
        <f>#REF!</f>
        <v>#REF!</v>
      </c>
      <c r="E878" t="e">
        <f>#REF!</f>
        <v>#REF!</v>
      </c>
      <c r="F878" t="e">
        <f>#REF!</f>
        <v>#REF!</v>
      </c>
    </row>
    <row r="879" spans="1:6" x14ac:dyDescent="0.3">
      <c r="A879" t="e">
        <f>#REF!</f>
        <v>#REF!</v>
      </c>
      <c r="B879" t="e">
        <f>#REF!</f>
        <v>#REF!</v>
      </c>
      <c r="C879" t="e">
        <f>#REF!</f>
        <v>#REF!</v>
      </c>
      <c r="D879" t="e">
        <f>#REF!</f>
        <v>#REF!</v>
      </c>
      <c r="E879" t="e">
        <f>#REF!</f>
        <v>#REF!</v>
      </c>
      <c r="F879" t="e">
        <f>#REF!</f>
        <v>#REF!</v>
      </c>
    </row>
    <row r="880" spans="1:6" x14ac:dyDescent="0.3">
      <c r="A880" t="e">
        <f>#REF!</f>
        <v>#REF!</v>
      </c>
      <c r="B880" t="e">
        <f>#REF!</f>
        <v>#REF!</v>
      </c>
      <c r="C880" t="e">
        <f>#REF!</f>
        <v>#REF!</v>
      </c>
      <c r="D880" t="e">
        <f>#REF!</f>
        <v>#REF!</v>
      </c>
      <c r="E880" t="e">
        <f>#REF!</f>
        <v>#REF!</v>
      </c>
      <c r="F880" t="e">
        <f>#REF!</f>
        <v>#REF!</v>
      </c>
    </row>
    <row r="881" spans="1:6" x14ac:dyDescent="0.3">
      <c r="A881" t="e">
        <f>#REF!</f>
        <v>#REF!</v>
      </c>
      <c r="B881" t="e">
        <f>#REF!</f>
        <v>#REF!</v>
      </c>
      <c r="C881" t="e">
        <f>#REF!</f>
        <v>#REF!</v>
      </c>
      <c r="D881" t="e">
        <f>#REF!</f>
        <v>#REF!</v>
      </c>
      <c r="E881" t="e">
        <f>#REF!</f>
        <v>#REF!</v>
      </c>
      <c r="F881" t="e">
        <f>#REF!</f>
        <v>#REF!</v>
      </c>
    </row>
    <row r="882" spans="1:6" x14ac:dyDescent="0.3">
      <c r="A882" t="e">
        <f>#REF!</f>
        <v>#REF!</v>
      </c>
      <c r="B882" t="e">
        <f>#REF!</f>
        <v>#REF!</v>
      </c>
      <c r="C882" t="e">
        <f>#REF!</f>
        <v>#REF!</v>
      </c>
      <c r="D882" t="e">
        <f>#REF!</f>
        <v>#REF!</v>
      </c>
      <c r="E882" t="e">
        <f>#REF!</f>
        <v>#REF!</v>
      </c>
      <c r="F882" t="e">
        <f>#REF!</f>
        <v>#REF!</v>
      </c>
    </row>
    <row r="883" spans="1:6" x14ac:dyDescent="0.3">
      <c r="A883" t="e">
        <f>#REF!</f>
        <v>#REF!</v>
      </c>
      <c r="B883" t="e">
        <f>#REF!</f>
        <v>#REF!</v>
      </c>
      <c r="C883" t="e">
        <f>#REF!</f>
        <v>#REF!</v>
      </c>
      <c r="D883" t="e">
        <f>#REF!</f>
        <v>#REF!</v>
      </c>
      <c r="E883" t="e">
        <f>#REF!</f>
        <v>#REF!</v>
      </c>
      <c r="F883" t="e">
        <f>#REF!</f>
        <v>#REF!</v>
      </c>
    </row>
    <row r="884" spans="1:6" x14ac:dyDescent="0.3">
      <c r="A884" t="e">
        <f>#REF!</f>
        <v>#REF!</v>
      </c>
      <c r="B884" t="e">
        <f>#REF!</f>
        <v>#REF!</v>
      </c>
      <c r="C884" t="e">
        <f>#REF!</f>
        <v>#REF!</v>
      </c>
      <c r="D884" t="e">
        <f>#REF!</f>
        <v>#REF!</v>
      </c>
      <c r="E884" t="e">
        <f>#REF!</f>
        <v>#REF!</v>
      </c>
      <c r="F884" t="e">
        <f>#REF!</f>
        <v>#REF!</v>
      </c>
    </row>
    <row r="885" spans="1:6" x14ac:dyDescent="0.3">
      <c r="A885" t="e">
        <f>#REF!</f>
        <v>#REF!</v>
      </c>
      <c r="B885" t="e">
        <f>#REF!</f>
        <v>#REF!</v>
      </c>
      <c r="C885" t="e">
        <f>#REF!</f>
        <v>#REF!</v>
      </c>
      <c r="D885" t="e">
        <f>#REF!</f>
        <v>#REF!</v>
      </c>
      <c r="E885" t="e">
        <f>#REF!</f>
        <v>#REF!</v>
      </c>
      <c r="F885" t="e">
        <f>#REF!</f>
        <v>#REF!</v>
      </c>
    </row>
    <row r="886" spans="1:6" x14ac:dyDescent="0.3">
      <c r="A886" t="e">
        <f>#REF!</f>
        <v>#REF!</v>
      </c>
      <c r="B886" t="e">
        <f>#REF!</f>
        <v>#REF!</v>
      </c>
      <c r="C886" t="e">
        <f>#REF!</f>
        <v>#REF!</v>
      </c>
      <c r="D886" t="e">
        <f>#REF!</f>
        <v>#REF!</v>
      </c>
      <c r="E886" t="e">
        <f>#REF!</f>
        <v>#REF!</v>
      </c>
      <c r="F886" t="e">
        <f>#REF!</f>
        <v>#REF!</v>
      </c>
    </row>
    <row r="887" spans="1:6" x14ac:dyDescent="0.3">
      <c r="A887" t="e">
        <f>#REF!</f>
        <v>#REF!</v>
      </c>
      <c r="B887" t="e">
        <f>#REF!</f>
        <v>#REF!</v>
      </c>
      <c r="C887" t="e">
        <f>#REF!</f>
        <v>#REF!</v>
      </c>
      <c r="D887" t="e">
        <f>#REF!</f>
        <v>#REF!</v>
      </c>
      <c r="E887" t="e">
        <f>#REF!</f>
        <v>#REF!</v>
      </c>
      <c r="F887" t="e">
        <f>#REF!</f>
        <v>#REF!</v>
      </c>
    </row>
    <row r="888" spans="1:6" x14ac:dyDescent="0.3">
      <c r="A888" t="e">
        <f>#REF!</f>
        <v>#REF!</v>
      </c>
      <c r="B888" t="e">
        <f>#REF!</f>
        <v>#REF!</v>
      </c>
      <c r="C888" t="e">
        <f>#REF!</f>
        <v>#REF!</v>
      </c>
      <c r="D888" t="e">
        <f>#REF!</f>
        <v>#REF!</v>
      </c>
      <c r="E888" t="e">
        <f>#REF!</f>
        <v>#REF!</v>
      </c>
      <c r="F888" t="e">
        <f>#REF!</f>
        <v>#REF!</v>
      </c>
    </row>
    <row r="889" spans="1:6" x14ac:dyDescent="0.3">
      <c r="A889" t="e">
        <f>#REF!</f>
        <v>#REF!</v>
      </c>
      <c r="B889" t="e">
        <f>#REF!</f>
        <v>#REF!</v>
      </c>
      <c r="C889" t="e">
        <f>#REF!</f>
        <v>#REF!</v>
      </c>
      <c r="D889" t="e">
        <f>#REF!</f>
        <v>#REF!</v>
      </c>
      <c r="E889" t="e">
        <f>#REF!</f>
        <v>#REF!</v>
      </c>
      <c r="F889" t="e">
        <f>#REF!</f>
        <v>#REF!</v>
      </c>
    </row>
    <row r="890" spans="1:6" x14ac:dyDescent="0.3">
      <c r="A890" t="e">
        <f>#REF!</f>
        <v>#REF!</v>
      </c>
      <c r="B890" t="e">
        <f>#REF!</f>
        <v>#REF!</v>
      </c>
      <c r="C890" t="e">
        <f>#REF!</f>
        <v>#REF!</v>
      </c>
      <c r="D890" t="e">
        <f>#REF!</f>
        <v>#REF!</v>
      </c>
      <c r="E890" t="e">
        <f>#REF!</f>
        <v>#REF!</v>
      </c>
      <c r="F890" t="e">
        <f>#REF!</f>
        <v>#REF!</v>
      </c>
    </row>
    <row r="891" spans="1:6" x14ac:dyDescent="0.3">
      <c r="A891" t="e">
        <f>#REF!</f>
        <v>#REF!</v>
      </c>
      <c r="B891" t="e">
        <f>#REF!</f>
        <v>#REF!</v>
      </c>
      <c r="C891" t="e">
        <f>#REF!</f>
        <v>#REF!</v>
      </c>
      <c r="D891" t="e">
        <f>#REF!</f>
        <v>#REF!</v>
      </c>
      <c r="E891" t="e">
        <f>#REF!</f>
        <v>#REF!</v>
      </c>
      <c r="F891" t="e">
        <f>#REF!</f>
        <v>#REF!</v>
      </c>
    </row>
    <row r="892" spans="1:6" x14ac:dyDescent="0.3">
      <c r="A892" t="e">
        <f>#REF!</f>
        <v>#REF!</v>
      </c>
      <c r="B892" t="e">
        <f>#REF!</f>
        <v>#REF!</v>
      </c>
      <c r="C892" t="e">
        <f>#REF!</f>
        <v>#REF!</v>
      </c>
      <c r="D892" t="e">
        <f>#REF!</f>
        <v>#REF!</v>
      </c>
      <c r="E892" t="e">
        <f>#REF!</f>
        <v>#REF!</v>
      </c>
      <c r="F892" t="e">
        <f>#REF!</f>
        <v>#REF!</v>
      </c>
    </row>
    <row r="893" spans="1:6" x14ac:dyDescent="0.3">
      <c r="A893" t="e">
        <f>#REF!</f>
        <v>#REF!</v>
      </c>
      <c r="B893" t="e">
        <f>#REF!</f>
        <v>#REF!</v>
      </c>
      <c r="C893" t="e">
        <f>#REF!</f>
        <v>#REF!</v>
      </c>
      <c r="D893" t="e">
        <f>#REF!</f>
        <v>#REF!</v>
      </c>
      <c r="E893" t="e">
        <f>#REF!</f>
        <v>#REF!</v>
      </c>
      <c r="F893" t="e">
        <f>#REF!</f>
        <v>#REF!</v>
      </c>
    </row>
    <row r="894" spans="1:6" x14ac:dyDescent="0.3">
      <c r="A894" t="e">
        <f>#REF!</f>
        <v>#REF!</v>
      </c>
      <c r="B894" t="e">
        <f>#REF!</f>
        <v>#REF!</v>
      </c>
      <c r="C894" t="e">
        <f>#REF!</f>
        <v>#REF!</v>
      </c>
      <c r="D894" t="e">
        <f>#REF!</f>
        <v>#REF!</v>
      </c>
      <c r="E894" t="e">
        <f>#REF!</f>
        <v>#REF!</v>
      </c>
      <c r="F894" t="e">
        <f>#REF!</f>
        <v>#REF!</v>
      </c>
    </row>
    <row r="895" spans="1:6" x14ac:dyDescent="0.3">
      <c r="A895" t="e">
        <f>#REF!</f>
        <v>#REF!</v>
      </c>
      <c r="B895" t="e">
        <f>#REF!</f>
        <v>#REF!</v>
      </c>
      <c r="C895" t="e">
        <f>#REF!</f>
        <v>#REF!</v>
      </c>
      <c r="D895" t="e">
        <f>#REF!</f>
        <v>#REF!</v>
      </c>
      <c r="E895" t="e">
        <f>#REF!</f>
        <v>#REF!</v>
      </c>
      <c r="F895" t="e">
        <f>#REF!</f>
        <v>#REF!</v>
      </c>
    </row>
    <row r="896" spans="1:6" x14ac:dyDescent="0.3">
      <c r="A896" t="e">
        <f>#REF!</f>
        <v>#REF!</v>
      </c>
      <c r="B896" t="e">
        <f>#REF!</f>
        <v>#REF!</v>
      </c>
      <c r="C896" t="e">
        <f>#REF!</f>
        <v>#REF!</v>
      </c>
      <c r="D896" t="e">
        <f>#REF!</f>
        <v>#REF!</v>
      </c>
      <c r="E896" t="e">
        <f>#REF!</f>
        <v>#REF!</v>
      </c>
      <c r="F896" t="e">
        <f>#REF!</f>
        <v>#REF!</v>
      </c>
    </row>
    <row r="897" spans="1:6" x14ac:dyDescent="0.3">
      <c r="A897" t="e">
        <f>#REF!</f>
        <v>#REF!</v>
      </c>
      <c r="B897" t="e">
        <f>#REF!</f>
        <v>#REF!</v>
      </c>
      <c r="C897" t="e">
        <f>#REF!</f>
        <v>#REF!</v>
      </c>
      <c r="D897" t="e">
        <f>#REF!</f>
        <v>#REF!</v>
      </c>
      <c r="E897" t="e">
        <f>#REF!</f>
        <v>#REF!</v>
      </c>
      <c r="F897" t="e">
        <f>#REF!</f>
        <v>#REF!</v>
      </c>
    </row>
    <row r="898" spans="1:6" x14ac:dyDescent="0.3">
      <c r="A898" t="e">
        <f>#REF!</f>
        <v>#REF!</v>
      </c>
      <c r="B898" t="e">
        <f>#REF!</f>
        <v>#REF!</v>
      </c>
      <c r="C898" t="e">
        <f>#REF!</f>
        <v>#REF!</v>
      </c>
      <c r="D898" t="e">
        <f>#REF!</f>
        <v>#REF!</v>
      </c>
      <c r="E898" t="e">
        <f>#REF!</f>
        <v>#REF!</v>
      </c>
      <c r="F898" t="e">
        <f>#REF!</f>
        <v>#REF!</v>
      </c>
    </row>
    <row r="899" spans="1:6" x14ac:dyDescent="0.3">
      <c r="A899" t="e">
        <f>#REF!</f>
        <v>#REF!</v>
      </c>
      <c r="B899" t="e">
        <f>#REF!</f>
        <v>#REF!</v>
      </c>
      <c r="C899" t="e">
        <f>#REF!</f>
        <v>#REF!</v>
      </c>
      <c r="D899" t="e">
        <f>#REF!</f>
        <v>#REF!</v>
      </c>
      <c r="E899" t="e">
        <f>#REF!</f>
        <v>#REF!</v>
      </c>
      <c r="F899" t="e">
        <f>#REF!</f>
        <v>#REF!</v>
      </c>
    </row>
    <row r="900" spans="1:6" x14ac:dyDescent="0.3">
      <c r="A900" t="e">
        <f>#REF!</f>
        <v>#REF!</v>
      </c>
      <c r="B900" t="e">
        <f>#REF!</f>
        <v>#REF!</v>
      </c>
      <c r="C900" t="e">
        <f>#REF!</f>
        <v>#REF!</v>
      </c>
      <c r="D900" t="e">
        <f>#REF!</f>
        <v>#REF!</v>
      </c>
      <c r="E900" t="e">
        <f>#REF!</f>
        <v>#REF!</v>
      </c>
      <c r="F900" t="e">
        <f>#REF!</f>
        <v>#REF!</v>
      </c>
    </row>
    <row r="901" spans="1:6" x14ac:dyDescent="0.3">
      <c r="A901" t="e">
        <f>#REF!</f>
        <v>#REF!</v>
      </c>
      <c r="B901" t="e">
        <f>#REF!</f>
        <v>#REF!</v>
      </c>
      <c r="C901" t="e">
        <f>#REF!</f>
        <v>#REF!</v>
      </c>
      <c r="D901" t="e">
        <f>#REF!</f>
        <v>#REF!</v>
      </c>
      <c r="E901" t="e">
        <f>#REF!</f>
        <v>#REF!</v>
      </c>
      <c r="F901" t="e">
        <f>#REF!</f>
        <v>#REF!</v>
      </c>
    </row>
    <row r="902" spans="1:6" x14ac:dyDescent="0.3">
      <c r="A902" t="e">
        <f>#REF!</f>
        <v>#REF!</v>
      </c>
      <c r="B902" t="e">
        <f>#REF!</f>
        <v>#REF!</v>
      </c>
      <c r="C902" t="e">
        <f>#REF!</f>
        <v>#REF!</v>
      </c>
      <c r="D902" t="e">
        <f>#REF!</f>
        <v>#REF!</v>
      </c>
      <c r="E902" t="e">
        <f>#REF!</f>
        <v>#REF!</v>
      </c>
      <c r="F902" t="e">
        <f>#REF!</f>
        <v>#REF!</v>
      </c>
    </row>
    <row r="903" spans="1:6" x14ac:dyDescent="0.3">
      <c r="A903" t="e">
        <f>#REF!</f>
        <v>#REF!</v>
      </c>
      <c r="B903" t="e">
        <f>#REF!</f>
        <v>#REF!</v>
      </c>
      <c r="C903" t="e">
        <f>#REF!</f>
        <v>#REF!</v>
      </c>
      <c r="D903" t="e">
        <f>#REF!</f>
        <v>#REF!</v>
      </c>
      <c r="E903" t="e">
        <f>#REF!</f>
        <v>#REF!</v>
      </c>
      <c r="F903" t="e">
        <f>#REF!</f>
        <v>#REF!</v>
      </c>
    </row>
    <row r="904" spans="1:6" x14ac:dyDescent="0.3">
      <c r="A904" t="e">
        <f>#REF!</f>
        <v>#REF!</v>
      </c>
      <c r="B904" t="e">
        <f>#REF!</f>
        <v>#REF!</v>
      </c>
      <c r="C904" t="e">
        <f>#REF!</f>
        <v>#REF!</v>
      </c>
      <c r="D904" t="e">
        <f>#REF!</f>
        <v>#REF!</v>
      </c>
      <c r="E904" t="e">
        <f>#REF!</f>
        <v>#REF!</v>
      </c>
      <c r="F904" t="e">
        <f>#REF!</f>
        <v>#REF!</v>
      </c>
    </row>
    <row r="905" spans="1:6" x14ac:dyDescent="0.3">
      <c r="A905" t="e">
        <f>#REF!</f>
        <v>#REF!</v>
      </c>
      <c r="B905" t="e">
        <f>#REF!</f>
        <v>#REF!</v>
      </c>
      <c r="C905" t="e">
        <f>#REF!</f>
        <v>#REF!</v>
      </c>
      <c r="D905" t="e">
        <f>#REF!</f>
        <v>#REF!</v>
      </c>
      <c r="E905" t="e">
        <f>#REF!</f>
        <v>#REF!</v>
      </c>
      <c r="F905" t="e">
        <f>#REF!</f>
        <v>#REF!</v>
      </c>
    </row>
    <row r="906" spans="1:6" x14ac:dyDescent="0.3">
      <c r="A906" t="e">
        <f>#REF!</f>
        <v>#REF!</v>
      </c>
      <c r="B906" t="e">
        <f>#REF!</f>
        <v>#REF!</v>
      </c>
      <c r="C906" t="e">
        <f>#REF!</f>
        <v>#REF!</v>
      </c>
      <c r="D906" t="e">
        <f>#REF!</f>
        <v>#REF!</v>
      </c>
      <c r="E906" t="e">
        <f>#REF!</f>
        <v>#REF!</v>
      </c>
      <c r="F906" t="e">
        <f>#REF!</f>
        <v>#REF!</v>
      </c>
    </row>
    <row r="907" spans="1:6" x14ac:dyDescent="0.3">
      <c r="A907" t="e">
        <f>#REF!</f>
        <v>#REF!</v>
      </c>
      <c r="B907" t="e">
        <f>#REF!</f>
        <v>#REF!</v>
      </c>
      <c r="C907" t="e">
        <f>#REF!</f>
        <v>#REF!</v>
      </c>
      <c r="D907" t="e">
        <f>#REF!</f>
        <v>#REF!</v>
      </c>
      <c r="E907" t="e">
        <f>#REF!</f>
        <v>#REF!</v>
      </c>
      <c r="F907" t="e">
        <f>#REF!</f>
        <v>#REF!</v>
      </c>
    </row>
    <row r="908" spans="1:6" x14ac:dyDescent="0.3">
      <c r="A908" t="e">
        <f>#REF!</f>
        <v>#REF!</v>
      </c>
      <c r="B908" t="e">
        <f>#REF!</f>
        <v>#REF!</v>
      </c>
      <c r="C908" t="e">
        <f>#REF!</f>
        <v>#REF!</v>
      </c>
      <c r="D908" t="e">
        <f>#REF!</f>
        <v>#REF!</v>
      </c>
      <c r="E908" t="e">
        <f>#REF!</f>
        <v>#REF!</v>
      </c>
      <c r="F908" t="e">
        <f>#REF!</f>
        <v>#REF!</v>
      </c>
    </row>
    <row r="909" spans="1:6" x14ac:dyDescent="0.3">
      <c r="A909" t="e">
        <f>#REF!</f>
        <v>#REF!</v>
      </c>
      <c r="B909" t="e">
        <f>#REF!</f>
        <v>#REF!</v>
      </c>
      <c r="C909" t="e">
        <f>#REF!</f>
        <v>#REF!</v>
      </c>
      <c r="D909" t="e">
        <f>#REF!</f>
        <v>#REF!</v>
      </c>
      <c r="E909" t="e">
        <f>#REF!</f>
        <v>#REF!</v>
      </c>
      <c r="F909" t="e">
        <f>#REF!</f>
        <v>#REF!</v>
      </c>
    </row>
    <row r="910" spans="1:6" x14ac:dyDescent="0.3">
      <c r="A910" t="e">
        <f>#REF!</f>
        <v>#REF!</v>
      </c>
      <c r="B910" t="e">
        <f>#REF!</f>
        <v>#REF!</v>
      </c>
      <c r="C910" t="e">
        <f>#REF!</f>
        <v>#REF!</v>
      </c>
      <c r="D910" t="e">
        <f>#REF!</f>
        <v>#REF!</v>
      </c>
      <c r="E910" t="e">
        <f>#REF!</f>
        <v>#REF!</v>
      </c>
      <c r="F910" t="e">
        <f>#REF!</f>
        <v>#REF!</v>
      </c>
    </row>
    <row r="911" spans="1:6" x14ac:dyDescent="0.3">
      <c r="A911" t="e">
        <f>#REF!</f>
        <v>#REF!</v>
      </c>
      <c r="B911" t="e">
        <f>#REF!</f>
        <v>#REF!</v>
      </c>
      <c r="C911" t="e">
        <f>#REF!</f>
        <v>#REF!</v>
      </c>
      <c r="D911" t="e">
        <f>#REF!</f>
        <v>#REF!</v>
      </c>
      <c r="E911" t="e">
        <f>#REF!</f>
        <v>#REF!</v>
      </c>
      <c r="F911" t="e">
        <f>#REF!</f>
        <v>#REF!</v>
      </c>
    </row>
    <row r="912" spans="1:6" x14ac:dyDescent="0.3">
      <c r="A912" t="e">
        <f>#REF!</f>
        <v>#REF!</v>
      </c>
      <c r="B912" t="e">
        <f>#REF!</f>
        <v>#REF!</v>
      </c>
      <c r="C912" t="e">
        <f>#REF!</f>
        <v>#REF!</v>
      </c>
      <c r="D912" t="e">
        <f>#REF!</f>
        <v>#REF!</v>
      </c>
      <c r="E912" t="e">
        <f>#REF!</f>
        <v>#REF!</v>
      </c>
      <c r="F912" t="e">
        <f>#REF!</f>
        <v>#REF!</v>
      </c>
    </row>
    <row r="913" spans="1:6" x14ac:dyDescent="0.3">
      <c r="A913" t="e">
        <f>#REF!</f>
        <v>#REF!</v>
      </c>
      <c r="B913" t="e">
        <f>#REF!</f>
        <v>#REF!</v>
      </c>
      <c r="C913" t="e">
        <f>#REF!</f>
        <v>#REF!</v>
      </c>
      <c r="D913" t="e">
        <f>#REF!</f>
        <v>#REF!</v>
      </c>
      <c r="E913" t="e">
        <f>#REF!</f>
        <v>#REF!</v>
      </c>
      <c r="F913" t="e">
        <f>#REF!</f>
        <v>#REF!</v>
      </c>
    </row>
    <row r="914" spans="1:6" x14ac:dyDescent="0.3">
      <c r="A914" t="e">
        <f>#REF!</f>
        <v>#REF!</v>
      </c>
      <c r="B914" t="e">
        <f>#REF!</f>
        <v>#REF!</v>
      </c>
      <c r="C914" t="e">
        <f>#REF!</f>
        <v>#REF!</v>
      </c>
      <c r="D914" t="e">
        <f>#REF!</f>
        <v>#REF!</v>
      </c>
      <c r="E914" t="e">
        <f>#REF!</f>
        <v>#REF!</v>
      </c>
      <c r="F914" t="e">
        <f>#REF!</f>
        <v>#REF!</v>
      </c>
    </row>
    <row r="915" spans="1:6" x14ac:dyDescent="0.3">
      <c r="A915" t="e">
        <f>#REF!</f>
        <v>#REF!</v>
      </c>
      <c r="B915" t="e">
        <f>#REF!</f>
        <v>#REF!</v>
      </c>
      <c r="C915" t="e">
        <f>#REF!</f>
        <v>#REF!</v>
      </c>
      <c r="D915" t="e">
        <f>#REF!</f>
        <v>#REF!</v>
      </c>
      <c r="E915" t="e">
        <f>#REF!</f>
        <v>#REF!</v>
      </c>
      <c r="F915" t="e">
        <f>#REF!</f>
        <v>#REF!</v>
      </c>
    </row>
    <row r="916" spans="1:6" x14ac:dyDescent="0.3">
      <c r="A916" t="e">
        <f>#REF!</f>
        <v>#REF!</v>
      </c>
      <c r="B916" t="e">
        <f>#REF!</f>
        <v>#REF!</v>
      </c>
      <c r="C916" t="e">
        <f>#REF!</f>
        <v>#REF!</v>
      </c>
      <c r="D916" t="e">
        <f>#REF!</f>
        <v>#REF!</v>
      </c>
      <c r="E916" t="e">
        <f>#REF!</f>
        <v>#REF!</v>
      </c>
      <c r="F916" t="e">
        <f>#REF!</f>
        <v>#REF!</v>
      </c>
    </row>
    <row r="917" spans="1:6" x14ac:dyDescent="0.3">
      <c r="A917" t="e">
        <f>#REF!</f>
        <v>#REF!</v>
      </c>
      <c r="B917" t="e">
        <f>#REF!</f>
        <v>#REF!</v>
      </c>
      <c r="C917" t="e">
        <f>#REF!</f>
        <v>#REF!</v>
      </c>
      <c r="D917" t="e">
        <f>#REF!</f>
        <v>#REF!</v>
      </c>
      <c r="E917" t="e">
        <f>#REF!</f>
        <v>#REF!</v>
      </c>
      <c r="F917" t="e">
        <f>#REF!</f>
        <v>#REF!</v>
      </c>
    </row>
    <row r="918" spans="1:6" x14ac:dyDescent="0.3">
      <c r="A918" t="e">
        <f>#REF!</f>
        <v>#REF!</v>
      </c>
      <c r="B918" t="e">
        <f>#REF!</f>
        <v>#REF!</v>
      </c>
      <c r="C918" t="e">
        <f>#REF!</f>
        <v>#REF!</v>
      </c>
      <c r="D918" t="e">
        <f>#REF!</f>
        <v>#REF!</v>
      </c>
      <c r="E918" t="e">
        <f>#REF!</f>
        <v>#REF!</v>
      </c>
      <c r="F918" t="e">
        <f>#REF!</f>
        <v>#REF!</v>
      </c>
    </row>
    <row r="919" spans="1:6" x14ac:dyDescent="0.3">
      <c r="A919" t="e">
        <f>#REF!</f>
        <v>#REF!</v>
      </c>
      <c r="B919" t="e">
        <f>#REF!</f>
        <v>#REF!</v>
      </c>
      <c r="C919" t="e">
        <f>#REF!</f>
        <v>#REF!</v>
      </c>
      <c r="D919" t="e">
        <f>#REF!</f>
        <v>#REF!</v>
      </c>
      <c r="E919" t="e">
        <f>#REF!</f>
        <v>#REF!</v>
      </c>
      <c r="F919" t="e">
        <f>#REF!</f>
        <v>#REF!</v>
      </c>
    </row>
    <row r="920" spans="1:6" x14ac:dyDescent="0.3">
      <c r="A920" t="e">
        <f>#REF!</f>
        <v>#REF!</v>
      </c>
      <c r="B920" t="e">
        <f>#REF!</f>
        <v>#REF!</v>
      </c>
      <c r="C920" t="e">
        <f>#REF!</f>
        <v>#REF!</v>
      </c>
      <c r="D920" t="e">
        <f>#REF!</f>
        <v>#REF!</v>
      </c>
      <c r="E920" t="e">
        <f>#REF!</f>
        <v>#REF!</v>
      </c>
      <c r="F920" t="e">
        <f>#REF!</f>
        <v>#REF!</v>
      </c>
    </row>
    <row r="921" spans="1:6" x14ac:dyDescent="0.3">
      <c r="A921" t="e">
        <f>#REF!</f>
        <v>#REF!</v>
      </c>
      <c r="B921" t="e">
        <f>#REF!</f>
        <v>#REF!</v>
      </c>
      <c r="C921" t="e">
        <f>#REF!</f>
        <v>#REF!</v>
      </c>
      <c r="D921" t="e">
        <f>#REF!</f>
        <v>#REF!</v>
      </c>
      <c r="E921" t="e">
        <f>#REF!</f>
        <v>#REF!</v>
      </c>
      <c r="F921" t="e">
        <f>#REF!</f>
        <v>#REF!</v>
      </c>
    </row>
    <row r="922" spans="1:6" x14ac:dyDescent="0.3">
      <c r="A922" t="e">
        <f>#REF!</f>
        <v>#REF!</v>
      </c>
      <c r="B922" t="e">
        <f>#REF!</f>
        <v>#REF!</v>
      </c>
      <c r="C922" t="e">
        <f>#REF!</f>
        <v>#REF!</v>
      </c>
      <c r="D922" t="e">
        <f>#REF!</f>
        <v>#REF!</v>
      </c>
      <c r="E922" t="e">
        <f>#REF!</f>
        <v>#REF!</v>
      </c>
      <c r="F922" t="e">
        <f>#REF!</f>
        <v>#REF!</v>
      </c>
    </row>
    <row r="923" spans="1:6" x14ac:dyDescent="0.3">
      <c r="A923" t="e">
        <f>#REF!</f>
        <v>#REF!</v>
      </c>
      <c r="B923" t="e">
        <f>#REF!</f>
        <v>#REF!</v>
      </c>
      <c r="C923" t="e">
        <f>#REF!</f>
        <v>#REF!</v>
      </c>
      <c r="D923" t="e">
        <f>#REF!</f>
        <v>#REF!</v>
      </c>
      <c r="E923" t="e">
        <f>#REF!</f>
        <v>#REF!</v>
      </c>
      <c r="F923" t="e">
        <f>#REF!</f>
        <v>#REF!</v>
      </c>
    </row>
    <row r="924" spans="1:6" x14ac:dyDescent="0.3">
      <c r="A924" t="e">
        <f>#REF!</f>
        <v>#REF!</v>
      </c>
      <c r="B924" t="e">
        <f>#REF!</f>
        <v>#REF!</v>
      </c>
      <c r="C924" t="e">
        <f>#REF!</f>
        <v>#REF!</v>
      </c>
      <c r="D924" t="e">
        <f>#REF!</f>
        <v>#REF!</v>
      </c>
      <c r="E924" t="e">
        <f>#REF!</f>
        <v>#REF!</v>
      </c>
      <c r="F924" t="e">
        <f>#REF!</f>
        <v>#REF!</v>
      </c>
    </row>
    <row r="925" spans="1:6" x14ac:dyDescent="0.3">
      <c r="A925" t="e">
        <f>#REF!</f>
        <v>#REF!</v>
      </c>
      <c r="B925" t="e">
        <f>#REF!</f>
        <v>#REF!</v>
      </c>
      <c r="C925" t="e">
        <f>#REF!</f>
        <v>#REF!</v>
      </c>
      <c r="D925" t="e">
        <f>#REF!</f>
        <v>#REF!</v>
      </c>
      <c r="E925" t="e">
        <f>#REF!</f>
        <v>#REF!</v>
      </c>
      <c r="F925" t="e">
        <f>#REF!</f>
        <v>#REF!</v>
      </c>
    </row>
    <row r="926" spans="1:6" x14ac:dyDescent="0.3">
      <c r="A926" t="e">
        <f>#REF!</f>
        <v>#REF!</v>
      </c>
      <c r="B926" t="e">
        <f>#REF!</f>
        <v>#REF!</v>
      </c>
      <c r="C926" t="e">
        <f>#REF!</f>
        <v>#REF!</v>
      </c>
      <c r="D926" t="e">
        <f>#REF!</f>
        <v>#REF!</v>
      </c>
      <c r="E926" t="e">
        <f>#REF!</f>
        <v>#REF!</v>
      </c>
      <c r="F926" t="e">
        <f>#REF!</f>
        <v>#REF!</v>
      </c>
    </row>
    <row r="927" spans="1:6" x14ac:dyDescent="0.3">
      <c r="A927" t="e">
        <f>#REF!</f>
        <v>#REF!</v>
      </c>
      <c r="B927" t="e">
        <f>#REF!</f>
        <v>#REF!</v>
      </c>
      <c r="C927" t="e">
        <f>#REF!</f>
        <v>#REF!</v>
      </c>
      <c r="D927" t="e">
        <f>#REF!</f>
        <v>#REF!</v>
      </c>
      <c r="E927" t="e">
        <f>#REF!</f>
        <v>#REF!</v>
      </c>
      <c r="F927" t="e">
        <f>#REF!</f>
        <v>#REF!</v>
      </c>
    </row>
    <row r="928" spans="1:6" x14ac:dyDescent="0.3">
      <c r="A928" t="e">
        <f>#REF!</f>
        <v>#REF!</v>
      </c>
      <c r="B928" t="e">
        <f>#REF!</f>
        <v>#REF!</v>
      </c>
      <c r="C928" t="e">
        <f>#REF!</f>
        <v>#REF!</v>
      </c>
      <c r="D928" t="e">
        <f>#REF!</f>
        <v>#REF!</v>
      </c>
      <c r="E928" t="e">
        <f>#REF!</f>
        <v>#REF!</v>
      </c>
      <c r="F928" t="e">
        <f>#REF!</f>
        <v>#REF!</v>
      </c>
    </row>
    <row r="929" spans="1:6" x14ac:dyDescent="0.3">
      <c r="A929" t="e">
        <f>#REF!</f>
        <v>#REF!</v>
      </c>
      <c r="B929" t="e">
        <f>#REF!</f>
        <v>#REF!</v>
      </c>
      <c r="C929" t="e">
        <f>#REF!</f>
        <v>#REF!</v>
      </c>
      <c r="D929" t="e">
        <f>#REF!</f>
        <v>#REF!</v>
      </c>
      <c r="E929" t="e">
        <f>#REF!</f>
        <v>#REF!</v>
      </c>
      <c r="F929" t="e">
        <f>#REF!</f>
        <v>#REF!</v>
      </c>
    </row>
    <row r="930" spans="1:6" x14ac:dyDescent="0.3">
      <c r="A930" t="e">
        <f>#REF!</f>
        <v>#REF!</v>
      </c>
      <c r="B930" t="e">
        <f>#REF!</f>
        <v>#REF!</v>
      </c>
      <c r="C930" t="e">
        <f>#REF!</f>
        <v>#REF!</v>
      </c>
      <c r="D930" t="e">
        <f>#REF!</f>
        <v>#REF!</v>
      </c>
      <c r="E930" t="e">
        <f>#REF!</f>
        <v>#REF!</v>
      </c>
      <c r="F930" t="e">
        <f>#REF!</f>
        <v>#REF!</v>
      </c>
    </row>
    <row r="931" spans="1:6" x14ac:dyDescent="0.3">
      <c r="A931" t="e">
        <f>#REF!</f>
        <v>#REF!</v>
      </c>
      <c r="B931" t="e">
        <f>#REF!</f>
        <v>#REF!</v>
      </c>
      <c r="C931" t="e">
        <f>#REF!</f>
        <v>#REF!</v>
      </c>
      <c r="D931" t="e">
        <f>#REF!</f>
        <v>#REF!</v>
      </c>
      <c r="E931" t="e">
        <f>#REF!</f>
        <v>#REF!</v>
      </c>
      <c r="F931" t="e">
        <f>#REF!</f>
        <v>#REF!</v>
      </c>
    </row>
    <row r="932" spans="1:6" x14ac:dyDescent="0.3">
      <c r="A932" t="e">
        <f>#REF!</f>
        <v>#REF!</v>
      </c>
      <c r="B932" t="e">
        <f>#REF!</f>
        <v>#REF!</v>
      </c>
      <c r="C932" t="e">
        <f>#REF!</f>
        <v>#REF!</v>
      </c>
      <c r="D932" t="e">
        <f>#REF!</f>
        <v>#REF!</v>
      </c>
      <c r="E932" t="e">
        <f>#REF!</f>
        <v>#REF!</v>
      </c>
      <c r="F932" t="e">
        <f>#REF!</f>
        <v>#REF!</v>
      </c>
    </row>
    <row r="933" spans="1:6" x14ac:dyDescent="0.3">
      <c r="A933" t="e">
        <f>#REF!</f>
        <v>#REF!</v>
      </c>
      <c r="B933" t="e">
        <f>#REF!</f>
        <v>#REF!</v>
      </c>
      <c r="C933" t="e">
        <f>#REF!</f>
        <v>#REF!</v>
      </c>
      <c r="D933" t="e">
        <f>#REF!</f>
        <v>#REF!</v>
      </c>
      <c r="E933" t="e">
        <f>#REF!</f>
        <v>#REF!</v>
      </c>
      <c r="F933" t="e">
        <f>#REF!</f>
        <v>#REF!</v>
      </c>
    </row>
    <row r="934" spans="1:6" x14ac:dyDescent="0.3">
      <c r="A934" t="e">
        <f>#REF!</f>
        <v>#REF!</v>
      </c>
      <c r="B934" t="e">
        <f>#REF!</f>
        <v>#REF!</v>
      </c>
      <c r="C934" t="e">
        <f>#REF!</f>
        <v>#REF!</v>
      </c>
      <c r="D934" t="e">
        <f>#REF!</f>
        <v>#REF!</v>
      </c>
      <c r="E934" t="e">
        <f>#REF!</f>
        <v>#REF!</v>
      </c>
      <c r="F934" t="e">
        <f>#REF!</f>
        <v>#REF!</v>
      </c>
    </row>
    <row r="935" spans="1:6" x14ac:dyDescent="0.3">
      <c r="A935" t="e">
        <f>#REF!</f>
        <v>#REF!</v>
      </c>
      <c r="B935" t="e">
        <f>#REF!</f>
        <v>#REF!</v>
      </c>
      <c r="C935" t="e">
        <f>#REF!</f>
        <v>#REF!</v>
      </c>
      <c r="D935" t="e">
        <f>#REF!</f>
        <v>#REF!</v>
      </c>
      <c r="E935" t="e">
        <f>#REF!</f>
        <v>#REF!</v>
      </c>
      <c r="F935" t="e">
        <f>#REF!</f>
        <v>#REF!</v>
      </c>
    </row>
    <row r="936" spans="1:6" x14ac:dyDescent="0.3">
      <c r="A936" t="e">
        <f>#REF!</f>
        <v>#REF!</v>
      </c>
      <c r="B936" t="e">
        <f>#REF!</f>
        <v>#REF!</v>
      </c>
      <c r="C936" t="e">
        <f>#REF!</f>
        <v>#REF!</v>
      </c>
      <c r="D936" t="e">
        <f>#REF!</f>
        <v>#REF!</v>
      </c>
      <c r="E936" t="e">
        <f>#REF!</f>
        <v>#REF!</v>
      </c>
      <c r="F936" t="e">
        <f>#REF!</f>
        <v>#REF!</v>
      </c>
    </row>
    <row r="937" spans="1:6" x14ac:dyDescent="0.3">
      <c r="A937" t="e">
        <f>#REF!</f>
        <v>#REF!</v>
      </c>
      <c r="B937" t="e">
        <f>#REF!</f>
        <v>#REF!</v>
      </c>
      <c r="C937" t="e">
        <f>#REF!</f>
        <v>#REF!</v>
      </c>
      <c r="D937" t="e">
        <f>#REF!</f>
        <v>#REF!</v>
      </c>
      <c r="E937" t="e">
        <f>#REF!</f>
        <v>#REF!</v>
      </c>
      <c r="F937" t="e">
        <f>#REF!</f>
        <v>#REF!</v>
      </c>
    </row>
    <row r="938" spans="1:6" x14ac:dyDescent="0.3">
      <c r="A938" t="e">
        <f>#REF!</f>
        <v>#REF!</v>
      </c>
      <c r="B938" t="e">
        <f>#REF!</f>
        <v>#REF!</v>
      </c>
      <c r="C938" t="e">
        <f>#REF!</f>
        <v>#REF!</v>
      </c>
      <c r="D938" t="e">
        <f>#REF!</f>
        <v>#REF!</v>
      </c>
      <c r="E938" t="e">
        <f>#REF!</f>
        <v>#REF!</v>
      </c>
      <c r="F938" t="e">
        <f>#REF!</f>
        <v>#REF!</v>
      </c>
    </row>
    <row r="939" spans="1:6" x14ac:dyDescent="0.3">
      <c r="A939" t="e">
        <f>#REF!</f>
        <v>#REF!</v>
      </c>
      <c r="B939" t="e">
        <f>#REF!</f>
        <v>#REF!</v>
      </c>
      <c r="C939" t="e">
        <f>#REF!</f>
        <v>#REF!</v>
      </c>
      <c r="D939" t="e">
        <f>#REF!</f>
        <v>#REF!</v>
      </c>
      <c r="E939" t="e">
        <f>#REF!</f>
        <v>#REF!</v>
      </c>
      <c r="F939" t="e">
        <f>#REF!</f>
        <v>#REF!</v>
      </c>
    </row>
    <row r="940" spans="1:6" x14ac:dyDescent="0.3">
      <c r="A940" t="e">
        <f>#REF!</f>
        <v>#REF!</v>
      </c>
      <c r="B940" t="e">
        <f>#REF!</f>
        <v>#REF!</v>
      </c>
      <c r="C940" t="e">
        <f>#REF!</f>
        <v>#REF!</v>
      </c>
      <c r="D940" t="e">
        <f>#REF!</f>
        <v>#REF!</v>
      </c>
      <c r="E940" t="e">
        <f>#REF!</f>
        <v>#REF!</v>
      </c>
      <c r="F940" t="e">
        <f>#REF!</f>
        <v>#REF!</v>
      </c>
    </row>
    <row r="941" spans="1:6" x14ac:dyDescent="0.3">
      <c r="A941" t="e">
        <f>#REF!</f>
        <v>#REF!</v>
      </c>
      <c r="B941" t="e">
        <f>#REF!</f>
        <v>#REF!</v>
      </c>
      <c r="C941" t="e">
        <f>#REF!</f>
        <v>#REF!</v>
      </c>
      <c r="D941" t="e">
        <f>#REF!</f>
        <v>#REF!</v>
      </c>
      <c r="E941" t="e">
        <f>#REF!</f>
        <v>#REF!</v>
      </c>
      <c r="F941" t="e">
        <f>#REF!</f>
        <v>#REF!</v>
      </c>
    </row>
    <row r="942" spans="1:6" x14ac:dyDescent="0.3">
      <c r="A942" t="e">
        <f>#REF!</f>
        <v>#REF!</v>
      </c>
      <c r="B942" t="e">
        <f>#REF!</f>
        <v>#REF!</v>
      </c>
      <c r="C942" t="e">
        <f>#REF!</f>
        <v>#REF!</v>
      </c>
      <c r="D942" t="e">
        <f>#REF!</f>
        <v>#REF!</v>
      </c>
      <c r="E942" t="e">
        <f>#REF!</f>
        <v>#REF!</v>
      </c>
      <c r="F942" t="e">
        <f>#REF!</f>
        <v>#REF!</v>
      </c>
    </row>
    <row r="943" spans="1:6" x14ac:dyDescent="0.3">
      <c r="A943" t="e">
        <f>#REF!</f>
        <v>#REF!</v>
      </c>
      <c r="B943" t="e">
        <f>#REF!</f>
        <v>#REF!</v>
      </c>
      <c r="C943" t="e">
        <f>#REF!</f>
        <v>#REF!</v>
      </c>
      <c r="D943" t="e">
        <f>#REF!</f>
        <v>#REF!</v>
      </c>
      <c r="E943" t="e">
        <f>#REF!</f>
        <v>#REF!</v>
      </c>
      <c r="F943" t="e">
        <f>#REF!</f>
        <v>#REF!</v>
      </c>
    </row>
    <row r="944" spans="1:6" x14ac:dyDescent="0.3">
      <c r="A944" t="e">
        <f>#REF!</f>
        <v>#REF!</v>
      </c>
      <c r="B944" t="e">
        <f>#REF!</f>
        <v>#REF!</v>
      </c>
      <c r="C944" t="e">
        <f>#REF!</f>
        <v>#REF!</v>
      </c>
      <c r="D944" t="e">
        <f>#REF!</f>
        <v>#REF!</v>
      </c>
      <c r="E944" t="e">
        <f>#REF!</f>
        <v>#REF!</v>
      </c>
      <c r="F944" t="e">
        <f>#REF!</f>
        <v>#REF!</v>
      </c>
    </row>
    <row r="945" spans="1:6" x14ac:dyDescent="0.3">
      <c r="A945" t="e">
        <f>#REF!</f>
        <v>#REF!</v>
      </c>
      <c r="B945" t="e">
        <f>#REF!</f>
        <v>#REF!</v>
      </c>
      <c r="C945" t="e">
        <f>#REF!</f>
        <v>#REF!</v>
      </c>
      <c r="D945" t="e">
        <f>#REF!</f>
        <v>#REF!</v>
      </c>
      <c r="E945" t="e">
        <f>#REF!</f>
        <v>#REF!</v>
      </c>
      <c r="F945" t="e">
        <f>#REF!</f>
        <v>#REF!</v>
      </c>
    </row>
    <row r="946" spans="1:6" x14ac:dyDescent="0.3">
      <c r="A946" t="e">
        <f>#REF!</f>
        <v>#REF!</v>
      </c>
      <c r="B946" t="e">
        <f>#REF!</f>
        <v>#REF!</v>
      </c>
      <c r="C946" t="e">
        <f>#REF!</f>
        <v>#REF!</v>
      </c>
      <c r="D946" t="e">
        <f>#REF!</f>
        <v>#REF!</v>
      </c>
      <c r="E946" t="e">
        <f>#REF!</f>
        <v>#REF!</v>
      </c>
      <c r="F946" t="e">
        <f>#REF!</f>
        <v>#REF!</v>
      </c>
    </row>
    <row r="947" spans="1:6" x14ac:dyDescent="0.3">
      <c r="A947" t="e">
        <f>#REF!</f>
        <v>#REF!</v>
      </c>
      <c r="B947" t="e">
        <f>#REF!</f>
        <v>#REF!</v>
      </c>
      <c r="C947" t="e">
        <f>#REF!</f>
        <v>#REF!</v>
      </c>
      <c r="D947" t="e">
        <f>#REF!</f>
        <v>#REF!</v>
      </c>
      <c r="E947" t="e">
        <f>#REF!</f>
        <v>#REF!</v>
      </c>
      <c r="F947" t="e">
        <f>#REF!</f>
        <v>#REF!</v>
      </c>
    </row>
    <row r="948" spans="1:6" x14ac:dyDescent="0.3">
      <c r="A948" t="e">
        <f>#REF!</f>
        <v>#REF!</v>
      </c>
      <c r="B948" t="e">
        <f>#REF!</f>
        <v>#REF!</v>
      </c>
      <c r="C948" t="e">
        <f>#REF!</f>
        <v>#REF!</v>
      </c>
      <c r="D948" t="e">
        <f>#REF!</f>
        <v>#REF!</v>
      </c>
      <c r="E948" t="e">
        <f>#REF!</f>
        <v>#REF!</v>
      </c>
      <c r="F948" t="e">
        <f>#REF!</f>
        <v>#REF!</v>
      </c>
    </row>
    <row r="949" spans="1:6" x14ac:dyDescent="0.3">
      <c r="A949" t="e">
        <f>#REF!</f>
        <v>#REF!</v>
      </c>
      <c r="B949" t="e">
        <f>#REF!</f>
        <v>#REF!</v>
      </c>
      <c r="C949" t="e">
        <f>#REF!</f>
        <v>#REF!</v>
      </c>
      <c r="D949" t="e">
        <f>#REF!</f>
        <v>#REF!</v>
      </c>
      <c r="E949" t="e">
        <f>#REF!</f>
        <v>#REF!</v>
      </c>
      <c r="F949" t="e">
        <f>#REF!</f>
        <v>#REF!</v>
      </c>
    </row>
    <row r="950" spans="1:6" x14ac:dyDescent="0.3">
      <c r="A950" t="e">
        <f>#REF!</f>
        <v>#REF!</v>
      </c>
      <c r="B950" t="e">
        <f>#REF!</f>
        <v>#REF!</v>
      </c>
      <c r="C950" t="e">
        <f>#REF!</f>
        <v>#REF!</v>
      </c>
      <c r="D950" t="e">
        <f>#REF!</f>
        <v>#REF!</v>
      </c>
      <c r="E950" t="e">
        <f>#REF!</f>
        <v>#REF!</v>
      </c>
      <c r="F950" t="e">
        <f>#REF!</f>
        <v>#REF!</v>
      </c>
    </row>
    <row r="951" spans="1:6" x14ac:dyDescent="0.3">
      <c r="A951" t="e">
        <f>#REF!</f>
        <v>#REF!</v>
      </c>
      <c r="B951" t="e">
        <f>#REF!</f>
        <v>#REF!</v>
      </c>
      <c r="C951" t="e">
        <f>#REF!</f>
        <v>#REF!</v>
      </c>
      <c r="D951" t="e">
        <f>#REF!</f>
        <v>#REF!</v>
      </c>
      <c r="E951" t="e">
        <f>#REF!</f>
        <v>#REF!</v>
      </c>
      <c r="F951" t="e">
        <f>#REF!</f>
        <v>#REF!</v>
      </c>
    </row>
    <row r="952" spans="1:6" x14ac:dyDescent="0.3">
      <c r="A952" t="e">
        <f>#REF!</f>
        <v>#REF!</v>
      </c>
      <c r="B952" t="e">
        <f>#REF!</f>
        <v>#REF!</v>
      </c>
      <c r="C952" t="e">
        <f>#REF!</f>
        <v>#REF!</v>
      </c>
      <c r="D952" t="e">
        <f>#REF!</f>
        <v>#REF!</v>
      </c>
      <c r="E952" t="e">
        <f>#REF!</f>
        <v>#REF!</v>
      </c>
      <c r="F952" t="e">
        <f>#REF!</f>
        <v>#REF!</v>
      </c>
    </row>
    <row r="953" spans="1:6" x14ac:dyDescent="0.3">
      <c r="A953" t="e">
        <f>#REF!</f>
        <v>#REF!</v>
      </c>
      <c r="B953" t="e">
        <f>#REF!</f>
        <v>#REF!</v>
      </c>
      <c r="C953" t="e">
        <f>#REF!</f>
        <v>#REF!</v>
      </c>
      <c r="D953" t="e">
        <f>#REF!</f>
        <v>#REF!</v>
      </c>
      <c r="E953" t="e">
        <f>#REF!</f>
        <v>#REF!</v>
      </c>
      <c r="F953" t="e">
        <f>#REF!</f>
        <v>#REF!</v>
      </c>
    </row>
    <row r="954" spans="1:6" x14ac:dyDescent="0.3">
      <c r="A954" t="e">
        <f>#REF!</f>
        <v>#REF!</v>
      </c>
      <c r="B954" t="e">
        <f>#REF!</f>
        <v>#REF!</v>
      </c>
      <c r="C954" t="e">
        <f>#REF!</f>
        <v>#REF!</v>
      </c>
      <c r="D954" t="e">
        <f>#REF!</f>
        <v>#REF!</v>
      </c>
      <c r="E954" t="e">
        <f>#REF!</f>
        <v>#REF!</v>
      </c>
      <c r="F954" t="e">
        <f>#REF!</f>
        <v>#REF!</v>
      </c>
    </row>
    <row r="955" spans="1:6" x14ac:dyDescent="0.3">
      <c r="A955" t="e">
        <f>#REF!</f>
        <v>#REF!</v>
      </c>
      <c r="B955" t="e">
        <f>#REF!</f>
        <v>#REF!</v>
      </c>
      <c r="C955" t="e">
        <f>#REF!</f>
        <v>#REF!</v>
      </c>
      <c r="D955" t="e">
        <f>#REF!</f>
        <v>#REF!</v>
      </c>
      <c r="E955" t="e">
        <f>#REF!</f>
        <v>#REF!</v>
      </c>
      <c r="F955" t="e">
        <f>#REF!</f>
        <v>#REF!</v>
      </c>
    </row>
    <row r="956" spans="1:6" x14ac:dyDescent="0.3">
      <c r="A956" t="e">
        <f>#REF!</f>
        <v>#REF!</v>
      </c>
      <c r="B956" t="e">
        <f>#REF!</f>
        <v>#REF!</v>
      </c>
      <c r="C956" t="e">
        <f>#REF!</f>
        <v>#REF!</v>
      </c>
      <c r="D956" t="e">
        <f>#REF!</f>
        <v>#REF!</v>
      </c>
      <c r="E956" t="e">
        <f>#REF!</f>
        <v>#REF!</v>
      </c>
      <c r="F956" t="e">
        <f>#REF!</f>
        <v>#REF!</v>
      </c>
    </row>
    <row r="957" spans="1:6" x14ac:dyDescent="0.3">
      <c r="A957" t="e">
        <f>#REF!</f>
        <v>#REF!</v>
      </c>
      <c r="B957" t="e">
        <f>#REF!</f>
        <v>#REF!</v>
      </c>
      <c r="C957" t="e">
        <f>#REF!</f>
        <v>#REF!</v>
      </c>
      <c r="D957" t="e">
        <f>#REF!</f>
        <v>#REF!</v>
      </c>
      <c r="E957" t="e">
        <f>#REF!</f>
        <v>#REF!</v>
      </c>
      <c r="F957" t="e">
        <f>#REF!</f>
        <v>#REF!</v>
      </c>
    </row>
    <row r="958" spans="1:6" x14ac:dyDescent="0.3">
      <c r="A958" t="e">
        <f>#REF!</f>
        <v>#REF!</v>
      </c>
      <c r="B958" t="e">
        <f>#REF!</f>
        <v>#REF!</v>
      </c>
      <c r="C958" t="e">
        <f>#REF!</f>
        <v>#REF!</v>
      </c>
      <c r="D958" t="e">
        <f>#REF!</f>
        <v>#REF!</v>
      </c>
      <c r="E958" t="e">
        <f>#REF!</f>
        <v>#REF!</v>
      </c>
      <c r="F958" t="e">
        <f>#REF!</f>
        <v>#REF!</v>
      </c>
    </row>
    <row r="959" spans="1:6" x14ac:dyDescent="0.3">
      <c r="A959" t="e">
        <f>#REF!</f>
        <v>#REF!</v>
      </c>
      <c r="B959" t="e">
        <f>#REF!</f>
        <v>#REF!</v>
      </c>
      <c r="C959" t="e">
        <f>#REF!</f>
        <v>#REF!</v>
      </c>
      <c r="D959" t="e">
        <f>#REF!</f>
        <v>#REF!</v>
      </c>
      <c r="E959" t="e">
        <f>#REF!</f>
        <v>#REF!</v>
      </c>
      <c r="F959" t="e">
        <f>#REF!</f>
        <v>#REF!</v>
      </c>
    </row>
    <row r="960" spans="1:6" x14ac:dyDescent="0.3">
      <c r="A960" t="e">
        <f>#REF!</f>
        <v>#REF!</v>
      </c>
      <c r="B960" t="e">
        <f>#REF!</f>
        <v>#REF!</v>
      </c>
      <c r="C960" t="e">
        <f>#REF!</f>
        <v>#REF!</v>
      </c>
      <c r="D960" t="e">
        <f>#REF!</f>
        <v>#REF!</v>
      </c>
      <c r="E960" t="e">
        <f>#REF!</f>
        <v>#REF!</v>
      </c>
      <c r="F960" t="e">
        <f>#REF!</f>
        <v>#REF!</v>
      </c>
    </row>
    <row r="961" spans="1:6" x14ac:dyDescent="0.3">
      <c r="A961" t="e">
        <f>#REF!</f>
        <v>#REF!</v>
      </c>
      <c r="B961" t="e">
        <f>#REF!</f>
        <v>#REF!</v>
      </c>
      <c r="C961" t="e">
        <f>#REF!</f>
        <v>#REF!</v>
      </c>
      <c r="D961" t="e">
        <f>#REF!</f>
        <v>#REF!</v>
      </c>
      <c r="E961" t="e">
        <f>#REF!</f>
        <v>#REF!</v>
      </c>
      <c r="F961" t="e">
        <f>#REF!</f>
        <v>#REF!</v>
      </c>
    </row>
    <row r="962" spans="1:6" x14ac:dyDescent="0.3">
      <c r="A962" t="e">
        <f>#REF!</f>
        <v>#REF!</v>
      </c>
      <c r="B962" t="e">
        <f>#REF!</f>
        <v>#REF!</v>
      </c>
      <c r="C962" t="e">
        <f>#REF!</f>
        <v>#REF!</v>
      </c>
      <c r="D962" t="e">
        <f>#REF!</f>
        <v>#REF!</v>
      </c>
      <c r="E962" t="e">
        <f>#REF!</f>
        <v>#REF!</v>
      </c>
      <c r="F962" t="e">
        <f>#REF!</f>
        <v>#REF!</v>
      </c>
    </row>
    <row r="963" spans="1:6" x14ac:dyDescent="0.3">
      <c r="A963" t="e">
        <f>#REF!</f>
        <v>#REF!</v>
      </c>
      <c r="B963" t="e">
        <f>#REF!</f>
        <v>#REF!</v>
      </c>
      <c r="C963" t="e">
        <f>#REF!</f>
        <v>#REF!</v>
      </c>
      <c r="D963" t="e">
        <f>#REF!</f>
        <v>#REF!</v>
      </c>
      <c r="E963" t="e">
        <f>#REF!</f>
        <v>#REF!</v>
      </c>
      <c r="F963" t="e">
        <f>#REF!</f>
        <v>#REF!</v>
      </c>
    </row>
    <row r="964" spans="1:6" x14ac:dyDescent="0.3">
      <c r="A964" t="e">
        <f>#REF!</f>
        <v>#REF!</v>
      </c>
      <c r="B964" t="e">
        <f>#REF!</f>
        <v>#REF!</v>
      </c>
      <c r="C964" t="e">
        <f>#REF!</f>
        <v>#REF!</v>
      </c>
      <c r="D964" t="e">
        <f>#REF!</f>
        <v>#REF!</v>
      </c>
      <c r="E964" t="e">
        <f>#REF!</f>
        <v>#REF!</v>
      </c>
      <c r="F964" t="e">
        <f>#REF!</f>
        <v>#REF!</v>
      </c>
    </row>
    <row r="965" spans="1:6" x14ac:dyDescent="0.3">
      <c r="A965" t="e">
        <f>#REF!</f>
        <v>#REF!</v>
      </c>
      <c r="B965" t="e">
        <f>#REF!</f>
        <v>#REF!</v>
      </c>
      <c r="C965" t="e">
        <f>#REF!</f>
        <v>#REF!</v>
      </c>
      <c r="D965" t="e">
        <f>#REF!</f>
        <v>#REF!</v>
      </c>
      <c r="E965" t="e">
        <f>#REF!</f>
        <v>#REF!</v>
      </c>
      <c r="F965" t="e">
        <f>#REF!</f>
        <v>#REF!</v>
      </c>
    </row>
    <row r="966" spans="1:6" x14ac:dyDescent="0.3">
      <c r="A966" t="e">
        <f>#REF!</f>
        <v>#REF!</v>
      </c>
      <c r="B966" t="e">
        <f>#REF!</f>
        <v>#REF!</v>
      </c>
      <c r="C966" t="e">
        <f>#REF!</f>
        <v>#REF!</v>
      </c>
      <c r="D966" t="e">
        <f>#REF!</f>
        <v>#REF!</v>
      </c>
      <c r="E966" t="e">
        <f>#REF!</f>
        <v>#REF!</v>
      </c>
      <c r="F966" t="e">
        <f>#REF!</f>
        <v>#REF!</v>
      </c>
    </row>
    <row r="967" spans="1:6" x14ac:dyDescent="0.3">
      <c r="A967" t="e">
        <f>#REF!</f>
        <v>#REF!</v>
      </c>
      <c r="B967" t="e">
        <f>#REF!</f>
        <v>#REF!</v>
      </c>
      <c r="C967" t="e">
        <f>#REF!</f>
        <v>#REF!</v>
      </c>
      <c r="D967" t="e">
        <f>#REF!</f>
        <v>#REF!</v>
      </c>
      <c r="E967" t="e">
        <f>#REF!</f>
        <v>#REF!</v>
      </c>
      <c r="F967" t="e">
        <f>#REF!</f>
        <v>#REF!</v>
      </c>
    </row>
    <row r="968" spans="1:6" x14ac:dyDescent="0.3">
      <c r="A968" t="e">
        <f>#REF!</f>
        <v>#REF!</v>
      </c>
      <c r="B968" t="e">
        <f>#REF!</f>
        <v>#REF!</v>
      </c>
      <c r="C968" t="e">
        <f>#REF!</f>
        <v>#REF!</v>
      </c>
      <c r="D968" t="e">
        <f>#REF!</f>
        <v>#REF!</v>
      </c>
      <c r="E968" t="e">
        <f>#REF!</f>
        <v>#REF!</v>
      </c>
      <c r="F968" t="e">
        <f>#REF!</f>
        <v>#REF!</v>
      </c>
    </row>
    <row r="969" spans="1:6" x14ac:dyDescent="0.3">
      <c r="A969" t="e">
        <f>#REF!</f>
        <v>#REF!</v>
      </c>
      <c r="B969" t="e">
        <f>#REF!</f>
        <v>#REF!</v>
      </c>
      <c r="C969" t="e">
        <f>#REF!</f>
        <v>#REF!</v>
      </c>
      <c r="D969" t="e">
        <f>#REF!</f>
        <v>#REF!</v>
      </c>
      <c r="E969" t="e">
        <f>#REF!</f>
        <v>#REF!</v>
      </c>
      <c r="F969" t="e">
        <f>#REF!</f>
        <v>#REF!</v>
      </c>
    </row>
    <row r="970" spans="1:6" x14ac:dyDescent="0.3">
      <c r="A970" t="e">
        <f>#REF!</f>
        <v>#REF!</v>
      </c>
      <c r="B970" t="e">
        <f>#REF!</f>
        <v>#REF!</v>
      </c>
      <c r="C970" t="e">
        <f>#REF!</f>
        <v>#REF!</v>
      </c>
      <c r="D970" t="e">
        <f>#REF!</f>
        <v>#REF!</v>
      </c>
      <c r="E970" t="e">
        <f>#REF!</f>
        <v>#REF!</v>
      </c>
      <c r="F970" t="e">
        <f>#REF!</f>
        <v>#REF!</v>
      </c>
    </row>
    <row r="971" spans="1:6" x14ac:dyDescent="0.3">
      <c r="A971" t="e">
        <f>#REF!</f>
        <v>#REF!</v>
      </c>
      <c r="B971" t="e">
        <f>#REF!</f>
        <v>#REF!</v>
      </c>
      <c r="C971" t="e">
        <f>#REF!</f>
        <v>#REF!</v>
      </c>
      <c r="D971" t="e">
        <f>#REF!</f>
        <v>#REF!</v>
      </c>
      <c r="E971" t="e">
        <f>#REF!</f>
        <v>#REF!</v>
      </c>
      <c r="F971" t="e">
        <f>#REF!</f>
        <v>#REF!</v>
      </c>
    </row>
    <row r="972" spans="1:6" x14ac:dyDescent="0.3">
      <c r="A972" t="e">
        <f>#REF!</f>
        <v>#REF!</v>
      </c>
      <c r="B972" t="e">
        <f>#REF!</f>
        <v>#REF!</v>
      </c>
      <c r="C972" t="e">
        <f>#REF!</f>
        <v>#REF!</v>
      </c>
      <c r="D972" t="e">
        <f>#REF!</f>
        <v>#REF!</v>
      </c>
      <c r="E972" t="e">
        <f>#REF!</f>
        <v>#REF!</v>
      </c>
      <c r="F972" t="e">
        <f>#REF!</f>
        <v>#REF!</v>
      </c>
    </row>
    <row r="973" spans="1:6" x14ac:dyDescent="0.3">
      <c r="A973" t="e">
        <f>#REF!</f>
        <v>#REF!</v>
      </c>
      <c r="B973" t="e">
        <f>#REF!</f>
        <v>#REF!</v>
      </c>
      <c r="C973" t="e">
        <f>#REF!</f>
        <v>#REF!</v>
      </c>
      <c r="D973" t="e">
        <f>#REF!</f>
        <v>#REF!</v>
      </c>
      <c r="E973" t="e">
        <f>#REF!</f>
        <v>#REF!</v>
      </c>
      <c r="F973" t="e">
        <f>#REF!</f>
        <v>#REF!</v>
      </c>
    </row>
    <row r="974" spans="1:6" x14ac:dyDescent="0.3">
      <c r="A974" t="e">
        <f>#REF!</f>
        <v>#REF!</v>
      </c>
      <c r="B974" t="e">
        <f>#REF!</f>
        <v>#REF!</v>
      </c>
      <c r="C974" t="e">
        <f>#REF!</f>
        <v>#REF!</v>
      </c>
      <c r="D974" t="e">
        <f>#REF!</f>
        <v>#REF!</v>
      </c>
      <c r="E974" t="e">
        <f>#REF!</f>
        <v>#REF!</v>
      </c>
      <c r="F974" t="e">
        <f>#REF!</f>
        <v>#REF!</v>
      </c>
    </row>
    <row r="975" spans="1:6" x14ac:dyDescent="0.3">
      <c r="A975" t="e">
        <f>#REF!</f>
        <v>#REF!</v>
      </c>
      <c r="B975" t="e">
        <f>#REF!</f>
        <v>#REF!</v>
      </c>
      <c r="C975" t="e">
        <f>#REF!</f>
        <v>#REF!</v>
      </c>
      <c r="D975" t="e">
        <f>#REF!</f>
        <v>#REF!</v>
      </c>
      <c r="E975" t="e">
        <f>#REF!</f>
        <v>#REF!</v>
      </c>
      <c r="F975" t="e">
        <f>#REF!</f>
        <v>#REF!</v>
      </c>
    </row>
    <row r="976" spans="1:6" x14ac:dyDescent="0.3">
      <c r="A976" t="e">
        <f>#REF!</f>
        <v>#REF!</v>
      </c>
      <c r="B976" t="e">
        <f>#REF!</f>
        <v>#REF!</v>
      </c>
      <c r="C976" t="e">
        <f>#REF!</f>
        <v>#REF!</v>
      </c>
      <c r="D976" t="e">
        <f>#REF!</f>
        <v>#REF!</v>
      </c>
      <c r="E976" t="e">
        <f>#REF!</f>
        <v>#REF!</v>
      </c>
      <c r="F976" t="e">
        <f>#REF!</f>
        <v>#REF!</v>
      </c>
    </row>
    <row r="977" spans="1:6" x14ac:dyDescent="0.3">
      <c r="A977" t="e">
        <f>#REF!</f>
        <v>#REF!</v>
      </c>
      <c r="B977" t="e">
        <f>#REF!</f>
        <v>#REF!</v>
      </c>
      <c r="C977" t="e">
        <f>#REF!</f>
        <v>#REF!</v>
      </c>
      <c r="D977" t="e">
        <f>#REF!</f>
        <v>#REF!</v>
      </c>
      <c r="E977" t="e">
        <f>#REF!</f>
        <v>#REF!</v>
      </c>
      <c r="F977" t="e">
        <f>#REF!</f>
        <v>#REF!</v>
      </c>
    </row>
    <row r="978" spans="1:6" x14ac:dyDescent="0.3">
      <c r="A978" t="e">
        <f>#REF!</f>
        <v>#REF!</v>
      </c>
      <c r="B978" t="e">
        <f>#REF!</f>
        <v>#REF!</v>
      </c>
      <c r="C978" t="e">
        <f>#REF!</f>
        <v>#REF!</v>
      </c>
      <c r="D978" t="e">
        <f>#REF!</f>
        <v>#REF!</v>
      </c>
      <c r="E978" t="e">
        <f>#REF!</f>
        <v>#REF!</v>
      </c>
      <c r="F978" t="e">
        <f>#REF!</f>
        <v>#REF!</v>
      </c>
    </row>
    <row r="979" spans="1:6" x14ac:dyDescent="0.3">
      <c r="A979" t="e">
        <f>#REF!</f>
        <v>#REF!</v>
      </c>
      <c r="B979" t="e">
        <f>#REF!</f>
        <v>#REF!</v>
      </c>
      <c r="C979" t="e">
        <f>#REF!</f>
        <v>#REF!</v>
      </c>
      <c r="D979" t="e">
        <f>#REF!</f>
        <v>#REF!</v>
      </c>
      <c r="E979" t="e">
        <f>#REF!</f>
        <v>#REF!</v>
      </c>
      <c r="F979" t="e">
        <f>#REF!</f>
        <v>#REF!</v>
      </c>
    </row>
    <row r="980" spans="1:6" x14ac:dyDescent="0.3">
      <c r="A980" t="e">
        <f>#REF!</f>
        <v>#REF!</v>
      </c>
      <c r="B980" t="e">
        <f>#REF!</f>
        <v>#REF!</v>
      </c>
      <c r="C980" t="e">
        <f>#REF!</f>
        <v>#REF!</v>
      </c>
      <c r="D980" t="e">
        <f>#REF!</f>
        <v>#REF!</v>
      </c>
      <c r="E980" t="e">
        <f>#REF!</f>
        <v>#REF!</v>
      </c>
      <c r="F980" t="e">
        <f>#REF!</f>
        <v>#REF!</v>
      </c>
    </row>
    <row r="981" spans="1:6" x14ac:dyDescent="0.3">
      <c r="A981" t="e">
        <f>#REF!</f>
        <v>#REF!</v>
      </c>
      <c r="B981" t="e">
        <f>#REF!</f>
        <v>#REF!</v>
      </c>
      <c r="C981" t="e">
        <f>#REF!</f>
        <v>#REF!</v>
      </c>
      <c r="D981" t="e">
        <f>#REF!</f>
        <v>#REF!</v>
      </c>
      <c r="E981" t="e">
        <f>#REF!</f>
        <v>#REF!</v>
      </c>
      <c r="F981" t="e">
        <f>#REF!</f>
        <v>#REF!</v>
      </c>
    </row>
    <row r="982" spans="1:6" x14ac:dyDescent="0.3">
      <c r="A982" t="e">
        <f>#REF!</f>
        <v>#REF!</v>
      </c>
      <c r="B982" t="e">
        <f>#REF!</f>
        <v>#REF!</v>
      </c>
      <c r="C982" t="e">
        <f>#REF!</f>
        <v>#REF!</v>
      </c>
      <c r="D982" t="e">
        <f>#REF!</f>
        <v>#REF!</v>
      </c>
      <c r="E982" t="e">
        <f>#REF!</f>
        <v>#REF!</v>
      </c>
      <c r="F982" t="e">
        <f>#REF!</f>
        <v>#REF!</v>
      </c>
    </row>
    <row r="983" spans="1:6" x14ac:dyDescent="0.3">
      <c r="A983" t="e">
        <f>#REF!</f>
        <v>#REF!</v>
      </c>
      <c r="B983" t="e">
        <f>#REF!</f>
        <v>#REF!</v>
      </c>
      <c r="C983" t="e">
        <f>#REF!</f>
        <v>#REF!</v>
      </c>
      <c r="D983" t="e">
        <f>#REF!</f>
        <v>#REF!</v>
      </c>
      <c r="E983" t="e">
        <f>#REF!</f>
        <v>#REF!</v>
      </c>
      <c r="F983" t="e">
        <f>#REF!</f>
        <v>#REF!</v>
      </c>
    </row>
    <row r="984" spans="1:6" x14ac:dyDescent="0.3">
      <c r="A984" t="e">
        <f>#REF!</f>
        <v>#REF!</v>
      </c>
      <c r="B984" t="e">
        <f>#REF!</f>
        <v>#REF!</v>
      </c>
      <c r="C984" t="e">
        <f>#REF!</f>
        <v>#REF!</v>
      </c>
      <c r="D984" t="e">
        <f>#REF!</f>
        <v>#REF!</v>
      </c>
      <c r="E984" t="e">
        <f>#REF!</f>
        <v>#REF!</v>
      </c>
      <c r="F984" t="e">
        <f>#REF!</f>
        <v>#REF!</v>
      </c>
    </row>
    <row r="985" spans="1:6" x14ac:dyDescent="0.3">
      <c r="A985" t="e">
        <f>#REF!</f>
        <v>#REF!</v>
      </c>
      <c r="B985" t="e">
        <f>#REF!</f>
        <v>#REF!</v>
      </c>
      <c r="C985" t="e">
        <f>#REF!</f>
        <v>#REF!</v>
      </c>
      <c r="D985" t="e">
        <f>#REF!</f>
        <v>#REF!</v>
      </c>
      <c r="E985" t="e">
        <f>#REF!</f>
        <v>#REF!</v>
      </c>
      <c r="F985" t="e">
        <f>#REF!</f>
        <v>#REF!</v>
      </c>
    </row>
    <row r="986" spans="1:6" x14ac:dyDescent="0.3">
      <c r="A986" t="e">
        <f>#REF!</f>
        <v>#REF!</v>
      </c>
      <c r="B986" t="e">
        <f>#REF!</f>
        <v>#REF!</v>
      </c>
      <c r="C986" t="e">
        <f>#REF!</f>
        <v>#REF!</v>
      </c>
      <c r="D986" t="e">
        <f>#REF!</f>
        <v>#REF!</v>
      </c>
      <c r="E986" t="e">
        <f>#REF!</f>
        <v>#REF!</v>
      </c>
      <c r="F986" t="e">
        <f>#REF!</f>
        <v>#REF!</v>
      </c>
    </row>
    <row r="987" spans="1:6" x14ac:dyDescent="0.3">
      <c r="A987" t="e">
        <f>#REF!</f>
        <v>#REF!</v>
      </c>
      <c r="B987" t="e">
        <f>#REF!</f>
        <v>#REF!</v>
      </c>
      <c r="C987" t="e">
        <f>#REF!</f>
        <v>#REF!</v>
      </c>
      <c r="D987" t="e">
        <f>#REF!</f>
        <v>#REF!</v>
      </c>
      <c r="E987" t="e">
        <f>#REF!</f>
        <v>#REF!</v>
      </c>
      <c r="F987" t="e">
        <f>#REF!</f>
        <v>#REF!</v>
      </c>
    </row>
    <row r="988" spans="1:6" x14ac:dyDescent="0.3">
      <c r="A988" t="e">
        <f>#REF!</f>
        <v>#REF!</v>
      </c>
      <c r="B988" t="e">
        <f>#REF!</f>
        <v>#REF!</v>
      </c>
      <c r="C988" t="e">
        <f>#REF!</f>
        <v>#REF!</v>
      </c>
      <c r="D988" t="e">
        <f>#REF!</f>
        <v>#REF!</v>
      </c>
      <c r="E988" t="e">
        <f>#REF!</f>
        <v>#REF!</v>
      </c>
      <c r="F988" t="e">
        <f>#REF!</f>
        <v>#REF!</v>
      </c>
    </row>
    <row r="989" spans="1:6" x14ac:dyDescent="0.3">
      <c r="A989" t="e">
        <f>#REF!</f>
        <v>#REF!</v>
      </c>
      <c r="B989" t="e">
        <f>#REF!</f>
        <v>#REF!</v>
      </c>
      <c r="C989" t="e">
        <f>#REF!</f>
        <v>#REF!</v>
      </c>
      <c r="D989" t="e">
        <f>#REF!</f>
        <v>#REF!</v>
      </c>
      <c r="E989" t="e">
        <f>#REF!</f>
        <v>#REF!</v>
      </c>
      <c r="F989" t="e">
        <f>#REF!</f>
        <v>#REF!</v>
      </c>
    </row>
    <row r="990" spans="1:6" x14ac:dyDescent="0.3">
      <c r="A990" t="e">
        <f>#REF!</f>
        <v>#REF!</v>
      </c>
      <c r="B990" t="e">
        <f>#REF!</f>
        <v>#REF!</v>
      </c>
      <c r="C990" t="e">
        <f>#REF!</f>
        <v>#REF!</v>
      </c>
      <c r="D990" t="e">
        <f>#REF!</f>
        <v>#REF!</v>
      </c>
      <c r="E990" t="e">
        <f>#REF!</f>
        <v>#REF!</v>
      </c>
      <c r="F990" t="e">
        <f>#REF!</f>
        <v>#REF!</v>
      </c>
    </row>
    <row r="991" spans="1:6" x14ac:dyDescent="0.3">
      <c r="A991" t="e">
        <f>#REF!</f>
        <v>#REF!</v>
      </c>
      <c r="B991" t="e">
        <f>#REF!</f>
        <v>#REF!</v>
      </c>
      <c r="C991" t="e">
        <f>#REF!</f>
        <v>#REF!</v>
      </c>
      <c r="D991" t="e">
        <f>#REF!</f>
        <v>#REF!</v>
      </c>
      <c r="E991" t="e">
        <f>#REF!</f>
        <v>#REF!</v>
      </c>
      <c r="F991" t="e">
        <f>#REF!</f>
        <v>#REF!</v>
      </c>
    </row>
    <row r="992" spans="1:6" x14ac:dyDescent="0.3">
      <c r="A992" t="e">
        <f>#REF!</f>
        <v>#REF!</v>
      </c>
      <c r="B992" t="e">
        <f>#REF!</f>
        <v>#REF!</v>
      </c>
      <c r="C992" t="e">
        <f>#REF!</f>
        <v>#REF!</v>
      </c>
      <c r="D992" t="e">
        <f>#REF!</f>
        <v>#REF!</v>
      </c>
      <c r="E992" t="e">
        <f>#REF!</f>
        <v>#REF!</v>
      </c>
      <c r="F992" t="e">
        <f>#REF!</f>
        <v>#REF!</v>
      </c>
    </row>
    <row r="993" spans="1:6" x14ac:dyDescent="0.3">
      <c r="A993" t="e">
        <f>#REF!</f>
        <v>#REF!</v>
      </c>
      <c r="B993" t="e">
        <f>#REF!</f>
        <v>#REF!</v>
      </c>
      <c r="C993" t="e">
        <f>#REF!</f>
        <v>#REF!</v>
      </c>
      <c r="D993" t="e">
        <f>#REF!</f>
        <v>#REF!</v>
      </c>
      <c r="E993" t="e">
        <f>#REF!</f>
        <v>#REF!</v>
      </c>
      <c r="F993" t="e">
        <f>#REF!</f>
        <v>#REF!</v>
      </c>
    </row>
    <row r="994" spans="1:6" x14ac:dyDescent="0.3">
      <c r="A994" t="e">
        <f>#REF!</f>
        <v>#REF!</v>
      </c>
      <c r="B994" t="e">
        <f>#REF!</f>
        <v>#REF!</v>
      </c>
      <c r="C994" t="e">
        <f>#REF!</f>
        <v>#REF!</v>
      </c>
      <c r="D994" t="e">
        <f>#REF!</f>
        <v>#REF!</v>
      </c>
      <c r="E994" t="e">
        <f>#REF!</f>
        <v>#REF!</v>
      </c>
      <c r="F994" t="e">
        <f>#REF!</f>
        <v>#REF!</v>
      </c>
    </row>
    <row r="995" spans="1:6" x14ac:dyDescent="0.3">
      <c r="A995" t="e">
        <f>#REF!</f>
        <v>#REF!</v>
      </c>
      <c r="B995" t="e">
        <f>#REF!</f>
        <v>#REF!</v>
      </c>
      <c r="C995" t="e">
        <f>#REF!</f>
        <v>#REF!</v>
      </c>
      <c r="D995" t="e">
        <f>#REF!</f>
        <v>#REF!</v>
      </c>
      <c r="E995" t="e">
        <f>#REF!</f>
        <v>#REF!</v>
      </c>
      <c r="F995" t="e">
        <f>#REF!</f>
        <v>#REF!</v>
      </c>
    </row>
    <row r="996" spans="1:6" x14ac:dyDescent="0.3">
      <c r="A996" t="e">
        <f>#REF!</f>
        <v>#REF!</v>
      </c>
      <c r="B996" t="e">
        <f>#REF!</f>
        <v>#REF!</v>
      </c>
      <c r="C996" t="e">
        <f>#REF!</f>
        <v>#REF!</v>
      </c>
      <c r="D996" t="e">
        <f>#REF!</f>
        <v>#REF!</v>
      </c>
      <c r="E996" t="e">
        <f>#REF!</f>
        <v>#REF!</v>
      </c>
      <c r="F996" t="e">
        <f>#REF!</f>
        <v>#REF!</v>
      </c>
    </row>
    <row r="997" spans="1:6" x14ac:dyDescent="0.3">
      <c r="A997" t="e">
        <f>#REF!</f>
        <v>#REF!</v>
      </c>
      <c r="B997" t="e">
        <f>#REF!</f>
        <v>#REF!</v>
      </c>
      <c r="C997" t="e">
        <f>#REF!</f>
        <v>#REF!</v>
      </c>
      <c r="D997" t="e">
        <f>#REF!</f>
        <v>#REF!</v>
      </c>
      <c r="E997" t="e">
        <f>#REF!</f>
        <v>#REF!</v>
      </c>
      <c r="F997" t="e">
        <f>#REF!</f>
        <v>#REF!</v>
      </c>
    </row>
    <row r="998" spans="1:6" x14ac:dyDescent="0.3">
      <c r="A998" t="e">
        <f>#REF!</f>
        <v>#REF!</v>
      </c>
      <c r="B998" t="e">
        <f>#REF!</f>
        <v>#REF!</v>
      </c>
      <c r="C998" t="e">
        <f>#REF!</f>
        <v>#REF!</v>
      </c>
      <c r="D998" t="e">
        <f>#REF!</f>
        <v>#REF!</v>
      </c>
      <c r="E998" t="e">
        <f>#REF!</f>
        <v>#REF!</v>
      </c>
      <c r="F998" t="e">
        <f>#REF!</f>
        <v>#REF!</v>
      </c>
    </row>
    <row r="999" spans="1:6" x14ac:dyDescent="0.3">
      <c r="A999" t="e">
        <f>#REF!</f>
        <v>#REF!</v>
      </c>
      <c r="B999" t="e">
        <f>#REF!</f>
        <v>#REF!</v>
      </c>
      <c r="C999" t="e">
        <f>#REF!</f>
        <v>#REF!</v>
      </c>
      <c r="D999" t="e">
        <f>#REF!</f>
        <v>#REF!</v>
      </c>
      <c r="E999" t="e">
        <f>#REF!</f>
        <v>#REF!</v>
      </c>
      <c r="F999" t="e">
        <f>#REF!</f>
        <v>#REF!</v>
      </c>
    </row>
    <row r="1000" spans="1:6" x14ac:dyDescent="0.3">
      <c r="A1000" t="e">
        <f>#REF!</f>
        <v>#REF!</v>
      </c>
      <c r="B1000" t="e">
        <f>#REF!</f>
        <v>#REF!</v>
      </c>
      <c r="C1000" t="e">
        <f>#REF!</f>
        <v>#REF!</v>
      </c>
      <c r="D1000" t="e">
        <f>#REF!</f>
        <v>#REF!</v>
      </c>
      <c r="E1000" t="e">
        <f>#REF!</f>
        <v>#REF!</v>
      </c>
      <c r="F1000" t="e">
        <f>#REF!</f>
        <v>#REF!</v>
      </c>
    </row>
    <row r="1001" spans="1:6" x14ac:dyDescent="0.3">
      <c r="A1001" t="e">
        <f>#REF!</f>
        <v>#REF!</v>
      </c>
      <c r="B1001" t="e">
        <f>#REF!</f>
        <v>#REF!</v>
      </c>
      <c r="C1001" t="e">
        <f>#REF!</f>
        <v>#REF!</v>
      </c>
      <c r="D1001" t="e">
        <f>#REF!</f>
        <v>#REF!</v>
      </c>
      <c r="E1001" t="e">
        <f>#REF!</f>
        <v>#REF!</v>
      </c>
      <c r="F1001" t="e">
        <f>#REF!</f>
        <v>#REF!</v>
      </c>
    </row>
    <row r="1002" spans="1:6" x14ac:dyDescent="0.3">
      <c r="A1002" t="e">
        <f>#REF!</f>
        <v>#REF!</v>
      </c>
      <c r="B1002" t="e">
        <f>#REF!</f>
        <v>#REF!</v>
      </c>
      <c r="C1002" t="e">
        <f>#REF!</f>
        <v>#REF!</v>
      </c>
      <c r="D1002" t="e">
        <f>#REF!</f>
        <v>#REF!</v>
      </c>
      <c r="E1002" t="e">
        <f>#REF!</f>
        <v>#REF!</v>
      </c>
      <c r="F1002" t="e">
        <f>#REF!</f>
        <v>#REF!</v>
      </c>
    </row>
    <row r="1003" spans="1:6" x14ac:dyDescent="0.3">
      <c r="A1003" t="e">
        <f>#REF!</f>
        <v>#REF!</v>
      </c>
      <c r="B1003" t="e">
        <f>#REF!</f>
        <v>#REF!</v>
      </c>
      <c r="C1003" t="e">
        <f>#REF!</f>
        <v>#REF!</v>
      </c>
      <c r="D1003" t="e">
        <f>#REF!</f>
        <v>#REF!</v>
      </c>
      <c r="E1003" t="e">
        <f>#REF!</f>
        <v>#REF!</v>
      </c>
      <c r="F1003" t="e">
        <f>#REF!</f>
        <v>#REF!</v>
      </c>
    </row>
    <row r="1004" spans="1:6" x14ac:dyDescent="0.3">
      <c r="A1004" t="e">
        <f>#REF!</f>
        <v>#REF!</v>
      </c>
      <c r="B1004" t="e">
        <f>#REF!</f>
        <v>#REF!</v>
      </c>
      <c r="C1004" t="e">
        <f>#REF!</f>
        <v>#REF!</v>
      </c>
      <c r="D1004" t="e">
        <f>#REF!</f>
        <v>#REF!</v>
      </c>
      <c r="E1004" t="e">
        <f>#REF!</f>
        <v>#REF!</v>
      </c>
      <c r="F1004" t="e">
        <f>#REF!</f>
        <v>#REF!</v>
      </c>
    </row>
    <row r="1005" spans="1:6" x14ac:dyDescent="0.3">
      <c r="A1005" t="e">
        <f>#REF!</f>
        <v>#REF!</v>
      </c>
      <c r="B1005" t="e">
        <f>#REF!</f>
        <v>#REF!</v>
      </c>
      <c r="C1005" t="e">
        <f>#REF!</f>
        <v>#REF!</v>
      </c>
      <c r="D1005" t="e">
        <f>#REF!</f>
        <v>#REF!</v>
      </c>
      <c r="E1005" t="e">
        <f>#REF!</f>
        <v>#REF!</v>
      </c>
      <c r="F1005" t="e">
        <f>#REF!</f>
        <v>#REF!</v>
      </c>
    </row>
    <row r="1006" spans="1:6" x14ac:dyDescent="0.3">
      <c r="A1006" t="e">
        <f>#REF!</f>
        <v>#REF!</v>
      </c>
      <c r="B1006" t="e">
        <f>#REF!</f>
        <v>#REF!</v>
      </c>
      <c r="C1006" t="e">
        <f>#REF!</f>
        <v>#REF!</v>
      </c>
      <c r="D1006" t="e">
        <f>#REF!</f>
        <v>#REF!</v>
      </c>
      <c r="E1006" t="e">
        <f>#REF!</f>
        <v>#REF!</v>
      </c>
      <c r="F1006" t="e">
        <f>#REF!</f>
        <v>#REF!</v>
      </c>
    </row>
    <row r="1007" spans="1:6" x14ac:dyDescent="0.3">
      <c r="A1007" t="e">
        <f>#REF!</f>
        <v>#REF!</v>
      </c>
      <c r="B1007" t="e">
        <f>#REF!</f>
        <v>#REF!</v>
      </c>
      <c r="C1007" t="e">
        <f>#REF!</f>
        <v>#REF!</v>
      </c>
      <c r="D1007" t="e">
        <f>#REF!</f>
        <v>#REF!</v>
      </c>
      <c r="E1007" t="e">
        <f>#REF!</f>
        <v>#REF!</v>
      </c>
      <c r="F1007" t="e">
        <f>#REF!</f>
        <v>#REF!</v>
      </c>
    </row>
    <row r="1008" spans="1:6" x14ac:dyDescent="0.3">
      <c r="A1008" t="e">
        <f>#REF!</f>
        <v>#REF!</v>
      </c>
      <c r="B1008" t="e">
        <f>#REF!</f>
        <v>#REF!</v>
      </c>
      <c r="C1008" t="e">
        <f>#REF!</f>
        <v>#REF!</v>
      </c>
      <c r="D1008" t="e">
        <f>#REF!</f>
        <v>#REF!</v>
      </c>
      <c r="E1008" t="e">
        <f>#REF!</f>
        <v>#REF!</v>
      </c>
      <c r="F1008" t="e">
        <f>#REF!</f>
        <v>#REF!</v>
      </c>
    </row>
    <row r="1009" spans="1:6" x14ac:dyDescent="0.3">
      <c r="A1009" t="e">
        <f>#REF!</f>
        <v>#REF!</v>
      </c>
      <c r="B1009" t="e">
        <f>#REF!</f>
        <v>#REF!</v>
      </c>
      <c r="C1009" t="e">
        <f>#REF!</f>
        <v>#REF!</v>
      </c>
      <c r="D1009" t="e">
        <f>#REF!</f>
        <v>#REF!</v>
      </c>
      <c r="E1009" t="e">
        <f>#REF!</f>
        <v>#REF!</v>
      </c>
      <c r="F1009" t="e">
        <f>#REF!</f>
        <v>#REF!</v>
      </c>
    </row>
    <row r="1010" spans="1:6" x14ac:dyDescent="0.3">
      <c r="A1010" t="e">
        <f>#REF!</f>
        <v>#REF!</v>
      </c>
      <c r="B1010" t="e">
        <f>#REF!</f>
        <v>#REF!</v>
      </c>
      <c r="C1010" t="e">
        <f>#REF!</f>
        <v>#REF!</v>
      </c>
      <c r="D1010" t="e">
        <f>#REF!</f>
        <v>#REF!</v>
      </c>
      <c r="E1010" t="e">
        <f>#REF!</f>
        <v>#REF!</v>
      </c>
      <c r="F1010" t="e">
        <f>#REF!</f>
        <v>#REF!</v>
      </c>
    </row>
    <row r="1011" spans="1:6" x14ac:dyDescent="0.3">
      <c r="A1011" t="e">
        <f>#REF!</f>
        <v>#REF!</v>
      </c>
      <c r="B1011" t="e">
        <f>#REF!</f>
        <v>#REF!</v>
      </c>
      <c r="C1011" t="e">
        <f>#REF!</f>
        <v>#REF!</v>
      </c>
      <c r="D1011" t="e">
        <f>#REF!</f>
        <v>#REF!</v>
      </c>
      <c r="E1011" t="e">
        <f>#REF!</f>
        <v>#REF!</v>
      </c>
      <c r="F1011" t="e">
        <f>#REF!</f>
        <v>#REF!</v>
      </c>
    </row>
    <row r="1012" spans="1:6" x14ac:dyDescent="0.3">
      <c r="A1012" t="e">
        <f>#REF!</f>
        <v>#REF!</v>
      </c>
      <c r="B1012" t="e">
        <f>#REF!</f>
        <v>#REF!</v>
      </c>
      <c r="C1012" t="e">
        <f>#REF!</f>
        <v>#REF!</v>
      </c>
      <c r="D1012" t="e">
        <f>#REF!</f>
        <v>#REF!</v>
      </c>
      <c r="E1012" t="e">
        <f>#REF!</f>
        <v>#REF!</v>
      </c>
      <c r="F1012" t="e">
        <f>#REF!</f>
        <v>#REF!</v>
      </c>
    </row>
    <row r="1013" spans="1:6" x14ac:dyDescent="0.3">
      <c r="A1013" t="e">
        <f>#REF!</f>
        <v>#REF!</v>
      </c>
      <c r="B1013" t="e">
        <f>#REF!</f>
        <v>#REF!</v>
      </c>
      <c r="C1013" t="e">
        <f>#REF!</f>
        <v>#REF!</v>
      </c>
      <c r="D1013" t="e">
        <f>#REF!</f>
        <v>#REF!</v>
      </c>
      <c r="E1013" t="e">
        <f>#REF!</f>
        <v>#REF!</v>
      </c>
      <c r="F1013" t="e">
        <f>#REF!</f>
        <v>#REF!</v>
      </c>
    </row>
    <row r="1014" spans="1:6" x14ac:dyDescent="0.3">
      <c r="A1014" t="e">
        <f>#REF!</f>
        <v>#REF!</v>
      </c>
      <c r="B1014" t="e">
        <f>#REF!</f>
        <v>#REF!</v>
      </c>
      <c r="C1014" t="e">
        <f>#REF!</f>
        <v>#REF!</v>
      </c>
      <c r="D1014" t="e">
        <f>#REF!</f>
        <v>#REF!</v>
      </c>
      <c r="E1014" t="e">
        <f>#REF!</f>
        <v>#REF!</v>
      </c>
      <c r="F1014" t="e">
        <f>#REF!</f>
        <v>#REF!</v>
      </c>
    </row>
    <row r="1015" spans="1:6" x14ac:dyDescent="0.3">
      <c r="A1015" t="e">
        <f>#REF!</f>
        <v>#REF!</v>
      </c>
      <c r="B1015" t="e">
        <f>#REF!</f>
        <v>#REF!</v>
      </c>
      <c r="C1015" t="e">
        <f>#REF!</f>
        <v>#REF!</v>
      </c>
      <c r="D1015" t="e">
        <f>#REF!</f>
        <v>#REF!</v>
      </c>
      <c r="E1015" t="e">
        <f>#REF!</f>
        <v>#REF!</v>
      </c>
      <c r="F1015" t="e">
        <f>#REF!</f>
        <v>#REF!</v>
      </c>
    </row>
    <row r="1016" spans="1:6" x14ac:dyDescent="0.3">
      <c r="A1016" t="e">
        <f>#REF!</f>
        <v>#REF!</v>
      </c>
      <c r="B1016" t="e">
        <f>#REF!</f>
        <v>#REF!</v>
      </c>
      <c r="C1016" t="e">
        <f>#REF!</f>
        <v>#REF!</v>
      </c>
      <c r="D1016" t="e">
        <f>#REF!</f>
        <v>#REF!</v>
      </c>
      <c r="E1016" t="e">
        <f>#REF!</f>
        <v>#REF!</v>
      </c>
      <c r="F1016" t="e">
        <f>#REF!</f>
        <v>#REF!</v>
      </c>
    </row>
    <row r="1017" spans="1:6" x14ac:dyDescent="0.3">
      <c r="A1017" t="e">
        <f>#REF!</f>
        <v>#REF!</v>
      </c>
      <c r="B1017" t="e">
        <f>#REF!</f>
        <v>#REF!</v>
      </c>
      <c r="C1017" t="e">
        <f>#REF!</f>
        <v>#REF!</v>
      </c>
      <c r="D1017" t="e">
        <f>#REF!</f>
        <v>#REF!</v>
      </c>
      <c r="E1017" t="e">
        <f>#REF!</f>
        <v>#REF!</v>
      </c>
      <c r="F1017" t="e">
        <f>#REF!</f>
        <v>#REF!</v>
      </c>
    </row>
    <row r="1018" spans="1:6" x14ac:dyDescent="0.3">
      <c r="A1018" t="e">
        <f>#REF!</f>
        <v>#REF!</v>
      </c>
      <c r="B1018" t="e">
        <f>#REF!</f>
        <v>#REF!</v>
      </c>
      <c r="C1018" t="e">
        <f>#REF!</f>
        <v>#REF!</v>
      </c>
      <c r="D1018" t="e">
        <f>#REF!</f>
        <v>#REF!</v>
      </c>
      <c r="E1018" t="e">
        <f>#REF!</f>
        <v>#REF!</v>
      </c>
      <c r="F1018" t="e">
        <f>#REF!</f>
        <v>#REF!</v>
      </c>
    </row>
    <row r="1019" spans="1:6" x14ac:dyDescent="0.3">
      <c r="A1019" t="e">
        <f>#REF!</f>
        <v>#REF!</v>
      </c>
      <c r="B1019" t="e">
        <f>#REF!</f>
        <v>#REF!</v>
      </c>
      <c r="C1019" t="e">
        <f>#REF!</f>
        <v>#REF!</v>
      </c>
      <c r="D1019" t="e">
        <f>#REF!</f>
        <v>#REF!</v>
      </c>
      <c r="E1019" t="e">
        <f>#REF!</f>
        <v>#REF!</v>
      </c>
      <c r="F1019" t="e">
        <f>#REF!</f>
        <v>#REF!</v>
      </c>
    </row>
    <row r="1020" spans="1:6" x14ac:dyDescent="0.3">
      <c r="A1020" t="e">
        <f>#REF!</f>
        <v>#REF!</v>
      </c>
      <c r="B1020" t="e">
        <f>#REF!</f>
        <v>#REF!</v>
      </c>
      <c r="C1020" t="e">
        <f>#REF!</f>
        <v>#REF!</v>
      </c>
      <c r="D1020" t="e">
        <f>#REF!</f>
        <v>#REF!</v>
      </c>
      <c r="E1020" t="e">
        <f>#REF!</f>
        <v>#REF!</v>
      </c>
      <c r="F1020" t="e">
        <f>#REF!</f>
        <v>#REF!</v>
      </c>
    </row>
    <row r="1021" spans="1:6" x14ac:dyDescent="0.3">
      <c r="A1021" t="e">
        <f>#REF!</f>
        <v>#REF!</v>
      </c>
      <c r="B1021" t="e">
        <f>#REF!</f>
        <v>#REF!</v>
      </c>
      <c r="C1021" t="e">
        <f>#REF!</f>
        <v>#REF!</v>
      </c>
      <c r="D1021" t="e">
        <f>#REF!</f>
        <v>#REF!</v>
      </c>
      <c r="E1021" t="e">
        <f>#REF!</f>
        <v>#REF!</v>
      </c>
      <c r="F1021" t="e">
        <f>#REF!</f>
        <v>#REF!</v>
      </c>
    </row>
    <row r="1022" spans="1:6" x14ac:dyDescent="0.3">
      <c r="A1022" t="e">
        <f>#REF!</f>
        <v>#REF!</v>
      </c>
      <c r="B1022" t="e">
        <f>#REF!</f>
        <v>#REF!</v>
      </c>
      <c r="C1022" t="e">
        <f>#REF!</f>
        <v>#REF!</v>
      </c>
      <c r="D1022" t="e">
        <f>#REF!</f>
        <v>#REF!</v>
      </c>
      <c r="E1022" t="e">
        <f>#REF!</f>
        <v>#REF!</v>
      </c>
      <c r="F1022" t="e">
        <f>#REF!</f>
        <v>#REF!</v>
      </c>
    </row>
    <row r="1023" spans="1:6" x14ac:dyDescent="0.3">
      <c r="A1023" t="e">
        <f>#REF!</f>
        <v>#REF!</v>
      </c>
      <c r="B1023" t="e">
        <f>#REF!</f>
        <v>#REF!</v>
      </c>
      <c r="C1023" t="e">
        <f>#REF!</f>
        <v>#REF!</v>
      </c>
      <c r="D1023" t="e">
        <f>#REF!</f>
        <v>#REF!</v>
      </c>
      <c r="E1023" t="e">
        <f>#REF!</f>
        <v>#REF!</v>
      </c>
      <c r="F1023" t="e">
        <f>#REF!</f>
        <v>#REF!</v>
      </c>
    </row>
    <row r="1024" spans="1:6" x14ac:dyDescent="0.3">
      <c r="A1024" t="e">
        <f>#REF!</f>
        <v>#REF!</v>
      </c>
      <c r="B1024" t="e">
        <f>#REF!</f>
        <v>#REF!</v>
      </c>
      <c r="C1024" t="e">
        <f>#REF!</f>
        <v>#REF!</v>
      </c>
      <c r="D1024" t="e">
        <f>#REF!</f>
        <v>#REF!</v>
      </c>
      <c r="E1024" t="e">
        <f>#REF!</f>
        <v>#REF!</v>
      </c>
      <c r="F1024" t="e">
        <f>#REF!</f>
        <v>#REF!</v>
      </c>
    </row>
    <row r="1025" spans="1:6" x14ac:dyDescent="0.3">
      <c r="A1025" t="e">
        <f>#REF!</f>
        <v>#REF!</v>
      </c>
      <c r="B1025" t="e">
        <f>#REF!</f>
        <v>#REF!</v>
      </c>
      <c r="C1025" t="e">
        <f>#REF!</f>
        <v>#REF!</v>
      </c>
      <c r="D1025" t="e">
        <f>#REF!</f>
        <v>#REF!</v>
      </c>
      <c r="E1025" t="e">
        <f>#REF!</f>
        <v>#REF!</v>
      </c>
      <c r="F1025" t="e">
        <f>#REF!</f>
        <v>#REF!</v>
      </c>
    </row>
    <row r="1026" spans="1:6" x14ac:dyDescent="0.3">
      <c r="A1026" t="e">
        <f>#REF!</f>
        <v>#REF!</v>
      </c>
      <c r="B1026" t="e">
        <f>#REF!</f>
        <v>#REF!</v>
      </c>
      <c r="C1026" t="e">
        <f>#REF!</f>
        <v>#REF!</v>
      </c>
      <c r="D1026" t="e">
        <f>#REF!</f>
        <v>#REF!</v>
      </c>
      <c r="E1026" t="e">
        <f>#REF!</f>
        <v>#REF!</v>
      </c>
      <c r="F1026" t="e">
        <f>#REF!</f>
        <v>#REF!</v>
      </c>
    </row>
    <row r="1027" spans="1:6" x14ac:dyDescent="0.3">
      <c r="A1027" t="e">
        <f>#REF!</f>
        <v>#REF!</v>
      </c>
      <c r="B1027" t="e">
        <f>#REF!</f>
        <v>#REF!</v>
      </c>
      <c r="C1027" t="e">
        <f>#REF!</f>
        <v>#REF!</v>
      </c>
      <c r="D1027" t="e">
        <f>#REF!</f>
        <v>#REF!</v>
      </c>
      <c r="E1027" t="e">
        <f>#REF!</f>
        <v>#REF!</v>
      </c>
      <c r="F1027" t="e">
        <f>#REF!</f>
        <v>#REF!</v>
      </c>
    </row>
    <row r="1028" spans="1:6" x14ac:dyDescent="0.3">
      <c r="A1028" t="e">
        <f>#REF!</f>
        <v>#REF!</v>
      </c>
      <c r="B1028" t="e">
        <f>#REF!</f>
        <v>#REF!</v>
      </c>
      <c r="C1028" t="e">
        <f>#REF!</f>
        <v>#REF!</v>
      </c>
      <c r="D1028" t="e">
        <f>#REF!</f>
        <v>#REF!</v>
      </c>
      <c r="E1028" t="e">
        <f>#REF!</f>
        <v>#REF!</v>
      </c>
      <c r="F1028" t="e">
        <f>#REF!</f>
        <v>#REF!</v>
      </c>
    </row>
    <row r="1029" spans="1:6" x14ac:dyDescent="0.3">
      <c r="A1029" t="e">
        <f>#REF!</f>
        <v>#REF!</v>
      </c>
      <c r="B1029" t="e">
        <f>#REF!</f>
        <v>#REF!</v>
      </c>
      <c r="C1029" t="e">
        <f>#REF!</f>
        <v>#REF!</v>
      </c>
      <c r="D1029" t="e">
        <f>#REF!</f>
        <v>#REF!</v>
      </c>
      <c r="E1029" t="e">
        <f>#REF!</f>
        <v>#REF!</v>
      </c>
      <c r="F1029" t="e">
        <f>#REF!</f>
        <v>#REF!</v>
      </c>
    </row>
    <row r="1030" spans="1:6" x14ac:dyDescent="0.3">
      <c r="A1030" t="e">
        <f>#REF!</f>
        <v>#REF!</v>
      </c>
      <c r="B1030" t="e">
        <f>#REF!</f>
        <v>#REF!</v>
      </c>
      <c r="C1030" t="e">
        <f>#REF!</f>
        <v>#REF!</v>
      </c>
      <c r="D1030" t="e">
        <f>#REF!</f>
        <v>#REF!</v>
      </c>
      <c r="E1030" t="e">
        <f>#REF!</f>
        <v>#REF!</v>
      </c>
      <c r="F1030" t="e">
        <f>#REF!</f>
        <v>#REF!</v>
      </c>
    </row>
    <row r="1031" spans="1:6" x14ac:dyDescent="0.3">
      <c r="A1031" t="e">
        <f>#REF!</f>
        <v>#REF!</v>
      </c>
      <c r="B1031" t="e">
        <f>#REF!</f>
        <v>#REF!</v>
      </c>
      <c r="C1031" t="e">
        <f>#REF!</f>
        <v>#REF!</v>
      </c>
      <c r="D1031" t="e">
        <f>#REF!</f>
        <v>#REF!</v>
      </c>
      <c r="E1031" t="e">
        <f>#REF!</f>
        <v>#REF!</v>
      </c>
      <c r="F1031" t="e">
        <f>#REF!</f>
        <v>#REF!</v>
      </c>
    </row>
    <row r="1032" spans="1:6" x14ac:dyDescent="0.3">
      <c r="A1032" t="e">
        <f>#REF!</f>
        <v>#REF!</v>
      </c>
      <c r="B1032" t="e">
        <f>#REF!</f>
        <v>#REF!</v>
      </c>
      <c r="C1032" t="e">
        <f>#REF!</f>
        <v>#REF!</v>
      </c>
      <c r="D1032" t="e">
        <f>#REF!</f>
        <v>#REF!</v>
      </c>
      <c r="E1032" t="e">
        <f>#REF!</f>
        <v>#REF!</v>
      </c>
      <c r="F1032" t="e">
        <f>#REF!</f>
        <v>#REF!</v>
      </c>
    </row>
    <row r="1033" spans="1:6" x14ac:dyDescent="0.3">
      <c r="A1033" t="e">
        <f>#REF!</f>
        <v>#REF!</v>
      </c>
      <c r="B1033" t="e">
        <f>#REF!</f>
        <v>#REF!</v>
      </c>
      <c r="C1033" t="e">
        <f>#REF!</f>
        <v>#REF!</v>
      </c>
      <c r="D1033" t="e">
        <f>#REF!</f>
        <v>#REF!</v>
      </c>
      <c r="E1033" t="e">
        <f>#REF!</f>
        <v>#REF!</v>
      </c>
      <c r="F1033" t="e">
        <f>#REF!</f>
        <v>#REF!</v>
      </c>
    </row>
    <row r="1034" spans="1:6" x14ac:dyDescent="0.3">
      <c r="A1034" t="e">
        <f>#REF!</f>
        <v>#REF!</v>
      </c>
      <c r="B1034" t="e">
        <f>#REF!</f>
        <v>#REF!</v>
      </c>
      <c r="C1034" t="e">
        <f>#REF!</f>
        <v>#REF!</v>
      </c>
      <c r="D1034" t="e">
        <f>#REF!</f>
        <v>#REF!</v>
      </c>
      <c r="E1034" t="e">
        <f>#REF!</f>
        <v>#REF!</v>
      </c>
      <c r="F1034" t="e">
        <f>#REF!</f>
        <v>#REF!</v>
      </c>
    </row>
    <row r="1035" spans="1:6" x14ac:dyDescent="0.3">
      <c r="A1035" t="e">
        <f>#REF!</f>
        <v>#REF!</v>
      </c>
      <c r="B1035" t="e">
        <f>#REF!</f>
        <v>#REF!</v>
      </c>
      <c r="C1035" t="e">
        <f>#REF!</f>
        <v>#REF!</v>
      </c>
      <c r="D1035" t="e">
        <f>#REF!</f>
        <v>#REF!</v>
      </c>
      <c r="E1035" t="e">
        <f>#REF!</f>
        <v>#REF!</v>
      </c>
      <c r="F1035" t="e">
        <f>#REF!</f>
        <v>#REF!</v>
      </c>
    </row>
    <row r="1036" spans="1:6" x14ac:dyDescent="0.3">
      <c r="A1036" t="e">
        <f>#REF!</f>
        <v>#REF!</v>
      </c>
      <c r="B1036" t="e">
        <f>#REF!</f>
        <v>#REF!</v>
      </c>
      <c r="C1036" t="e">
        <f>#REF!</f>
        <v>#REF!</v>
      </c>
      <c r="D1036" t="e">
        <f>#REF!</f>
        <v>#REF!</v>
      </c>
      <c r="E1036" t="e">
        <f>#REF!</f>
        <v>#REF!</v>
      </c>
      <c r="F1036" t="e">
        <f>#REF!</f>
        <v>#REF!</v>
      </c>
    </row>
    <row r="1037" spans="1:6" x14ac:dyDescent="0.3">
      <c r="A1037" t="e">
        <f>#REF!</f>
        <v>#REF!</v>
      </c>
      <c r="B1037" t="e">
        <f>#REF!</f>
        <v>#REF!</v>
      </c>
      <c r="C1037" t="e">
        <f>#REF!</f>
        <v>#REF!</v>
      </c>
      <c r="D1037" t="e">
        <f>#REF!</f>
        <v>#REF!</v>
      </c>
      <c r="E1037" t="e">
        <f>#REF!</f>
        <v>#REF!</v>
      </c>
      <c r="F1037" t="e">
        <f>#REF!</f>
        <v>#REF!</v>
      </c>
    </row>
    <row r="1038" spans="1:6" x14ac:dyDescent="0.3">
      <c r="A1038" t="e">
        <f>#REF!</f>
        <v>#REF!</v>
      </c>
      <c r="B1038" t="e">
        <f>#REF!</f>
        <v>#REF!</v>
      </c>
      <c r="C1038" t="e">
        <f>#REF!</f>
        <v>#REF!</v>
      </c>
      <c r="D1038" t="e">
        <f>#REF!</f>
        <v>#REF!</v>
      </c>
      <c r="E1038" t="e">
        <f>#REF!</f>
        <v>#REF!</v>
      </c>
      <c r="F1038" t="e">
        <f>#REF!</f>
        <v>#REF!</v>
      </c>
    </row>
    <row r="1039" spans="1:6" x14ac:dyDescent="0.3">
      <c r="A1039" t="e">
        <f>#REF!</f>
        <v>#REF!</v>
      </c>
      <c r="B1039" t="e">
        <f>#REF!</f>
        <v>#REF!</v>
      </c>
      <c r="C1039" t="e">
        <f>#REF!</f>
        <v>#REF!</v>
      </c>
      <c r="D1039" t="e">
        <f>#REF!</f>
        <v>#REF!</v>
      </c>
      <c r="E1039" t="e">
        <f>#REF!</f>
        <v>#REF!</v>
      </c>
      <c r="F1039" t="e">
        <f>#REF!</f>
        <v>#REF!</v>
      </c>
    </row>
    <row r="1040" spans="1:6" x14ac:dyDescent="0.3">
      <c r="A1040" t="e">
        <f>#REF!</f>
        <v>#REF!</v>
      </c>
      <c r="B1040" t="e">
        <f>#REF!</f>
        <v>#REF!</v>
      </c>
      <c r="C1040" t="e">
        <f>#REF!</f>
        <v>#REF!</v>
      </c>
      <c r="D1040" t="e">
        <f>#REF!</f>
        <v>#REF!</v>
      </c>
      <c r="E1040" t="e">
        <f>#REF!</f>
        <v>#REF!</v>
      </c>
      <c r="F1040" t="e">
        <f>#REF!</f>
        <v>#REF!</v>
      </c>
    </row>
    <row r="1041" spans="1:6" x14ac:dyDescent="0.3">
      <c r="A1041" t="e">
        <f>#REF!</f>
        <v>#REF!</v>
      </c>
      <c r="B1041" t="e">
        <f>#REF!</f>
        <v>#REF!</v>
      </c>
      <c r="C1041" t="e">
        <f>#REF!</f>
        <v>#REF!</v>
      </c>
      <c r="D1041" t="e">
        <f>#REF!</f>
        <v>#REF!</v>
      </c>
      <c r="E1041" t="e">
        <f>#REF!</f>
        <v>#REF!</v>
      </c>
      <c r="F1041" t="e">
        <f>#REF!</f>
        <v>#REF!</v>
      </c>
    </row>
    <row r="1042" spans="1:6" x14ac:dyDescent="0.3">
      <c r="A1042" t="e">
        <f>#REF!</f>
        <v>#REF!</v>
      </c>
      <c r="B1042" t="e">
        <f>#REF!</f>
        <v>#REF!</v>
      </c>
      <c r="C1042" t="e">
        <f>#REF!</f>
        <v>#REF!</v>
      </c>
      <c r="D1042" t="e">
        <f>#REF!</f>
        <v>#REF!</v>
      </c>
      <c r="E1042" t="e">
        <f>#REF!</f>
        <v>#REF!</v>
      </c>
      <c r="F1042" t="e">
        <f>#REF!</f>
        <v>#REF!</v>
      </c>
    </row>
    <row r="1043" spans="1:6" x14ac:dyDescent="0.3">
      <c r="A1043" t="e">
        <f>#REF!</f>
        <v>#REF!</v>
      </c>
      <c r="B1043" t="e">
        <f>#REF!</f>
        <v>#REF!</v>
      </c>
      <c r="C1043" t="e">
        <f>#REF!</f>
        <v>#REF!</v>
      </c>
      <c r="D1043" t="e">
        <f>#REF!</f>
        <v>#REF!</v>
      </c>
      <c r="E1043" t="e">
        <f>#REF!</f>
        <v>#REF!</v>
      </c>
      <c r="F1043" t="e">
        <f>#REF!</f>
        <v>#REF!</v>
      </c>
    </row>
    <row r="1044" spans="1:6" x14ac:dyDescent="0.3">
      <c r="A1044" t="e">
        <f>#REF!</f>
        <v>#REF!</v>
      </c>
      <c r="B1044" t="e">
        <f>#REF!</f>
        <v>#REF!</v>
      </c>
      <c r="C1044" t="e">
        <f>#REF!</f>
        <v>#REF!</v>
      </c>
      <c r="D1044" t="e">
        <f>#REF!</f>
        <v>#REF!</v>
      </c>
      <c r="E1044" t="e">
        <f>#REF!</f>
        <v>#REF!</v>
      </c>
      <c r="F1044" t="e">
        <f>#REF!</f>
        <v>#REF!</v>
      </c>
    </row>
    <row r="1045" spans="1:6" x14ac:dyDescent="0.3">
      <c r="A1045" t="e">
        <f>#REF!</f>
        <v>#REF!</v>
      </c>
      <c r="B1045" t="e">
        <f>#REF!</f>
        <v>#REF!</v>
      </c>
      <c r="C1045" t="e">
        <f>#REF!</f>
        <v>#REF!</v>
      </c>
      <c r="D1045" t="e">
        <f>#REF!</f>
        <v>#REF!</v>
      </c>
      <c r="E1045" t="e">
        <f>#REF!</f>
        <v>#REF!</v>
      </c>
      <c r="F1045" t="e">
        <f>#REF!</f>
        <v>#REF!</v>
      </c>
    </row>
    <row r="1046" spans="1:6" x14ac:dyDescent="0.3">
      <c r="A1046" t="e">
        <f>#REF!</f>
        <v>#REF!</v>
      </c>
      <c r="B1046" t="e">
        <f>#REF!</f>
        <v>#REF!</v>
      </c>
      <c r="C1046" t="e">
        <f>#REF!</f>
        <v>#REF!</v>
      </c>
      <c r="D1046" t="e">
        <f>#REF!</f>
        <v>#REF!</v>
      </c>
      <c r="E1046" t="e">
        <f>#REF!</f>
        <v>#REF!</v>
      </c>
      <c r="F1046" t="e">
        <f>#REF!</f>
        <v>#REF!</v>
      </c>
    </row>
    <row r="1047" spans="1:6" x14ac:dyDescent="0.3">
      <c r="A1047" t="e">
        <f>#REF!</f>
        <v>#REF!</v>
      </c>
      <c r="B1047" t="e">
        <f>#REF!</f>
        <v>#REF!</v>
      </c>
      <c r="C1047" t="e">
        <f>#REF!</f>
        <v>#REF!</v>
      </c>
      <c r="D1047" t="e">
        <f>#REF!</f>
        <v>#REF!</v>
      </c>
      <c r="E1047" t="e">
        <f>#REF!</f>
        <v>#REF!</v>
      </c>
      <c r="F1047" t="e">
        <f>#REF!</f>
        <v>#REF!</v>
      </c>
    </row>
    <row r="1048" spans="1:6" x14ac:dyDescent="0.3">
      <c r="A1048" t="e">
        <f>#REF!</f>
        <v>#REF!</v>
      </c>
      <c r="B1048" t="e">
        <f>#REF!</f>
        <v>#REF!</v>
      </c>
      <c r="C1048" t="e">
        <f>#REF!</f>
        <v>#REF!</v>
      </c>
      <c r="D1048" t="e">
        <f>#REF!</f>
        <v>#REF!</v>
      </c>
      <c r="E1048" t="e">
        <f>#REF!</f>
        <v>#REF!</v>
      </c>
      <c r="F1048" t="e">
        <f>#REF!</f>
        <v>#REF!</v>
      </c>
    </row>
    <row r="1049" spans="1:6" x14ac:dyDescent="0.3">
      <c r="A1049" t="e">
        <f>#REF!</f>
        <v>#REF!</v>
      </c>
      <c r="B1049" t="e">
        <f>#REF!</f>
        <v>#REF!</v>
      </c>
      <c r="C1049" t="e">
        <f>#REF!</f>
        <v>#REF!</v>
      </c>
      <c r="D1049" t="e">
        <f>#REF!</f>
        <v>#REF!</v>
      </c>
      <c r="E1049" t="e">
        <f>#REF!</f>
        <v>#REF!</v>
      </c>
      <c r="F1049" t="e">
        <f>#REF!</f>
        <v>#REF!</v>
      </c>
    </row>
    <row r="1050" spans="1:6" x14ac:dyDescent="0.3">
      <c r="A1050" t="e">
        <f>#REF!</f>
        <v>#REF!</v>
      </c>
      <c r="B1050" t="e">
        <f>#REF!</f>
        <v>#REF!</v>
      </c>
      <c r="C1050" t="e">
        <f>#REF!</f>
        <v>#REF!</v>
      </c>
      <c r="D1050" t="e">
        <f>#REF!</f>
        <v>#REF!</v>
      </c>
      <c r="E1050" t="e">
        <f>#REF!</f>
        <v>#REF!</v>
      </c>
      <c r="F1050" t="e">
        <f>#REF!</f>
        <v>#REF!</v>
      </c>
    </row>
    <row r="1051" spans="1:6" x14ac:dyDescent="0.3">
      <c r="A1051" t="e">
        <f>#REF!</f>
        <v>#REF!</v>
      </c>
      <c r="B1051" t="e">
        <f>#REF!</f>
        <v>#REF!</v>
      </c>
      <c r="C1051" t="e">
        <f>#REF!</f>
        <v>#REF!</v>
      </c>
      <c r="D1051" t="e">
        <f>#REF!</f>
        <v>#REF!</v>
      </c>
      <c r="E1051" t="e">
        <f>#REF!</f>
        <v>#REF!</v>
      </c>
      <c r="F1051" t="e">
        <f>#REF!</f>
        <v>#REF!</v>
      </c>
    </row>
    <row r="1052" spans="1:6" x14ac:dyDescent="0.3">
      <c r="A1052" t="e">
        <f>#REF!</f>
        <v>#REF!</v>
      </c>
      <c r="B1052" t="e">
        <f>#REF!</f>
        <v>#REF!</v>
      </c>
      <c r="C1052" t="e">
        <f>#REF!</f>
        <v>#REF!</v>
      </c>
      <c r="D1052" t="e">
        <f>#REF!</f>
        <v>#REF!</v>
      </c>
      <c r="E1052" t="e">
        <f>#REF!</f>
        <v>#REF!</v>
      </c>
      <c r="F1052" t="e">
        <f>#REF!</f>
        <v>#REF!</v>
      </c>
    </row>
    <row r="1053" spans="1:6" x14ac:dyDescent="0.3">
      <c r="A1053" t="e">
        <f>#REF!</f>
        <v>#REF!</v>
      </c>
      <c r="B1053" t="e">
        <f>#REF!</f>
        <v>#REF!</v>
      </c>
      <c r="C1053" t="e">
        <f>#REF!</f>
        <v>#REF!</v>
      </c>
      <c r="D1053" t="e">
        <f>#REF!</f>
        <v>#REF!</v>
      </c>
      <c r="E1053" t="e">
        <f>#REF!</f>
        <v>#REF!</v>
      </c>
      <c r="F1053" t="e">
        <f>#REF!</f>
        <v>#REF!</v>
      </c>
    </row>
    <row r="1054" spans="1:6" x14ac:dyDescent="0.3">
      <c r="A1054" t="e">
        <f>#REF!</f>
        <v>#REF!</v>
      </c>
      <c r="B1054" t="e">
        <f>#REF!</f>
        <v>#REF!</v>
      </c>
      <c r="C1054" t="e">
        <f>#REF!</f>
        <v>#REF!</v>
      </c>
      <c r="D1054" t="e">
        <f>#REF!</f>
        <v>#REF!</v>
      </c>
      <c r="E1054" t="e">
        <f>#REF!</f>
        <v>#REF!</v>
      </c>
      <c r="F1054" t="e">
        <f>#REF!</f>
        <v>#REF!</v>
      </c>
    </row>
    <row r="1055" spans="1:6" x14ac:dyDescent="0.3">
      <c r="A1055" t="e">
        <f>#REF!</f>
        <v>#REF!</v>
      </c>
      <c r="B1055" t="e">
        <f>#REF!</f>
        <v>#REF!</v>
      </c>
      <c r="C1055" t="e">
        <f>#REF!</f>
        <v>#REF!</v>
      </c>
      <c r="D1055" t="e">
        <f>#REF!</f>
        <v>#REF!</v>
      </c>
      <c r="E1055" t="e">
        <f>#REF!</f>
        <v>#REF!</v>
      </c>
      <c r="F1055" t="e">
        <f>#REF!</f>
        <v>#REF!</v>
      </c>
    </row>
    <row r="1056" spans="1:6" x14ac:dyDescent="0.3">
      <c r="A1056" t="e">
        <f>#REF!</f>
        <v>#REF!</v>
      </c>
      <c r="B1056" t="e">
        <f>#REF!</f>
        <v>#REF!</v>
      </c>
      <c r="C1056" t="e">
        <f>#REF!</f>
        <v>#REF!</v>
      </c>
      <c r="D1056" t="e">
        <f>#REF!</f>
        <v>#REF!</v>
      </c>
      <c r="E1056" t="e">
        <f>#REF!</f>
        <v>#REF!</v>
      </c>
      <c r="F1056" t="e">
        <f>#REF!</f>
        <v>#REF!</v>
      </c>
    </row>
    <row r="1057" spans="1:6" x14ac:dyDescent="0.3">
      <c r="A1057" t="e">
        <f>#REF!</f>
        <v>#REF!</v>
      </c>
      <c r="B1057" t="e">
        <f>#REF!</f>
        <v>#REF!</v>
      </c>
      <c r="C1057" t="e">
        <f>#REF!</f>
        <v>#REF!</v>
      </c>
      <c r="D1057" t="e">
        <f>#REF!</f>
        <v>#REF!</v>
      </c>
      <c r="E1057" t="e">
        <f>#REF!</f>
        <v>#REF!</v>
      </c>
      <c r="F1057" t="e">
        <f>#REF!</f>
        <v>#REF!</v>
      </c>
    </row>
    <row r="1058" spans="1:6" x14ac:dyDescent="0.3">
      <c r="A1058" t="e">
        <f>#REF!</f>
        <v>#REF!</v>
      </c>
      <c r="B1058" t="e">
        <f>#REF!</f>
        <v>#REF!</v>
      </c>
      <c r="C1058" t="e">
        <f>#REF!</f>
        <v>#REF!</v>
      </c>
      <c r="D1058" t="e">
        <f>#REF!</f>
        <v>#REF!</v>
      </c>
      <c r="E1058" t="e">
        <f>#REF!</f>
        <v>#REF!</v>
      </c>
      <c r="F1058" t="e">
        <f>#REF!</f>
        <v>#REF!</v>
      </c>
    </row>
    <row r="1059" spans="1:6" x14ac:dyDescent="0.3">
      <c r="A1059" t="e">
        <f>#REF!</f>
        <v>#REF!</v>
      </c>
      <c r="B1059" t="e">
        <f>#REF!</f>
        <v>#REF!</v>
      </c>
      <c r="C1059" t="e">
        <f>#REF!</f>
        <v>#REF!</v>
      </c>
      <c r="D1059" t="e">
        <f>#REF!</f>
        <v>#REF!</v>
      </c>
      <c r="E1059" t="e">
        <f>#REF!</f>
        <v>#REF!</v>
      </c>
      <c r="F1059" t="e">
        <f>#REF!</f>
        <v>#REF!</v>
      </c>
    </row>
    <row r="1060" spans="1:6" x14ac:dyDescent="0.3">
      <c r="A1060" t="e">
        <f>#REF!</f>
        <v>#REF!</v>
      </c>
      <c r="B1060" t="e">
        <f>#REF!</f>
        <v>#REF!</v>
      </c>
      <c r="C1060" t="e">
        <f>#REF!</f>
        <v>#REF!</v>
      </c>
      <c r="D1060" t="e">
        <f>#REF!</f>
        <v>#REF!</v>
      </c>
      <c r="E1060" t="e">
        <f>#REF!</f>
        <v>#REF!</v>
      </c>
      <c r="F1060" t="e">
        <f>#REF!</f>
        <v>#REF!</v>
      </c>
    </row>
    <row r="1061" spans="1:6" x14ac:dyDescent="0.3">
      <c r="A1061" t="e">
        <f>#REF!</f>
        <v>#REF!</v>
      </c>
      <c r="B1061" t="e">
        <f>#REF!</f>
        <v>#REF!</v>
      </c>
      <c r="C1061" t="e">
        <f>#REF!</f>
        <v>#REF!</v>
      </c>
      <c r="D1061" t="e">
        <f>#REF!</f>
        <v>#REF!</v>
      </c>
      <c r="E1061" t="e">
        <f>#REF!</f>
        <v>#REF!</v>
      </c>
      <c r="F1061" t="e">
        <f>#REF!</f>
        <v>#REF!</v>
      </c>
    </row>
    <row r="1062" spans="1:6" x14ac:dyDescent="0.3">
      <c r="A1062" t="e">
        <f>#REF!</f>
        <v>#REF!</v>
      </c>
      <c r="B1062" t="e">
        <f>#REF!</f>
        <v>#REF!</v>
      </c>
      <c r="C1062" t="e">
        <f>#REF!</f>
        <v>#REF!</v>
      </c>
      <c r="D1062" t="e">
        <f>#REF!</f>
        <v>#REF!</v>
      </c>
      <c r="E1062" t="e">
        <f>#REF!</f>
        <v>#REF!</v>
      </c>
      <c r="F1062" t="e">
        <f>#REF!</f>
        <v>#REF!</v>
      </c>
    </row>
    <row r="1063" spans="1:6" x14ac:dyDescent="0.3">
      <c r="A1063" t="e">
        <f>#REF!</f>
        <v>#REF!</v>
      </c>
      <c r="B1063" t="e">
        <f>#REF!</f>
        <v>#REF!</v>
      </c>
      <c r="C1063" t="e">
        <f>#REF!</f>
        <v>#REF!</v>
      </c>
      <c r="D1063" t="e">
        <f>#REF!</f>
        <v>#REF!</v>
      </c>
      <c r="E1063" t="e">
        <f>#REF!</f>
        <v>#REF!</v>
      </c>
      <c r="F1063" t="e">
        <f>#REF!</f>
        <v>#REF!</v>
      </c>
    </row>
    <row r="1064" spans="1:6" x14ac:dyDescent="0.3">
      <c r="A1064" t="e">
        <f>#REF!</f>
        <v>#REF!</v>
      </c>
      <c r="B1064" t="e">
        <f>#REF!</f>
        <v>#REF!</v>
      </c>
      <c r="C1064" t="e">
        <f>#REF!</f>
        <v>#REF!</v>
      </c>
      <c r="D1064" t="e">
        <f>#REF!</f>
        <v>#REF!</v>
      </c>
      <c r="E1064" t="e">
        <f>#REF!</f>
        <v>#REF!</v>
      </c>
      <c r="F1064" t="e">
        <f>#REF!</f>
        <v>#REF!</v>
      </c>
    </row>
    <row r="1065" spans="1:6" x14ac:dyDescent="0.3">
      <c r="A1065" t="e">
        <f>#REF!</f>
        <v>#REF!</v>
      </c>
      <c r="B1065" t="e">
        <f>#REF!</f>
        <v>#REF!</v>
      </c>
      <c r="C1065" t="e">
        <f>#REF!</f>
        <v>#REF!</v>
      </c>
      <c r="D1065" t="e">
        <f>#REF!</f>
        <v>#REF!</v>
      </c>
      <c r="E1065" t="e">
        <f>#REF!</f>
        <v>#REF!</v>
      </c>
      <c r="F1065" t="e">
        <f>#REF!</f>
        <v>#REF!</v>
      </c>
    </row>
    <row r="1066" spans="1:6" x14ac:dyDescent="0.3">
      <c r="A1066" t="e">
        <f>#REF!</f>
        <v>#REF!</v>
      </c>
      <c r="B1066" t="e">
        <f>#REF!</f>
        <v>#REF!</v>
      </c>
      <c r="C1066" t="e">
        <f>#REF!</f>
        <v>#REF!</v>
      </c>
      <c r="D1066" t="e">
        <f>#REF!</f>
        <v>#REF!</v>
      </c>
      <c r="E1066" t="e">
        <f>#REF!</f>
        <v>#REF!</v>
      </c>
      <c r="F1066" t="e">
        <f>#REF!</f>
        <v>#REF!</v>
      </c>
    </row>
    <row r="1067" spans="1:6" x14ac:dyDescent="0.3">
      <c r="A1067" t="e">
        <f>#REF!</f>
        <v>#REF!</v>
      </c>
      <c r="B1067" t="e">
        <f>#REF!</f>
        <v>#REF!</v>
      </c>
      <c r="C1067" t="e">
        <f>#REF!</f>
        <v>#REF!</v>
      </c>
      <c r="D1067" t="e">
        <f>#REF!</f>
        <v>#REF!</v>
      </c>
      <c r="E1067" t="e">
        <f>#REF!</f>
        <v>#REF!</v>
      </c>
      <c r="F1067" t="e">
        <f>#REF!</f>
        <v>#REF!</v>
      </c>
    </row>
    <row r="1068" spans="1:6" x14ac:dyDescent="0.3">
      <c r="A1068" t="e">
        <f>#REF!</f>
        <v>#REF!</v>
      </c>
      <c r="B1068" t="e">
        <f>#REF!</f>
        <v>#REF!</v>
      </c>
      <c r="C1068" t="e">
        <f>#REF!</f>
        <v>#REF!</v>
      </c>
      <c r="D1068" t="e">
        <f>#REF!</f>
        <v>#REF!</v>
      </c>
      <c r="E1068" t="e">
        <f>#REF!</f>
        <v>#REF!</v>
      </c>
      <c r="F1068" t="e">
        <f>#REF!</f>
        <v>#REF!</v>
      </c>
    </row>
    <row r="1069" spans="1:6" x14ac:dyDescent="0.3">
      <c r="A1069" t="e">
        <f>#REF!</f>
        <v>#REF!</v>
      </c>
      <c r="B1069" t="e">
        <f>#REF!</f>
        <v>#REF!</v>
      </c>
      <c r="C1069" t="e">
        <f>#REF!</f>
        <v>#REF!</v>
      </c>
      <c r="D1069" t="e">
        <f>#REF!</f>
        <v>#REF!</v>
      </c>
      <c r="E1069" t="e">
        <f>#REF!</f>
        <v>#REF!</v>
      </c>
      <c r="F1069" t="e">
        <f>#REF!</f>
        <v>#REF!</v>
      </c>
    </row>
    <row r="1070" spans="1:6" x14ac:dyDescent="0.3">
      <c r="A1070" t="e">
        <f>#REF!</f>
        <v>#REF!</v>
      </c>
      <c r="B1070" t="e">
        <f>#REF!</f>
        <v>#REF!</v>
      </c>
      <c r="C1070" t="e">
        <f>#REF!</f>
        <v>#REF!</v>
      </c>
      <c r="D1070" t="e">
        <f>#REF!</f>
        <v>#REF!</v>
      </c>
      <c r="E1070" t="e">
        <f>#REF!</f>
        <v>#REF!</v>
      </c>
      <c r="F1070" t="e">
        <f>#REF!</f>
        <v>#REF!</v>
      </c>
    </row>
    <row r="1071" spans="1:6" x14ac:dyDescent="0.3">
      <c r="A1071" t="e">
        <f>#REF!</f>
        <v>#REF!</v>
      </c>
      <c r="B1071" t="e">
        <f>#REF!</f>
        <v>#REF!</v>
      </c>
      <c r="C1071" t="e">
        <f>#REF!</f>
        <v>#REF!</v>
      </c>
      <c r="D1071" t="e">
        <f>#REF!</f>
        <v>#REF!</v>
      </c>
      <c r="E1071" t="e">
        <f>#REF!</f>
        <v>#REF!</v>
      </c>
      <c r="F1071" t="e">
        <f>#REF!</f>
        <v>#REF!</v>
      </c>
    </row>
    <row r="1072" spans="1:6" x14ac:dyDescent="0.3">
      <c r="A1072" t="e">
        <f>#REF!</f>
        <v>#REF!</v>
      </c>
      <c r="B1072" t="e">
        <f>#REF!</f>
        <v>#REF!</v>
      </c>
      <c r="C1072" t="e">
        <f>#REF!</f>
        <v>#REF!</v>
      </c>
      <c r="D1072" t="e">
        <f>#REF!</f>
        <v>#REF!</v>
      </c>
      <c r="E1072" t="e">
        <f>#REF!</f>
        <v>#REF!</v>
      </c>
      <c r="F1072" t="e">
        <f>#REF!</f>
        <v>#REF!</v>
      </c>
    </row>
    <row r="1073" spans="1:6" x14ac:dyDescent="0.3">
      <c r="A1073" t="e">
        <f>#REF!</f>
        <v>#REF!</v>
      </c>
      <c r="B1073" t="e">
        <f>#REF!</f>
        <v>#REF!</v>
      </c>
      <c r="C1073" t="e">
        <f>#REF!</f>
        <v>#REF!</v>
      </c>
      <c r="D1073" t="e">
        <f>#REF!</f>
        <v>#REF!</v>
      </c>
      <c r="E1073" t="e">
        <f>#REF!</f>
        <v>#REF!</v>
      </c>
      <c r="F1073" t="e">
        <f>#REF!</f>
        <v>#REF!</v>
      </c>
    </row>
    <row r="1074" spans="1:6" x14ac:dyDescent="0.3">
      <c r="A1074" t="e">
        <f>#REF!</f>
        <v>#REF!</v>
      </c>
      <c r="B1074" t="e">
        <f>#REF!</f>
        <v>#REF!</v>
      </c>
      <c r="C1074" t="e">
        <f>#REF!</f>
        <v>#REF!</v>
      </c>
      <c r="D1074" t="e">
        <f>#REF!</f>
        <v>#REF!</v>
      </c>
      <c r="E1074" t="e">
        <f>#REF!</f>
        <v>#REF!</v>
      </c>
      <c r="F1074" t="e">
        <f>#REF!</f>
        <v>#REF!</v>
      </c>
    </row>
    <row r="1075" spans="1:6" x14ac:dyDescent="0.3">
      <c r="A1075" t="e">
        <f>#REF!</f>
        <v>#REF!</v>
      </c>
      <c r="B1075" t="e">
        <f>#REF!</f>
        <v>#REF!</v>
      </c>
      <c r="C1075" t="e">
        <f>#REF!</f>
        <v>#REF!</v>
      </c>
      <c r="D1075" t="e">
        <f>#REF!</f>
        <v>#REF!</v>
      </c>
      <c r="E1075" t="e">
        <f>#REF!</f>
        <v>#REF!</v>
      </c>
      <c r="F1075" t="e">
        <f>#REF!</f>
        <v>#REF!</v>
      </c>
    </row>
    <row r="1076" spans="1:6" x14ac:dyDescent="0.3">
      <c r="A1076" t="e">
        <f>#REF!</f>
        <v>#REF!</v>
      </c>
      <c r="B1076" t="e">
        <f>#REF!</f>
        <v>#REF!</v>
      </c>
      <c r="C1076" t="e">
        <f>#REF!</f>
        <v>#REF!</v>
      </c>
      <c r="D1076" t="e">
        <f>#REF!</f>
        <v>#REF!</v>
      </c>
      <c r="E1076" t="e">
        <f>#REF!</f>
        <v>#REF!</v>
      </c>
      <c r="F1076" t="e">
        <f>#REF!</f>
        <v>#REF!</v>
      </c>
    </row>
    <row r="1077" spans="1:6" x14ac:dyDescent="0.3">
      <c r="A1077" t="e">
        <f>#REF!</f>
        <v>#REF!</v>
      </c>
      <c r="B1077" t="e">
        <f>#REF!</f>
        <v>#REF!</v>
      </c>
      <c r="C1077" t="e">
        <f>#REF!</f>
        <v>#REF!</v>
      </c>
      <c r="D1077" t="e">
        <f>#REF!</f>
        <v>#REF!</v>
      </c>
      <c r="E1077" t="e">
        <f>#REF!</f>
        <v>#REF!</v>
      </c>
      <c r="F1077" t="e">
        <f>#REF!</f>
        <v>#REF!</v>
      </c>
    </row>
    <row r="1078" spans="1:6" x14ac:dyDescent="0.3">
      <c r="A1078" t="e">
        <f>#REF!</f>
        <v>#REF!</v>
      </c>
      <c r="B1078" t="e">
        <f>#REF!</f>
        <v>#REF!</v>
      </c>
      <c r="C1078" t="e">
        <f>#REF!</f>
        <v>#REF!</v>
      </c>
      <c r="D1078" t="e">
        <f>#REF!</f>
        <v>#REF!</v>
      </c>
      <c r="E1078" t="e">
        <f>#REF!</f>
        <v>#REF!</v>
      </c>
      <c r="F1078" t="e">
        <f>#REF!</f>
        <v>#REF!</v>
      </c>
    </row>
    <row r="1079" spans="1:6" x14ac:dyDescent="0.3">
      <c r="A1079" t="e">
        <f>#REF!</f>
        <v>#REF!</v>
      </c>
      <c r="B1079" t="e">
        <f>#REF!</f>
        <v>#REF!</v>
      </c>
      <c r="C1079" t="e">
        <f>#REF!</f>
        <v>#REF!</v>
      </c>
      <c r="D1079" t="e">
        <f>#REF!</f>
        <v>#REF!</v>
      </c>
      <c r="E1079" t="e">
        <f>#REF!</f>
        <v>#REF!</v>
      </c>
      <c r="F1079" t="e">
        <f>#REF!</f>
        <v>#REF!</v>
      </c>
    </row>
    <row r="1080" spans="1:6" x14ac:dyDescent="0.3">
      <c r="A1080" t="e">
        <f>#REF!</f>
        <v>#REF!</v>
      </c>
      <c r="B1080" t="e">
        <f>#REF!</f>
        <v>#REF!</v>
      </c>
      <c r="C1080" t="e">
        <f>#REF!</f>
        <v>#REF!</v>
      </c>
      <c r="D1080" t="e">
        <f>#REF!</f>
        <v>#REF!</v>
      </c>
      <c r="E1080" t="e">
        <f>#REF!</f>
        <v>#REF!</v>
      </c>
      <c r="F1080" t="e">
        <f>#REF!</f>
        <v>#REF!</v>
      </c>
    </row>
    <row r="1081" spans="1:6" x14ac:dyDescent="0.3">
      <c r="A1081" t="e">
        <f>#REF!</f>
        <v>#REF!</v>
      </c>
      <c r="B1081" t="e">
        <f>#REF!</f>
        <v>#REF!</v>
      </c>
      <c r="C1081" t="e">
        <f>#REF!</f>
        <v>#REF!</v>
      </c>
      <c r="D1081" t="e">
        <f>#REF!</f>
        <v>#REF!</v>
      </c>
      <c r="E1081" t="e">
        <f>#REF!</f>
        <v>#REF!</v>
      </c>
      <c r="F1081" t="e">
        <f>#REF!</f>
        <v>#REF!</v>
      </c>
    </row>
    <row r="1082" spans="1:6" x14ac:dyDescent="0.3">
      <c r="A1082" t="e">
        <f>#REF!</f>
        <v>#REF!</v>
      </c>
      <c r="B1082" t="e">
        <f>#REF!</f>
        <v>#REF!</v>
      </c>
      <c r="C1082" t="e">
        <f>#REF!</f>
        <v>#REF!</v>
      </c>
      <c r="D1082" t="e">
        <f>#REF!</f>
        <v>#REF!</v>
      </c>
      <c r="E1082" t="e">
        <f>#REF!</f>
        <v>#REF!</v>
      </c>
      <c r="F1082" t="e">
        <f>#REF!</f>
        <v>#REF!</v>
      </c>
    </row>
    <row r="1083" spans="1:6" x14ac:dyDescent="0.3">
      <c r="A1083" t="e">
        <f>#REF!</f>
        <v>#REF!</v>
      </c>
      <c r="B1083" t="e">
        <f>#REF!</f>
        <v>#REF!</v>
      </c>
      <c r="C1083" t="e">
        <f>#REF!</f>
        <v>#REF!</v>
      </c>
      <c r="D1083" t="e">
        <f>#REF!</f>
        <v>#REF!</v>
      </c>
      <c r="E1083" t="e">
        <f>#REF!</f>
        <v>#REF!</v>
      </c>
      <c r="F1083" t="e">
        <f>#REF!</f>
        <v>#REF!</v>
      </c>
    </row>
    <row r="1084" spans="1:6" x14ac:dyDescent="0.3">
      <c r="A1084" t="e">
        <f>#REF!</f>
        <v>#REF!</v>
      </c>
      <c r="B1084" t="e">
        <f>#REF!</f>
        <v>#REF!</v>
      </c>
      <c r="C1084" t="e">
        <f>#REF!</f>
        <v>#REF!</v>
      </c>
      <c r="D1084" t="e">
        <f>#REF!</f>
        <v>#REF!</v>
      </c>
      <c r="E1084" t="e">
        <f>#REF!</f>
        <v>#REF!</v>
      </c>
      <c r="F1084" t="e">
        <f>#REF!</f>
        <v>#REF!</v>
      </c>
    </row>
    <row r="1085" spans="1:6" x14ac:dyDescent="0.3">
      <c r="A1085" t="e">
        <f>#REF!</f>
        <v>#REF!</v>
      </c>
      <c r="B1085" t="e">
        <f>#REF!</f>
        <v>#REF!</v>
      </c>
      <c r="C1085" t="e">
        <f>#REF!</f>
        <v>#REF!</v>
      </c>
      <c r="D1085" t="e">
        <f>#REF!</f>
        <v>#REF!</v>
      </c>
      <c r="E1085" t="e">
        <f>#REF!</f>
        <v>#REF!</v>
      </c>
      <c r="F1085" t="e">
        <f>#REF!</f>
        <v>#REF!</v>
      </c>
    </row>
    <row r="1086" spans="1:6" x14ac:dyDescent="0.3">
      <c r="A1086" t="e">
        <f>#REF!</f>
        <v>#REF!</v>
      </c>
      <c r="B1086" t="e">
        <f>#REF!</f>
        <v>#REF!</v>
      </c>
      <c r="C1086" t="e">
        <f>#REF!</f>
        <v>#REF!</v>
      </c>
      <c r="D1086" t="e">
        <f>#REF!</f>
        <v>#REF!</v>
      </c>
      <c r="E1086" t="e">
        <f>#REF!</f>
        <v>#REF!</v>
      </c>
      <c r="F1086" t="e">
        <f>#REF!</f>
        <v>#REF!</v>
      </c>
    </row>
    <row r="1087" spans="1:6" x14ac:dyDescent="0.3">
      <c r="A1087" t="e">
        <f>#REF!</f>
        <v>#REF!</v>
      </c>
      <c r="B1087" t="e">
        <f>#REF!</f>
        <v>#REF!</v>
      </c>
      <c r="C1087" t="e">
        <f>#REF!</f>
        <v>#REF!</v>
      </c>
      <c r="D1087" t="e">
        <f>#REF!</f>
        <v>#REF!</v>
      </c>
      <c r="E1087" t="e">
        <f>#REF!</f>
        <v>#REF!</v>
      </c>
      <c r="F1087" t="e">
        <f>#REF!</f>
        <v>#REF!</v>
      </c>
    </row>
    <row r="1088" spans="1:6" x14ac:dyDescent="0.3">
      <c r="A1088" t="e">
        <f>#REF!</f>
        <v>#REF!</v>
      </c>
      <c r="B1088" t="e">
        <f>#REF!</f>
        <v>#REF!</v>
      </c>
      <c r="C1088" t="e">
        <f>#REF!</f>
        <v>#REF!</v>
      </c>
      <c r="D1088" t="e">
        <f>#REF!</f>
        <v>#REF!</v>
      </c>
      <c r="E1088" t="e">
        <f>#REF!</f>
        <v>#REF!</v>
      </c>
      <c r="F1088" t="e">
        <f>#REF!</f>
        <v>#REF!</v>
      </c>
    </row>
    <row r="1089" spans="1:6" x14ac:dyDescent="0.3">
      <c r="A1089" t="e">
        <f>#REF!</f>
        <v>#REF!</v>
      </c>
      <c r="B1089" t="e">
        <f>#REF!</f>
        <v>#REF!</v>
      </c>
      <c r="C1089" t="e">
        <f>#REF!</f>
        <v>#REF!</v>
      </c>
      <c r="D1089" t="e">
        <f>#REF!</f>
        <v>#REF!</v>
      </c>
      <c r="E1089" t="e">
        <f>#REF!</f>
        <v>#REF!</v>
      </c>
      <c r="F1089" t="e">
        <f>#REF!</f>
        <v>#REF!</v>
      </c>
    </row>
    <row r="1090" spans="1:6" x14ac:dyDescent="0.3">
      <c r="A1090" t="e">
        <f>#REF!</f>
        <v>#REF!</v>
      </c>
      <c r="B1090" t="e">
        <f>#REF!</f>
        <v>#REF!</v>
      </c>
      <c r="C1090" t="e">
        <f>#REF!</f>
        <v>#REF!</v>
      </c>
      <c r="D1090" t="e">
        <f>#REF!</f>
        <v>#REF!</v>
      </c>
      <c r="E1090" t="e">
        <f>#REF!</f>
        <v>#REF!</v>
      </c>
      <c r="F1090" t="e">
        <f>#REF!</f>
        <v>#REF!</v>
      </c>
    </row>
    <row r="1091" spans="1:6" x14ac:dyDescent="0.3">
      <c r="A1091" t="e">
        <f>#REF!</f>
        <v>#REF!</v>
      </c>
      <c r="B1091" t="e">
        <f>#REF!</f>
        <v>#REF!</v>
      </c>
      <c r="C1091" t="e">
        <f>#REF!</f>
        <v>#REF!</v>
      </c>
      <c r="D1091" t="e">
        <f>#REF!</f>
        <v>#REF!</v>
      </c>
      <c r="E1091" t="e">
        <f>#REF!</f>
        <v>#REF!</v>
      </c>
      <c r="F1091" t="e">
        <f>#REF!</f>
        <v>#REF!</v>
      </c>
    </row>
    <row r="1092" spans="1:6" x14ac:dyDescent="0.3">
      <c r="A1092" t="e">
        <f>#REF!</f>
        <v>#REF!</v>
      </c>
      <c r="B1092" t="e">
        <f>#REF!</f>
        <v>#REF!</v>
      </c>
      <c r="C1092" t="e">
        <f>#REF!</f>
        <v>#REF!</v>
      </c>
      <c r="D1092" t="e">
        <f>#REF!</f>
        <v>#REF!</v>
      </c>
      <c r="E1092" t="e">
        <f>#REF!</f>
        <v>#REF!</v>
      </c>
      <c r="F1092" t="e">
        <f>#REF!</f>
        <v>#REF!</v>
      </c>
    </row>
    <row r="1093" spans="1:6" x14ac:dyDescent="0.3">
      <c r="A1093" t="e">
        <f>#REF!</f>
        <v>#REF!</v>
      </c>
      <c r="B1093" t="e">
        <f>#REF!</f>
        <v>#REF!</v>
      </c>
      <c r="C1093" t="e">
        <f>#REF!</f>
        <v>#REF!</v>
      </c>
      <c r="D1093" t="e">
        <f>#REF!</f>
        <v>#REF!</v>
      </c>
      <c r="E1093" t="e">
        <f>#REF!</f>
        <v>#REF!</v>
      </c>
      <c r="F1093" t="e">
        <f>#REF!</f>
        <v>#REF!</v>
      </c>
    </row>
    <row r="1094" spans="1:6" x14ac:dyDescent="0.3">
      <c r="A1094" t="e">
        <f>#REF!</f>
        <v>#REF!</v>
      </c>
      <c r="B1094" t="e">
        <f>#REF!</f>
        <v>#REF!</v>
      </c>
      <c r="C1094" t="e">
        <f>#REF!</f>
        <v>#REF!</v>
      </c>
      <c r="D1094" t="e">
        <f>#REF!</f>
        <v>#REF!</v>
      </c>
      <c r="E1094" t="e">
        <f>#REF!</f>
        <v>#REF!</v>
      </c>
      <c r="F1094" t="e">
        <f>#REF!</f>
        <v>#REF!</v>
      </c>
    </row>
    <row r="1095" spans="1:6" x14ac:dyDescent="0.3">
      <c r="A1095" t="e">
        <f>#REF!</f>
        <v>#REF!</v>
      </c>
      <c r="B1095" t="e">
        <f>#REF!</f>
        <v>#REF!</v>
      </c>
      <c r="C1095" t="e">
        <f>#REF!</f>
        <v>#REF!</v>
      </c>
      <c r="D1095" t="e">
        <f>#REF!</f>
        <v>#REF!</v>
      </c>
      <c r="E1095" t="e">
        <f>#REF!</f>
        <v>#REF!</v>
      </c>
      <c r="F1095" t="e">
        <f>#REF!</f>
        <v>#REF!</v>
      </c>
    </row>
    <row r="1096" spans="1:6" x14ac:dyDescent="0.3">
      <c r="A1096" t="e">
        <f>#REF!</f>
        <v>#REF!</v>
      </c>
      <c r="B1096" t="e">
        <f>#REF!</f>
        <v>#REF!</v>
      </c>
      <c r="C1096" t="e">
        <f>#REF!</f>
        <v>#REF!</v>
      </c>
      <c r="D1096" t="e">
        <f>#REF!</f>
        <v>#REF!</v>
      </c>
      <c r="E1096" t="e">
        <f>#REF!</f>
        <v>#REF!</v>
      </c>
      <c r="F1096" t="e">
        <f>#REF!</f>
        <v>#REF!</v>
      </c>
    </row>
    <row r="1097" spans="1:6" x14ac:dyDescent="0.3">
      <c r="A1097" t="e">
        <f>#REF!</f>
        <v>#REF!</v>
      </c>
      <c r="B1097" t="e">
        <f>#REF!</f>
        <v>#REF!</v>
      </c>
      <c r="C1097" t="e">
        <f>#REF!</f>
        <v>#REF!</v>
      </c>
      <c r="D1097" t="e">
        <f>#REF!</f>
        <v>#REF!</v>
      </c>
      <c r="E1097" t="e">
        <f>#REF!</f>
        <v>#REF!</v>
      </c>
      <c r="F1097" t="e">
        <f>#REF!</f>
        <v>#REF!</v>
      </c>
    </row>
    <row r="1098" spans="1:6" x14ac:dyDescent="0.3">
      <c r="A1098" t="e">
        <f>#REF!</f>
        <v>#REF!</v>
      </c>
      <c r="B1098" t="e">
        <f>#REF!</f>
        <v>#REF!</v>
      </c>
      <c r="C1098" t="e">
        <f>#REF!</f>
        <v>#REF!</v>
      </c>
      <c r="D1098" t="e">
        <f>#REF!</f>
        <v>#REF!</v>
      </c>
      <c r="E1098" t="e">
        <f>#REF!</f>
        <v>#REF!</v>
      </c>
      <c r="F1098" t="e">
        <f>#REF!</f>
        <v>#REF!</v>
      </c>
    </row>
    <row r="1099" spans="1:6" x14ac:dyDescent="0.3">
      <c r="A1099" t="e">
        <f>#REF!</f>
        <v>#REF!</v>
      </c>
      <c r="B1099" t="e">
        <f>#REF!</f>
        <v>#REF!</v>
      </c>
      <c r="C1099" t="e">
        <f>#REF!</f>
        <v>#REF!</v>
      </c>
      <c r="D1099" t="e">
        <f>#REF!</f>
        <v>#REF!</v>
      </c>
      <c r="E1099" t="e">
        <f>#REF!</f>
        <v>#REF!</v>
      </c>
      <c r="F1099" t="e">
        <f>#REF!</f>
        <v>#REF!</v>
      </c>
    </row>
    <row r="1100" spans="1:6" x14ac:dyDescent="0.3">
      <c r="A1100" t="e">
        <f>#REF!</f>
        <v>#REF!</v>
      </c>
      <c r="B1100" t="e">
        <f>#REF!</f>
        <v>#REF!</v>
      </c>
      <c r="C1100" t="e">
        <f>#REF!</f>
        <v>#REF!</v>
      </c>
      <c r="D1100" t="e">
        <f>#REF!</f>
        <v>#REF!</v>
      </c>
      <c r="E1100" t="e">
        <f>#REF!</f>
        <v>#REF!</v>
      </c>
      <c r="F1100" t="e">
        <f>#REF!</f>
        <v>#REF!</v>
      </c>
    </row>
    <row r="1101" spans="1:6" x14ac:dyDescent="0.3">
      <c r="A1101" t="e">
        <f>#REF!</f>
        <v>#REF!</v>
      </c>
      <c r="B1101" t="e">
        <f>#REF!</f>
        <v>#REF!</v>
      </c>
      <c r="C1101" t="e">
        <f>#REF!</f>
        <v>#REF!</v>
      </c>
      <c r="D1101" t="e">
        <f>#REF!</f>
        <v>#REF!</v>
      </c>
      <c r="E1101" t="e">
        <f>#REF!</f>
        <v>#REF!</v>
      </c>
      <c r="F1101" t="e">
        <f>#REF!</f>
        <v>#REF!</v>
      </c>
    </row>
    <row r="1102" spans="1:6" x14ac:dyDescent="0.3">
      <c r="A1102" t="e">
        <f>#REF!</f>
        <v>#REF!</v>
      </c>
      <c r="B1102" t="e">
        <f>#REF!</f>
        <v>#REF!</v>
      </c>
      <c r="C1102" t="e">
        <f>#REF!</f>
        <v>#REF!</v>
      </c>
      <c r="D1102" t="e">
        <f>#REF!</f>
        <v>#REF!</v>
      </c>
      <c r="E1102" t="e">
        <f>#REF!</f>
        <v>#REF!</v>
      </c>
      <c r="F1102" t="e">
        <f>#REF!</f>
        <v>#REF!</v>
      </c>
    </row>
    <row r="1103" spans="1:6" x14ac:dyDescent="0.3">
      <c r="A1103" t="e">
        <f>#REF!</f>
        <v>#REF!</v>
      </c>
      <c r="B1103" t="e">
        <f>#REF!</f>
        <v>#REF!</v>
      </c>
      <c r="C1103" t="e">
        <f>#REF!</f>
        <v>#REF!</v>
      </c>
      <c r="D1103" t="e">
        <f>#REF!</f>
        <v>#REF!</v>
      </c>
      <c r="E1103" t="e">
        <f>#REF!</f>
        <v>#REF!</v>
      </c>
      <c r="F1103" t="e">
        <f>#REF!</f>
        <v>#REF!</v>
      </c>
    </row>
    <row r="1104" spans="1:6" x14ac:dyDescent="0.3">
      <c r="A1104" t="e">
        <f>#REF!</f>
        <v>#REF!</v>
      </c>
      <c r="B1104" t="e">
        <f>#REF!</f>
        <v>#REF!</v>
      </c>
      <c r="C1104" t="e">
        <f>#REF!</f>
        <v>#REF!</v>
      </c>
      <c r="D1104" t="e">
        <f>#REF!</f>
        <v>#REF!</v>
      </c>
      <c r="E1104" t="e">
        <f>#REF!</f>
        <v>#REF!</v>
      </c>
      <c r="F1104" t="e">
        <f>#REF!</f>
        <v>#REF!</v>
      </c>
    </row>
    <row r="1105" spans="1:6" x14ac:dyDescent="0.3">
      <c r="A1105" t="e">
        <f>#REF!</f>
        <v>#REF!</v>
      </c>
      <c r="B1105" t="e">
        <f>#REF!</f>
        <v>#REF!</v>
      </c>
      <c r="C1105" t="e">
        <f>#REF!</f>
        <v>#REF!</v>
      </c>
      <c r="D1105" t="e">
        <f>#REF!</f>
        <v>#REF!</v>
      </c>
      <c r="E1105" t="e">
        <f>#REF!</f>
        <v>#REF!</v>
      </c>
      <c r="F1105" t="e">
        <f>#REF!</f>
        <v>#REF!</v>
      </c>
    </row>
    <row r="1106" spans="1:6" x14ac:dyDescent="0.3">
      <c r="A1106" t="e">
        <f>#REF!</f>
        <v>#REF!</v>
      </c>
      <c r="B1106" t="e">
        <f>#REF!</f>
        <v>#REF!</v>
      </c>
      <c r="C1106" t="e">
        <f>#REF!</f>
        <v>#REF!</v>
      </c>
      <c r="D1106" t="e">
        <f>#REF!</f>
        <v>#REF!</v>
      </c>
      <c r="E1106" t="e">
        <f>#REF!</f>
        <v>#REF!</v>
      </c>
      <c r="F1106" t="e">
        <f>#REF!</f>
        <v>#REF!</v>
      </c>
    </row>
    <row r="1107" spans="1:6" x14ac:dyDescent="0.3">
      <c r="A1107" t="e">
        <f>#REF!</f>
        <v>#REF!</v>
      </c>
      <c r="B1107" t="e">
        <f>#REF!</f>
        <v>#REF!</v>
      </c>
      <c r="C1107" t="e">
        <f>#REF!</f>
        <v>#REF!</v>
      </c>
      <c r="D1107" t="e">
        <f>#REF!</f>
        <v>#REF!</v>
      </c>
      <c r="E1107" t="e">
        <f>#REF!</f>
        <v>#REF!</v>
      </c>
      <c r="F1107" t="e">
        <f>#REF!</f>
        <v>#REF!</v>
      </c>
    </row>
    <row r="1108" spans="1:6" x14ac:dyDescent="0.3">
      <c r="A1108" t="e">
        <f>#REF!</f>
        <v>#REF!</v>
      </c>
      <c r="B1108" t="e">
        <f>#REF!</f>
        <v>#REF!</v>
      </c>
      <c r="C1108" t="e">
        <f>#REF!</f>
        <v>#REF!</v>
      </c>
      <c r="D1108" t="e">
        <f>#REF!</f>
        <v>#REF!</v>
      </c>
      <c r="E1108" t="e">
        <f>#REF!</f>
        <v>#REF!</v>
      </c>
      <c r="F1108" t="e">
        <f>#REF!</f>
        <v>#REF!</v>
      </c>
    </row>
    <row r="1109" spans="1:6" x14ac:dyDescent="0.3">
      <c r="A1109" t="e">
        <f>#REF!</f>
        <v>#REF!</v>
      </c>
      <c r="B1109" t="e">
        <f>#REF!</f>
        <v>#REF!</v>
      </c>
      <c r="C1109" t="e">
        <f>#REF!</f>
        <v>#REF!</v>
      </c>
      <c r="D1109" t="e">
        <f>#REF!</f>
        <v>#REF!</v>
      </c>
      <c r="E1109" t="e">
        <f>#REF!</f>
        <v>#REF!</v>
      </c>
      <c r="F1109" t="e">
        <f>#REF!</f>
        <v>#REF!</v>
      </c>
    </row>
    <row r="1110" spans="1:6" x14ac:dyDescent="0.3">
      <c r="A1110" t="e">
        <f>#REF!</f>
        <v>#REF!</v>
      </c>
      <c r="B1110" t="e">
        <f>#REF!</f>
        <v>#REF!</v>
      </c>
      <c r="C1110" t="e">
        <f>#REF!</f>
        <v>#REF!</v>
      </c>
      <c r="D1110" t="e">
        <f>#REF!</f>
        <v>#REF!</v>
      </c>
      <c r="E1110" t="e">
        <f>#REF!</f>
        <v>#REF!</v>
      </c>
      <c r="F1110" t="e">
        <f>#REF!</f>
        <v>#REF!</v>
      </c>
    </row>
    <row r="1111" spans="1:6" x14ac:dyDescent="0.3">
      <c r="A1111" t="e">
        <f>#REF!</f>
        <v>#REF!</v>
      </c>
      <c r="B1111" t="e">
        <f>#REF!</f>
        <v>#REF!</v>
      </c>
      <c r="C1111" t="e">
        <f>#REF!</f>
        <v>#REF!</v>
      </c>
      <c r="D1111" t="e">
        <f>#REF!</f>
        <v>#REF!</v>
      </c>
      <c r="E1111" t="e">
        <f>#REF!</f>
        <v>#REF!</v>
      </c>
      <c r="F1111" t="e">
        <f>#REF!</f>
        <v>#REF!</v>
      </c>
    </row>
    <row r="1112" spans="1:6" x14ac:dyDescent="0.3">
      <c r="A1112" t="e">
        <f>#REF!</f>
        <v>#REF!</v>
      </c>
      <c r="B1112" t="e">
        <f>#REF!</f>
        <v>#REF!</v>
      </c>
      <c r="C1112" t="e">
        <f>#REF!</f>
        <v>#REF!</v>
      </c>
      <c r="D1112" t="e">
        <f>#REF!</f>
        <v>#REF!</v>
      </c>
      <c r="E1112" t="e">
        <f>#REF!</f>
        <v>#REF!</v>
      </c>
      <c r="F1112" t="e">
        <f>#REF!</f>
        <v>#REF!</v>
      </c>
    </row>
    <row r="1113" spans="1:6" x14ac:dyDescent="0.3">
      <c r="A1113" t="e">
        <f>#REF!</f>
        <v>#REF!</v>
      </c>
      <c r="B1113" t="e">
        <f>#REF!</f>
        <v>#REF!</v>
      </c>
      <c r="C1113" t="e">
        <f>#REF!</f>
        <v>#REF!</v>
      </c>
      <c r="D1113" t="e">
        <f>#REF!</f>
        <v>#REF!</v>
      </c>
      <c r="E1113" t="e">
        <f>#REF!</f>
        <v>#REF!</v>
      </c>
      <c r="F1113" t="e">
        <f>#REF!</f>
        <v>#REF!</v>
      </c>
    </row>
    <row r="1114" spans="1:6" x14ac:dyDescent="0.3">
      <c r="A1114" t="e">
        <f>#REF!</f>
        <v>#REF!</v>
      </c>
      <c r="B1114" t="e">
        <f>#REF!</f>
        <v>#REF!</v>
      </c>
      <c r="C1114" t="e">
        <f>#REF!</f>
        <v>#REF!</v>
      </c>
      <c r="D1114" t="e">
        <f>#REF!</f>
        <v>#REF!</v>
      </c>
      <c r="E1114" t="e">
        <f>#REF!</f>
        <v>#REF!</v>
      </c>
      <c r="F1114" t="e">
        <f>#REF!</f>
        <v>#REF!</v>
      </c>
    </row>
    <row r="1115" spans="1:6" x14ac:dyDescent="0.3">
      <c r="A1115" t="e">
        <f>#REF!</f>
        <v>#REF!</v>
      </c>
      <c r="B1115" t="e">
        <f>#REF!</f>
        <v>#REF!</v>
      </c>
      <c r="C1115" t="e">
        <f>#REF!</f>
        <v>#REF!</v>
      </c>
      <c r="D1115" t="e">
        <f>#REF!</f>
        <v>#REF!</v>
      </c>
      <c r="E1115" t="e">
        <f>#REF!</f>
        <v>#REF!</v>
      </c>
      <c r="F1115" t="e">
        <f>#REF!</f>
        <v>#REF!</v>
      </c>
    </row>
    <row r="1116" spans="1:6" x14ac:dyDescent="0.3">
      <c r="A1116" t="e">
        <f>#REF!</f>
        <v>#REF!</v>
      </c>
      <c r="B1116" t="e">
        <f>#REF!</f>
        <v>#REF!</v>
      </c>
      <c r="C1116" t="e">
        <f>#REF!</f>
        <v>#REF!</v>
      </c>
      <c r="D1116" t="e">
        <f>#REF!</f>
        <v>#REF!</v>
      </c>
      <c r="E1116" t="e">
        <f>#REF!</f>
        <v>#REF!</v>
      </c>
      <c r="F1116" t="e">
        <f>#REF!</f>
        <v>#REF!</v>
      </c>
    </row>
    <row r="1117" spans="1:6" x14ac:dyDescent="0.3">
      <c r="A1117" t="e">
        <f>#REF!</f>
        <v>#REF!</v>
      </c>
      <c r="B1117" t="e">
        <f>#REF!</f>
        <v>#REF!</v>
      </c>
      <c r="C1117" t="e">
        <f>#REF!</f>
        <v>#REF!</v>
      </c>
      <c r="D1117" t="e">
        <f>#REF!</f>
        <v>#REF!</v>
      </c>
      <c r="E1117" t="e">
        <f>#REF!</f>
        <v>#REF!</v>
      </c>
      <c r="F1117" t="e">
        <f>#REF!</f>
        <v>#REF!</v>
      </c>
    </row>
    <row r="1118" spans="1:6" x14ac:dyDescent="0.3">
      <c r="A1118" t="e">
        <f>#REF!</f>
        <v>#REF!</v>
      </c>
      <c r="B1118" t="e">
        <f>#REF!</f>
        <v>#REF!</v>
      </c>
      <c r="C1118" t="e">
        <f>#REF!</f>
        <v>#REF!</v>
      </c>
      <c r="D1118" t="e">
        <f>#REF!</f>
        <v>#REF!</v>
      </c>
      <c r="E1118" t="e">
        <f>#REF!</f>
        <v>#REF!</v>
      </c>
      <c r="F1118" t="e">
        <f>#REF!</f>
        <v>#REF!</v>
      </c>
    </row>
    <row r="1119" spans="1:6" x14ac:dyDescent="0.3">
      <c r="A1119" t="e">
        <f>#REF!</f>
        <v>#REF!</v>
      </c>
      <c r="B1119" t="e">
        <f>#REF!</f>
        <v>#REF!</v>
      </c>
      <c r="C1119" t="e">
        <f>#REF!</f>
        <v>#REF!</v>
      </c>
      <c r="D1119" t="e">
        <f>#REF!</f>
        <v>#REF!</v>
      </c>
      <c r="E1119" t="e">
        <f>#REF!</f>
        <v>#REF!</v>
      </c>
      <c r="F1119" t="e">
        <f>#REF!</f>
        <v>#REF!</v>
      </c>
    </row>
    <row r="1120" spans="1:6" x14ac:dyDescent="0.3">
      <c r="A1120" t="e">
        <f>#REF!</f>
        <v>#REF!</v>
      </c>
      <c r="B1120" t="e">
        <f>#REF!</f>
        <v>#REF!</v>
      </c>
      <c r="C1120" t="e">
        <f>#REF!</f>
        <v>#REF!</v>
      </c>
      <c r="D1120" t="e">
        <f>#REF!</f>
        <v>#REF!</v>
      </c>
      <c r="E1120" t="e">
        <f>#REF!</f>
        <v>#REF!</v>
      </c>
      <c r="F1120" t="e">
        <f>#REF!</f>
        <v>#REF!</v>
      </c>
    </row>
    <row r="1121" spans="1:6" x14ac:dyDescent="0.3">
      <c r="A1121" t="e">
        <f>#REF!</f>
        <v>#REF!</v>
      </c>
      <c r="B1121" t="e">
        <f>#REF!</f>
        <v>#REF!</v>
      </c>
      <c r="C1121" t="e">
        <f>#REF!</f>
        <v>#REF!</v>
      </c>
      <c r="D1121" t="e">
        <f>#REF!</f>
        <v>#REF!</v>
      </c>
      <c r="E1121" t="e">
        <f>#REF!</f>
        <v>#REF!</v>
      </c>
      <c r="F1121" t="e">
        <f>#REF!</f>
        <v>#REF!</v>
      </c>
    </row>
    <row r="1122" spans="1:6" x14ac:dyDescent="0.3">
      <c r="A1122" t="e">
        <f>#REF!</f>
        <v>#REF!</v>
      </c>
      <c r="B1122" t="e">
        <f>#REF!</f>
        <v>#REF!</v>
      </c>
      <c r="C1122" t="e">
        <f>#REF!</f>
        <v>#REF!</v>
      </c>
      <c r="D1122" t="e">
        <f>#REF!</f>
        <v>#REF!</v>
      </c>
      <c r="E1122" t="e">
        <f>#REF!</f>
        <v>#REF!</v>
      </c>
      <c r="F1122" t="e">
        <f>#REF!</f>
        <v>#REF!</v>
      </c>
    </row>
    <row r="1123" spans="1:6" x14ac:dyDescent="0.3">
      <c r="A1123" t="e">
        <f>#REF!</f>
        <v>#REF!</v>
      </c>
      <c r="B1123" t="e">
        <f>#REF!</f>
        <v>#REF!</v>
      </c>
      <c r="C1123" t="e">
        <f>#REF!</f>
        <v>#REF!</v>
      </c>
      <c r="D1123" t="e">
        <f>#REF!</f>
        <v>#REF!</v>
      </c>
      <c r="E1123" t="e">
        <f>#REF!</f>
        <v>#REF!</v>
      </c>
      <c r="F1123" t="e">
        <f>#REF!</f>
        <v>#REF!</v>
      </c>
    </row>
    <row r="1124" spans="1:6" x14ac:dyDescent="0.3">
      <c r="A1124" t="e">
        <f>#REF!</f>
        <v>#REF!</v>
      </c>
      <c r="B1124" t="e">
        <f>#REF!</f>
        <v>#REF!</v>
      </c>
      <c r="C1124" t="e">
        <f>#REF!</f>
        <v>#REF!</v>
      </c>
      <c r="D1124" t="e">
        <f>#REF!</f>
        <v>#REF!</v>
      </c>
      <c r="E1124" t="e">
        <f>#REF!</f>
        <v>#REF!</v>
      </c>
      <c r="F1124" t="e">
        <f>#REF!</f>
        <v>#REF!</v>
      </c>
    </row>
    <row r="1125" spans="1:6" x14ac:dyDescent="0.3">
      <c r="A1125" t="e">
        <f>#REF!</f>
        <v>#REF!</v>
      </c>
      <c r="B1125" t="e">
        <f>#REF!</f>
        <v>#REF!</v>
      </c>
      <c r="C1125" t="e">
        <f>#REF!</f>
        <v>#REF!</v>
      </c>
      <c r="D1125" t="e">
        <f>#REF!</f>
        <v>#REF!</v>
      </c>
      <c r="E1125" t="e">
        <f>#REF!</f>
        <v>#REF!</v>
      </c>
      <c r="F1125" t="e">
        <f>#REF!</f>
        <v>#REF!</v>
      </c>
    </row>
    <row r="1126" spans="1:6" x14ac:dyDescent="0.3">
      <c r="A1126" t="e">
        <f>#REF!</f>
        <v>#REF!</v>
      </c>
      <c r="B1126" t="e">
        <f>#REF!</f>
        <v>#REF!</v>
      </c>
      <c r="C1126" t="e">
        <f>#REF!</f>
        <v>#REF!</v>
      </c>
      <c r="D1126" t="e">
        <f>#REF!</f>
        <v>#REF!</v>
      </c>
      <c r="E1126" t="e">
        <f>#REF!</f>
        <v>#REF!</v>
      </c>
      <c r="F1126" t="e">
        <f>#REF!</f>
        <v>#REF!</v>
      </c>
    </row>
    <row r="1127" spans="1:6" x14ac:dyDescent="0.3">
      <c r="A1127" t="e">
        <f>#REF!</f>
        <v>#REF!</v>
      </c>
      <c r="B1127" t="e">
        <f>#REF!</f>
        <v>#REF!</v>
      </c>
      <c r="C1127" t="e">
        <f>#REF!</f>
        <v>#REF!</v>
      </c>
      <c r="D1127" t="e">
        <f>#REF!</f>
        <v>#REF!</v>
      </c>
      <c r="E1127" t="e">
        <f>#REF!</f>
        <v>#REF!</v>
      </c>
      <c r="F1127" t="e">
        <f>#REF!</f>
        <v>#REF!</v>
      </c>
    </row>
    <row r="1128" spans="1:6" x14ac:dyDescent="0.3">
      <c r="A1128" t="e">
        <f>#REF!</f>
        <v>#REF!</v>
      </c>
      <c r="B1128" t="e">
        <f>#REF!</f>
        <v>#REF!</v>
      </c>
      <c r="C1128" t="e">
        <f>#REF!</f>
        <v>#REF!</v>
      </c>
      <c r="D1128" t="e">
        <f>#REF!</f>
        <v>#REF!</v>
      </c>
      <c r="E1128" t="e">
        <f>#REF!</f>
        <v>#REF!</v>
      </c>
      <c r="F1128" t="e">
        <f>#REF!</f>
        <v>#REF!</v>
      </c>
    </row>
    <row r="1129" spans="1:6" x14ac:dyDescent="0.3">
      <c r="A1129" t="e">
        <f>#REF!</f>
        <v>#REF!</v>
      </c>
      <c r="B1129" t="e">
        <f>#REF!</f>
        <v>#REF!</v>
      </c>
      <c r="C1129" t="e">
        <f>#REF!</f>
        <v>#REF!</v>
      </c>
      <c r="D1129" t="e">
        <f>#REF!</f>
        <v>#REF!</v>
      </c>
      <c r="E1129" t="e">
        <f>#REF!</f>
        <v>#REF!</v>
      </c>
      <c r="F1129" t="e">
        <f>#REF!</f>
        <v>#REF!</v>
      </c>
    </row>
    <row r="1130" spans="1:6" x14ac:dyDescent="0.3">
      <c r="A1130" t="e">
        <f>#REF!</f>
        <v>#REF!</v>
      </c>
      <c r="B1130" t="e">
        <f>#REF!</f>
        <v>#REF!</v>
      </c>
      <c r="C1130" t="e">
        <f>#REF!</f>
        <v>#REF!</v>
      </c>
      <c r="D1130" t="e">
        <f>#REF!</f>
        <v>#REF!</v>
      </c>
      <c r="E1130" t="e">
        <f>#REF!</f>
        <v>#REF!</v>
      </c>
      <c r="F1130" t="e">
        <f>#REF!</f>
        <v>#REF!</v>
      </c>
    </row>
    <row r="1131" spans="1:6" x14ac:dyDescent="0.3">
      <c r="A1131" t="e">
        <f>#REF!</f>
        <v>#REF!</v>
      </c>
      <c r="B1131" t="e">
        <f>#REF!</f>
        <v>#REF!</v>
      </c>
      <c r="C1131" t="e">
        <f>#REF!</f>
        <v>#REF!</v>
      </c>
      <c r="D1131" t="e">
        <f>#REF!</f>
        <v>#REF!</v>
      </c>
      <c r="E1131" t="e">
        <f>#REF!</f>
        <v>#REF!</v>
      </c>
      <c r="F1131" t="e">
        <f>#REF!</f>
        <v>#REF!</v>
      </c>
    </row>
    <row r="1132" spans="1:6" x14ac:dyDescent="0.3">
      <c r="A1132" t="e">
        <f>#REF!</f>
        <v>#REF!</v>
      </c>
      <c r="B1132" t="e">
        <f>#REF!</f>
        <v>#REF!</v>
      </c>
      <c r="C1132" t="e">
        <f>#REF!</f>
        <v>#REF!</v>
      </c>
      <c r="D1132" t="e">
        <f>#REF!</f>
        <v>#REF!</v>
      </c>
      <c r="E1132" t="e">
        <f>#REF!</f>
        <v>#REF!</v>
      </c>
      <c r="F1132" t="e">
        <f>#REF!</f>
        <v>#REF!</v>
      </c>
    </row>
    <row r="1133" spans="1:6" x14ac:dyDescent="0.3">
      <c r="A1133" t="e">
        <f>#REF!</f>
        <v>#REF!</v>
      </c>
      <c r="B1133" t="e">
        <f>#REF!</f>
        <v>#REF!</v>
      </c>
      <c r="C1133" t="e">
        <f>#REF!</f>
        <v>#REF!</v>
      </c>
      <c r="D1133" t="e">
        <f>#REF!</f>
        <v>#REF!</v>
      </c>
      <c r="E1133" t="e">
        <f>#REF!</f>
        <v>#REF!</v>
      </c>
      <c r="F1133" t="e">
        <f>#REF!</f>
        <v>#REF!</v>
      </c>
    </row>
    <row r="1134" spans="1:6" x14ac:dyDescent="0.3">
      <c r="A1134" t="e">
        <f>#REF!</f>
        <v>#REF!</v>
      </c>
      <c r="B1134" t="e">
        <f>#REF!</f>
        <v>#REF!</v>
      </c>
      <c r="C1134" t="e">
        <f>#REF!</f>
        <v>#REF!</v>
      </c>
      <c r="D1134" t="e">
        <f>#REF!</f>
        <v>#REF!</v>
      </c>
      <c r="E1134" t="e">
        <f>#REF!</f>
        <v>#REF!</v>
      </c>
      <c r="F1134" t="e">
        <f>#REF!</f>
        <v>#REF!</v>
      </c>
    </row>
    <row r="1135" spans="1:6" x14ac:dyDescent="0.3">
      <c r="A1135" t="e">
        <f>#REF!</f>
        <v>#REF!</v>
      </c>
      <c r="B1135" t="e">
        <f>#REF!</f>
        <v>#REF!</v>
      </c>
      <c r="C1135" t="e">
        <f>#REF!</f>
        <v>#REF!</v>
      </c>
      <c r="D1135" t="e">
        <f>#REF!</f>
        <v>#REF!</v>
      </c>
      <c r="E1135" t="e">
        <f>#REF!</f>
        <v>#REF!</v>
      </c>
      <c r="F1135" t="e">
        <f>#REF!</f>
        <v>#REF!</v>
      </c>
    </row>
    <row r="1136" spans="1:6" x14ac:dyDescent="0.3">
      <c r="A1136" t="e">
        <f>#REF!</f>
        <v>#REF!</v>
      </c>
      <c r="B1136" t="e">
        <f>#REF!</f>
        <v>#REF!</v>
      </c>
      <c r="C1136" t="e">
        <f>#REF!</f>
        <v>#REF!</v>
      </c>
      <c r="D1136" t="e">
        <f>#REF!</f>
        <v>#REF!</v>
      </c>
      <c r="E1136" t="e">
        <f>#REF!</f>
        <v>#REF!</v>
      </c>
      <c r="F1136" t="e">
        <f>#REF!</f>
        <v>#REF!</v>
      </c>
    </row>
    <row r="1137" spans="1:6" x14ac:dyDescent="0.3">
      <c r="A1137" t="e">
        <f>#REF!</f>
        <v>#REF!</v>
      </c>
      <c r="B1137" t="e">
        <f>#REF!</f>
        <v>#REF!</v>
      </c>
      <c r="C1137" t="e">
        <f>#REF!</f>
        <v>#REF!</v>
      </c>
      <c r="D1137" t="e">
        <f>#REF!</f>
        <v>#REF!</v>
      </c>
      <c r="E1137" t="e">
        <f>#REF!</f>
        <v>#REF!</v>
      </c>
      <c r="F1137" t="e">
        <f>#REF!</f>
        <v>#REF!</v>
      </c>
    </row>
    <row r="1138" spans="1:6" x14ac:dyDescent="0.3">
      <c r="A1138" t="e">
        <f>#REF!</f>
        <v>#REF!</v>
      </c>
      <c r="B1138" t="e">
        <f>#REF!</f>
        <v>#REF!</v>
      </c>
      <c r="C1138" t="e">
        <f>#REF!</f>
        <v>#REF!</v>
      </c>
      <c r="D1138" t="e">
        <f>#REF!</f>
        <v>#REF!</v>
      </c>
      <c r="E1138" t="e">
        <f>#REF!</f>
        <v>#REF!</v>
      </c>
      <c r="F1138" t="e">
        <f>#REF!</f>
        <v>#REF!</v>
      </c>
    </row>
    <row r="1139" spans="1:6" x14ac:dyDescent="0.3">
      <c r="A1139" t="e">
        <f>#REF!</f>
        <v>#REF!</v>
      </c>
      <c r="B1139" t="e">
        <f>#REF!</f>
        <v>#REF!</v>
      </c>
      <c r="C1139" t="e">
        <f>#REF!</f>
        <v>#REF!</v>
      </c>
      <c r="D1139" t="e">
        <f>#REF!</f>
        <v>#REF!</v>
      </c>
      <c r="E1139" t="e">
        <f>#REF!</f>
        <v>#REF!</v>
      </c>
      <c r="F1139" t="e">
        <f>#REF!</f>
        <v>#REF!</v>
      </c>
    </row>
    <row r="1140" spans="1:6" x14ac:dyDescent="0.3">
      <c r="A1140" t="e">
        <f>#REF!</f>
        <v>#REF!</v>
      </c>
      <c r="B1140" t="e">
        <f>#REF!</f>
        <v>#REF!</v>
      </c>
      <c r="C1140" t="e">
        <f>#REF!</f>
        <v>#REF!</v>
      </c>
      <c r="D1140" t="e">
        <f>#REF!</f>
        <v>#REF!</v>
      </c>
      <c r="E1140" t="e">
        <f>#REF!</f>
        <v>#REF!</v>
      </c>
      <c r="F1140" t="e">
        <f>#REF!</f>
        <v>#REF!</v>
      </c>
    </row>
    <row r="1141" spans="1:6" x14ac:dyDescent="0.3">
      <c r="A1141" t="e">
        <f>#REF!</f>
        <v>#REF!</v>
      </c>
      <c r="B1141" t="e">
        <f>#REF!</f>
        <v>#REF!</v>
      </c>
      <c r="C1141" t="e">
        <f>#REF!</f>
        <v>#REF!</v>
      </c>
      <c r="D1141" t="e">
        <f>#REF!</f>
        <v>#REF!</v>
      </c>
      <c r="E1141" t="e">
        <f>#REF!</f>
        <v>#REF!</v>
      </c>
      <c r="F1141" t="e">
        <f>#REF!</f>
        <v>#REF!</v>
      </c>
    </row>
    <row r="1142" spans="1:6" x14ac:dyDescent="0.3">
      <c r="A1142" t="e">
        <f>#REF!</f>
        <v>#REF!</v>
      </c>
      <c r="B1142" t="e">
        <f>#REF!</f>
        <v>#REF!</v>
      </c>
      <c r="C1142" t="e">
        <f>#REF!</f>
        <v>#REF!</v>
      </c>
      <c r="D1142" t="e">
        <f>#REF!</f>
        <v>#REF!</v>
      </c>
      <c r="E1142" t="e">
        <f>#REF!</f>
        <v>#REF!</v>
      </c>
      <c r="F1142" t="e">
        <f>#REF!</f>
        <v>#REF!</v>
      </c>
    </row>
    <row r="1143" spans="1:6" x14ac:dyDescent="0.3">
      <c r="A1143" t="e">
        <f>#REF!</f>
        <v>#REF!</v>
      </c>
      <c r="B1143" t="e">
        <f>#REF!</f>
        <v>#REF!</v>
      </c>
      <c r="C1143" t="e">
        <f>#REF!</f>
        <v>#REF!</v>
      </c>
      <c r="D1143" t="e">
        <f>#REF!</f>
        <v>#REF!</v>
      </c>
      <c r="E1143" t="e">
        <f>#REF!</f>
        <v>#REF!</v>
      </c>
      <c r="F1143" t="e">
        <f>#REF!</f>
        <v>#REF!</v>
      </c>
    </row>
    <row r="1144" spans="1:6" x14ac:dyDescent="0.3">
      <c r="A1144" t="e">
        <f>#REF!</f>
        <v>#REF!</v>
      </c>
      <c r="B1144" t="e">
        <f>#REF!</f>
        <v>#REF!</v>
      </c>
      <c r="C1144" t="e">
        <f>#REF!</f>
        <v>#REF!</v>
      </c>
      <c r="D1144" t="e">
        <f>#REF!</f>
        <v>#REF!</v>
      </c>
      <c r="E1144" t="e">
        <f>#REF!</f>
        <v>#REF!</v>
      </c>
      <c r="F1144" t="e">
        <f>#REF!</f>
        <v>#REF!</v>
      </c>
    </row>
    <row r="1145" spans="1:6" x14ac:dyDescent="0.3">
      <c r="A1145" t="e">
        <f>#REF!</f>
        <v>#REF!</v>
      </c>
      <c r="B1145" t="e">
        <f>#REF!</f>
        <v>#REF!</v>
      </c>
      <c r="C1145" t="e">
        <f>#REF!</f>
        <v>#REF!</v>
      </c>
      <c r="D1145" t="e">
        <f>#REF!</f>
        <v>#REF!</v>
      </c>
      <c r="E1145" t="e">
        <f>#REF!</f>
        <v>#REF!</v>
      </c>
      <c r="F1145" t="e">
        <f>#REF!</f>
        <v>#REF!</v>
      </c>
    </row>
    <row r="1146" spans="1:6" x14ac:dyDescent="0.3">
      <c r="A1146" t="e">
        <f>#REF!</f>
        <v>#REF!</v>
      </c>
      <c r="B1146" t="e">
        <f>#REF!</f>
        <v>#REF!</v>
      </c>
      <c r="C1146" t="e">
        <f>#REF!</f>
        <v>#REF!</v>
      </c>
      <c r="D1146" t="e">
        <f>#REF!</f>
        <v>#REF!</v>
      </c>
      <c r="E1146" t="e">
        <f>#REF!</f>
        <v>#REF!</v>
      </c>
      <c r="F1146" t="e">
        <f>#REF!</f>
        <v>#REF!</v>
      </c>
    </row>
    <row r="1147" spans="1:6" x14ac:dyDescent="0.3">
      <c r="A1147" t="e">
        <f>#REF!</f>
        <v>#REF!</v>
      </c>
      <c r="B1147" t="e">
        <f>#REF!</f>
        <v>#REF!</v>
      </c>
      <c r="C1147" t="e">
        <f>#REF!</f>
        <v>#REF!</v>
      </c>
      <c r="D1147" t="e">
        <f>#REF!</f>
        <v>#REF!</v>
      </c>
      <c r="E1147" t="e">
        <f>#REF!</f>
        <v>#REF!</v>
      </c>
      <c r="F1147" t="e">
        <f>#REF!</f>
        <v>#REF!</v>
      </c>
    </row>
    <row r="1148" spans="1:6" x14ac:dyDescent="0.3">
      <c r="A1148" t="e">
        <f>#REF!</f>
        <v>#REF!</v>
      </c>
      <c r="B1148" t="e">
        <f>#REF!</f>
        <v>#REF!</v>
      </c>
      <c r="C1148" t="e">
        <f>#REF!</f>
        <v>#REF!</v>
      </c>
      <c r="D1148" t="e">
        <f>#REF!</f>
        <v>#REF!</v>
      </c>
      <c r="E1148" t="e">
        <f>#REF!</f>
        <v>#REF!</v>
      </c>
      <c r="F1148" t="e">
        <f>#REF!</f>
        <v>#REF!</v>
      </c>
    </row>
    <row r="1149" spans="1:6" x14ac:dyDescent="0.3">
      <c r="A1149" t="e">
        <f>#REF!</f>
        <v>#REF!</v>
      </c>
      <c r="B1149" t="e">
        <f>#REF!</f>
        <v>#REF!</v>
      </c>
      <c r="C1149" t="e">
        <f>#REF!</f>
        <v>#REF!</v>
      </c>
      <c r="D1149" t="e">
        <f>#REF!</f>
        <v>#REF!</v>
      </c>
      <c r="E1149" t="e">
        <f>#REF!</f>
        <v>#REF!</v>
      </c>
      <c r="F1149" t="e">
        <f>#REF!</f>
        <v>#REF!</v>
      </c>
    </row>
    <row r="1150" spans="1:6" x14ac:dyDescent="0.3">
      <c r="A1150" t="e">
        <f>#REF!</f>
        <v>#REF!</v>
      </c>
      <c r="B1150" t="e">
        <f>#REF!</f>
        <v>#REF!</v>
      </c>
      <c r="C1150" t="e">
        <f>#REF!</f>
        <v>#REF!</v>
      </c>
      <c r="D1150" t="e">
        <f>#REF!</f>
        <v>#REF!</v>
      </c>
      <c r="E1150" t="e">
        <f>#REF!</f>
        <v>#REF!</v>
      </c>
      <c r="F1150" t="e">
        <f>#REF!</f>
        <v>#REF!</v>
      </c>
    </row>
    <row r="1151" spans="1:6" x14ac:dyDescent="0.3">
      <c r="A1151" t="e">
        <f>#REF!</f>
        <v>#REF!</v>
      </c>
      <c r="B1151" t="e">
        <f>#REF!</f>
        <v>#REF!</v>
      </c>
      <c r="C1151" t="e">
        <f>#REF!</f>
        <v>#REF!</v>
      </c>
      <c r="D1151" t="e">
        <f>#REF!</f>
        <v>#REF!</v>
      </c>
      <c r="E1151" t="e">
        <f>#REF!</f>
        <v>#REF!</v>
      </c>
      <c r="F1151" t="e">
        <f>#REF!</f>
        <v>#REF!</v>
      </c>
    </row>
    <row r="1152" spans="1:6" x14ac:dyDescent="0.3">
      <c r="A1152" t="e">
        <f>#REF!</f>
        <v>#REF!</v>
      </c>
      <c r="B1152" t="e">
        <f>#REF!</f>
        <v>#REF!</v>
      </c>
      <c r="C1152" t="e">
        <f>#REF!</f>
        <v>#REF!</v>
      </c>
      <c r="D1152" t="e">
        <f>#REF!</f>
        <v>#REF!</v>
      </c>
      <c r="E1152" t="e">
        <f>#REF!</f>
        <v>#REF!</v>
      </c>
      <c r="F1152" t="e">
        <f>#REF!</f>
        <v>#REF!</v>
      </c>
    </row>
    <row r="1153" spans="1:6" x14ac:dyDescent="0.3">
      <c r="A1153" t="e">
        <f>#REF!</f>
        <v>#REF!</v>
      </c>
      <c r="B1153" t="e">
        <f>#REF!</f>
        <v>#REF!</v>
      </c>
      <c r="C1153" t="e">
        <f>#REF!</f>
        <v>#REF!</v>
      </c>
      <c r="D1153" t="e">
        <f>#REF!</f>
        <v>#REF!</v>
      </c>
      <c r="E1153" t="e">
        <f>#REF!</f>
        <v>#REF!</v>
      </c>
      <c r="F1153" t="e">
        <f>#REF!</f>
        <v>#REF!</v>
      </c>
    </row>
    <row r="1154" spans="1:6" x14ac:dyDescent="0.3">
      <c r="A1154" t="e">
        <f>#REF!</f>
        <v>#REF!</v>
      </c>
      <c r="B1154" t="e">
        <f>#REF!</f>
        <v>#REF!</v>
      </c>
      <c r="C1154" t="e">
        <f>#REF!</f>
        <v>#REF!</v>
      </c>
      <c r="D1154" t="e">
        <f>#REF!</f>
        <v>#REF!</v>
      </c>
      <c r="E1154" t="e">
        <f>#REF!</f>
        <v>#REF!</v>
      </c>
      <c r="F1154" t="e">
        <f>#REF!</f>
        <v>#REF!</v>
      </c>
    </row>
    <row r="1155" spans="1:6" x14ac:dyDescent="0.3">
      <c r="A1155" t="e">
        <f>#REF!</f>
        <v>#REF!</v>
      </c>
      <c r="B1155" t="e">
        <f>#REF!</f>
        <v>#REF!</v>
      </c>
      <c r="C1155" t="e">
        <f>#REF!</f>
        <v>#REF!</v>
      </c>
      <c r="D1155" t="e">
        <f>#REF!</f>
        <v>#REF!</v>
      </c>
      <c r="E1155" t="e">
        <f>#REF!</f>
        <v>#REF!</v>
      </c>
      <c r="F1155" t="e">
        <f>#REF!</f>
        <v>#REF!</v>
      </c>
    </row>
    <row r="1156" spans="1:6" x14ac:dyDescent="0.3">
      <c r="A1156" t="e">
        <f>#REF!</f>
        <v>#REF!</v>
      </c>
      <c r="B1156" t="e">
        <f>#REF!</f>
        <v>#REF!</v>
      </c>
      <c r="C1156" t="e">
        <f>#REF!</f>
        <v>#REF!</v>
      </c>
      <c r="D1156" t="e">
        <f>#REF!</f>
        <v>#REF!</v>
      </c>
      <c r="E1156" t="e">
        <f>#REF!</f>
        <v>#REF!</v>
      </c>
      <c r="F1156" t="e">
        <f>#REF!</f>
        <v>#REF!</v>
      </c>
    </row>
    <row r="1157" spans="1:6" x14ac:dyDescent="0.3">
      <c r="A1157" t="e">
        <f>#REF!</f>
        <v>#REF!</v>
      </c>
      <c r="B1157" t="e">
        <f>#REF!</f>
        <v>#REF!</v>
      </c>
      <c r="C1157" t="e">
        <f>#REF!</f>
        <v>#REF!</v>
      </c>
      <c r="D1157" t="e">
        <f>#REF!</f>
        <v>#REF!</v>
      </c>
      <c r="E1157" t="e">
        <f>#REF!</f>
        <v>#REF!</v>
      </c>
      <c r="F1157" t="e">
        <f>#REF!</f>
        <v>#REF!</v>
      </c>
    </row>
    <row r="1158" spans="1:6" x14ac:dyDescent="0.3">
      <c r="A1158" t="e">
        <f>#REF!</f>
        <v>#REF!</v>
      </c>
      <c r="B1158" t="e">
        <f>#REF!</f>
        <v>#REF!</v>
      </c>
      <c r="C1158" t="e">
        <f>#REF!</f>
        <v>#REF!</v>
      </c>
      <c r="D1158" t="e">
        <f>#REF!</f>
        <v>#REF!</v>
      </c>
      <c r="E1158" t="e">
        <f>#REF!</f>
        <v>#REF!</v>
      </c>
      <c r="F1158" t="e">
        <f>#REF!</f>
        <v>#REF!</v>
      </c>
    </row>
    <row r="1159" spans="1:6" x14ac:dyDescent="0.3">
      <c r="A1159" t="e">
        <f>#REF!</f>
        <v>#REF!</v>
      </c>
      <c r="B1159" t="e">
        <f>#REF!</f>
        <v>#REF!</v>
      </c>
      <c r="C1159" t="e">
        <f>#REF!</f>
        <v>#REF!</v>
      </c>
      <c r="D1159" t="e">
        <f>#REF!</f>
        <v>#REF!</v>
      </c>
      <c r="E1159" t="e">
        <f>#REF!</f>
        <v>#REF!</v>
      </c>
      <c r="F1159" t="e">
        <f>#REF!</f>
        <v>#REF!</v>
      </c>
    </row>
    <row r="1160" spans="1:6" x14ac:dyDescent="0.3">
      <c r="A1160" t="e">
        <f>#REF!</f>
        <v>#REF!</v>
      </c>
      <c r="B1160" t="e">
        <f>#REF!</f>
        <v>#REF!</v>
      </c>
      <c r="C1160" t="e">
        <f>#REF!</f>
        <v>#REF!</v>
      </c>
      <c r="D1160" t="e">
        <f>#REF!</f>
        <v>#REF!</v>
      </c>
      <c r="E1160" t="e">
        <f>#REF!</f>
        <v>#REF!</v>
      </c>
      <c r="F1160" t="e">
        <f>#REF!</f>
        <v>#REF!</v>
      </c>
    </row>
    <row r="1161" spans="1:6" x14ac:dyDescent="0.3">
      <c r="A1161" t="e">
        <f>#REF!</f>
        <v>#REF!</v>
      </c>
      <c r="B1161" t="e">
        <f>#REF!</f>
        <v>#REF!</v>
      </c>
      <c r="C1161" t="e">
        <f>#REF!</f>
        <v>#REF!</v>
      </c>
      <c r="D1161" t="e">
        <f>#REF!</f>
        <v>#REF!</v>
      </c>
      <c r="E1161" t="e">
        <f>#REF!</f>
        <v>#REF!</v>
      </c>
      <c r="F1161" t="e">
        <f>#REF!</f>
        <v>#REF!</v>
      </c>
    </row>
    <row r="1162" spans="1:6" x14ac:dyDescent="0.3">
      <c r="A1162" t="e">
        <f>#REF!</f>
        <v>#REF!</v>
      </c>
      <c r="B1162" t="e">
        <f>#REF!</f>
        <v>#REF!</v>
      </c>
      <c r="C1162" t="e">
        <f>#REF!</f>
        <v>#REF!</v>
      </c>
      <c r="D1162" t="e">
        <f>#REF!</f>
        <v>#REF!</v>
      </c>
      <c r="E1162" t="e">
        <f>#REF!</f>
        <v>#REF!</v>
      </c>
      <c r="F1162" t="e">
        <f>#REF!</f>
        <v>#REF!</v>
      </c>
    </row>
    <row r="1163" spans="1:6" x14ac:dyDescent="0.3">
      <c r="A1163" t="e">
        <f>#REF!</f>
        <v>#REF!</v>
      </c>
      <c r="B1163" t="e">
        <f>#REF!</f>
        <v>#REF!</v>
      </c>
      <c r="C1163" t="e">
        <f>#REF!</f>
        <v>#REF!</v>
      </c>
      <c r="D1163" t="e">
        <f>#REF!</f>
        <v>#REF!</v>
      </c>
      <c r="E1163" t="e">
        <f>#REF!</f>
        <v>#REF!</v>
      </c>
      <c r="F1163" t="e">
        <f>#REF!</f>
        <v>#REF!</v>
      </c>
    </row>
    <row r="1164" spans="1:6" x14ac:dyDescent="0.3">
      <c r="A1164" t="e">
        <f>#REF!</f>
        <v>#REF!</v>
      </c>
      <c r="B1164" t="e">
        <f>#REF!</f>
        <v>#REF!</v>
      </c>
      <c r="C1164" t="e">
        <f>#REF!</f>
        <v>#REF!</v>
      </c>
      <c r="D1164" t="e">
        <f>#REF!</f>
        <v>#REF!</v>
      </c>
      <c r="E1164" t="e">
        <f>#REF!</f>
        <v>#REF!</v>
      </c>
      <c r="F1164" t="e">
        <f>#REF!</f>
        <v>#REF!</v>
      </c>
    </row>
    <row r="1165" spans="1:6" x14ac:dyDescent="0.3">
      <c r="A1165" t="e">
        <f>#REF!</f>
        <v>#REF!</v>
      </c>
      <c r="B1165" t="e">
        <f>#REF!</f>
        <v>#REF!</v>
      </c>
      <c r="C1165" t="e">
        <f>#REF!</f>
        <v>#REF!</v>
      </c>
      <c r="D1165" t="e">
        <f>#REF!</f>
        <v>#REF!</v>
      </c>
      <c r="E1165" t="e">
        <f>#REF!</f>
        <v>#REF!</v>
      </c>
      <c r="F1165" t="e">
        <f>#REF!</f>
        <v>#REF!</v>
      </c>
    </row>
    <row r="1166" spans="1:6" x14ac:dyDescent="0.3">
      <c r="A1166" t="e">
        <f>#REF!</f>
        <v>#REF!</v>
      </c>
      <c r="B1166" t="e">
        <f>#REF!</f>
        <v>#REF!</v>
      </c>
      <c r="C1166" t="e">
        <f>#REF!</f>
        <v>#REF!</v>
      </c>
      <c r="D1166" t="e">
        <f>#REF!</f>
        <v>#REF!</v>
      </c>
      <c r="E1166" t="e">
        <f>#REF!</f>
        <v>#REF!</v>
      </c>
      <c r="F1166" t="e">
        <f>#REF!</f>
        <v>#REF!</v>
      </c>
    </row>
    <row r="1167" spans="1:6" x14ac:dyDescent="0.3">
      <c r="A1167" t="e">
        <f>#REF!</f>
        <v>#REF!</v>
      </c>
      <c r="B1167" t="e">
        <f>#REF!</f>
        <v>#REF!</v>
      </c>
      <c r="C1167" t="e">
        <f>#REF!</f>
        <v>#REF!</v>
      </c>
      <c r="D1167" t="e">
        <f>#REF!</f>
        <v>#REF!</v>
      </c>
      <c r="E1167" t="e">
        <f>#REF!</f>
        <v>#REF!</v>
      </c>
      <c r="F1167" t="e">
        <f>#REF!</f>
        <v>#REF!</v>
      </c>
    </row>
    <row r="1168" spans="1:6" x14ac:dyDescent="0.3">
      <c r="A1168" t="e">
        <f>#REF!</f>
        <v>#REF!</v>
      </c>
      <c r="B1168" t="e">
        <f>#REF!</f>
        <v>#REF!</v>
      </c>
      <c r="C1168" t="e">
        <f>#REF!</f>
        <v>#REF!</v>
      </c>
      <c r="D1168" t="e">
        <f>#REF!</f>
        <v>#REF!</v>
      </c>
      <c r="E1168" t="e">
        <f>#REF!</f>
        <v>#REF!</v>
      </c>
      <c r="F1168" t="e">
        <f>#REF!</f>
        <v>#REF!</v>
      </c>
    </row>
    <row r="1169" spans="1:6" x14ac:dyDescent="0.3">
      <c r="A1169" t="e">
        <f>#REF!</f>
        <v>#REF!</v>
      </c>
      <c r="B1169" t="e">
        <f>#REF!</f>
        <v>#REF!</v>
      </c>
      <c r="C1169" t="e">
        <f>#REF!</f>
        <v>#REF!</v>
      </c>
      <c r="D1169" t="e">
        <f>#REF!</f>
        <v>#REF!</v>
      </c>
      <c r="E1169" t="e">
        <f>#REF!</f>
        <v>#REF!</v>
      </c>
      <c r="F1169" t="e">
        <f>#REF!</f>
        <v>#REF!</v>
      </c>
    </row>
    <row r="1170" spans="1:6" x14ac:dyDescent="0.3">
      <c r="A1170" t="e">
        <f>#REF!</f>
        <v>#REF!</v>
      </c>
      <c r="B1170" t="e">
        <f>#REF!</f>
        <v>#REF!</v>
      </c>
      <c r="C1170" t="e">
        <f>#REF!</f>
        <v>#REF!</v>
      </c>
      <c r="D1170" t="e">
        <f>#REF!</f>
        <v>#REF!</v>
      </c>
      <c r="E1170" t="e">
        <f>#REF!</f>
        <v>#REF!</v>
      </c>
      <c r="F1170" t="e">
        <f>#REF!</f>
        <v>#REF!</v>
      </c>
    </row>
    <row r="1171" spans="1:6" x14ac:dyDescent="0.3">
      <c r="A1171" t="e">
        <f>#REF!</f>
        <v>#REF!</v>
      </c>
      <c r="B1171" t="e">
        <f>#REF!</f>
        <v>#REF!</v>
      </c>
      <c r="C1171" t="e">
        <f>#REF!</f>
        <v>#REF!</v>
      </c>
      <c r="D1171" t="e">
        <f>#REF!</f>
        <v>#REF!</v>
      </c>
      <c r="E1171" t="e">
        <f>#REF!</f>
        <v>#REF!</v>
      </c>
      <c r="F1171" t="e">
        <f>#REF!</f>
        <v>#REF!</v>
      </c>
    </row>
    <row r="1172" spans="1:6" x14ac:dyDescent="0.3">
      <c r="A1172" t="e">
        <f>#REF!</f>
        <v>#REF!</v>
      </c>
      <c r="B1172" t="e">
        <f>#REF!</f>
        <v>#REF!</v>
      </c>
      <c r="C1172" t="e">
        <f>#REF!</f>
        <v>#REF!</v>
      </c>
      <c r="D1172" t="e">
        <f>#REF!</f>
        <v>#REF!</v>
      </c>
      <c r="E1172" t="e">
        <f>#REF!</f>
        <v>#REF!</v>
      </c>
      <c r="F1172" t="e">
        <f>#REF!</f>
        <v>#REF!</v>
      </c>
    </row>
    <row r="1173" spans="1:6" x14ac:dyDescent="0.3">
      <c r="A1173" t="e">
        <f>#REF!</f>
        <v>#REF!</v>
      </c>
      <c r="B1173" t="e">
        <f>#REF!</f>
        <v>#REF!</v>
      </c>
      <c r="C1173" t="e">
        <f>#REF!</f>
        <v>#REF!</v>
      </c>
      <c r="D1173" t="e">
        <f>#REF!</f>
        <v>#REF!</v>
      </c>
      <c r="E1173" t="e">
        <f>#REF!</f>
        <v>#REF!</v>
      </c>
      <c r="F1173" t="e">
        <f>#REF!</f>
        <v>#REF!</v>
      </c>
    </row>
    <row r="1174" spans="1:6" x14ac:dyDescent="0.3">
      <c r="A1174" t="e">
        <f>#REF!</f>
        <v>#REF!</v>
      </c>
      <c r="B1174" t="e">
        <f>#REF!</f>
        <v>#REF!</v>
      </c>
      <c r="C1174" t="e">
        <f>#REF!</f>
        <v>#REF!</v>
      </c>
      <c r="D1174" t="e">
        <f>#REF!</f>
        <v>#REF!</v>
      </c>
      <c r="E1174" t="e">
        <f>#REF!</f>
        <v>#REF!</v>
      </c>
      <c r="F1174" t="e">
        <f>#REF!</f>
        <v>#REF!</v>
      </c>
    </row>
    <row r="1175" spans="1:6" x14ac:dyDescent="0.3">
      <c r="A1175" t="e">
        <f>#REF!</f>
        <v>#REF!</v>
      </c>
      <c r="B1175" t="e">
        <f>#REF!</f>
        <v>#REF!</v>
      </c>
      <c r="C1175" t="e">
        <f>#REF!</f>
        <v>#REF!</v>
      </c>
      <c r="D1175" t="e">
        <f>#REF!</f>
        <v>#REF!</v>
      </c>
      <c r="E1175" t="e">
        <f>#REF!</f>
        <v>#REF!</v>
      </c>
      <c r="F1175" t="e">
        <f>#REF!</f>
        <v>#REF!</v>
      </c>
    </row>
    <row r="1176" spans="1:6" x14ac:dyDescent="0.3">
      <c r="A1176" t="e">
        <f>#REF!</f>
        <v>#REF!</v>
      </c>
      <c r="B1176" t="e">
        <f>#REF!</f>
        <v>#REF!</v>
      </c>
      <c r="C1176" t="e">
        <f>#REF!</f>
        <v>#REF!</v>
      </c>
      <c r="D1176" t="e">
        <f>#REF!</f>
        <v>#REF!</v>
      </c>
      <c r="E1176" t="e">
        <f>#REF!</f>
        <v>#REF!</v>
      </c>
      <c r="F1176" t="e">
        <f>#REF!</f>
        <v>#REF!</v>
      </c>
    </row>
    <row r="1177" spans="1:6" x14ac:dyDescent="0.3">
      <c r="A1177" t="e">
        <f>#REF!</f>
        <v>#REF!</v>
      </c>
      <c r="B1177" t="e">
        <f>#REF!</f>
        <v>#REF!</v>
      </c>
      <c r="C1177" t="e">
        <f>#REF!</f>
        <v>#REF!</v>
      </c>
      <c r="D1177" t="e">
        <f>#REF!</f>
        <v>#REF!</v>
      </c>
      <c r="E1177" t="e">
        <f>#REF!</f>
        <v>#REF!</v>
      </c>
      <c r="F1177" t="e">
        <f>#REF!</f>
        <v>#REF!</v>
      </c>
    </row>
    <row r="1178" spans="1:6" x14ac:dyDescent="0.3">
      <c r="A1178" t="e">
        <f>#REF!</f>
        <v>#REF!</v>
      </c>
      <c r="B1178" t="e">
        <f>#REF!</f>
        <v>#REF!</v>
      </c>
      <c r="C1178" t="e">
        <f>#REF!</f>
        <v>#REF!</v>
      </c>
      <c r="D1178" t="e">
        <f>#REF!</f>
        <v>#REF!</v>
      </c>
      <c r="E1178" t="e">
        <f>#REF!</f>
        <v>#REF!</v>
      </c>
      <c r="F1178" t="e">
        <f>#REF!</f>
        <v>#REF!</v>
      </c>
    </row>
    <row r="1179" spans="1:6" x14ac:dyDescent="0.3">
      <c r="A1179" t="e">
        <f>#REF!</f>
        <v>#REF!</v>
      </c>
      <c r="B1179" t="e">
        <f>#REF!</f>
        <v>#REF!</v>
      </c>
      <c r="C1179" t="e">
        <f>#REF!</f>
        <v>#REF!</v>
      </c>
      <c r="D1179" t="e">
        <f>#REF!</f>
        <v>#REF!</v>
      </c>
      <c r="E1179" t="e">
        <f>#REF!</f>
        <v>#REF!</v>
      </c>
      <c r="F1179" t="e">
        <f>#REF!</f>
        <v>#REF!</v>
      </c>
    </row>
    <row r="1180" spans="1:6" x14ac:dyDescent="0.3">
      <c r="A1180" t="e">
        <f>#REF!</f>
        <v>#REF!</v>
      </c>
      <c r="B1180" t="e">
        <f>#REF!</f>
        <v>#REF!</v>
      </c>
      <c r="C1180" t="e">
        <f>#REF!</f>
        <v>#REF!</v>
      </c>
      <c r="D1180" t="e">
        <f>#REF!</f>
        <v>#REF!</v>
      </c>
      <c r="E1180" t="e">
        <f>#REF!</f>
        <v>#REF!</v>
      </c>
      <c r="F1180" t="e">
        <f>#REF!</f>
        <v>#REF!</v>
      </c>
    </row>
    <row r="1181" spans="1:6" x14ac:dyDescent="0.3">
      <c r="A1181" t="e">
        <f>#REF!</f>
        <v>#REF!</v>
      </c>
      <c r="B1181" t="e">
        <f>#REF!</f>
        <v>#REF!</v>
      </c>
      <c r="C1181" t="e">
        <f>#REF!</f>
        <v>#REF!</v>
      </c>
      <c r="D1181" t="e">
        <f>#REF!</f>
        <v>#REF!</v>
      </c>
      <c r="E1181" t="e">
        <f>#REF!</f>
        <v>#REF!</v>
      </c>
      <c r="F1181" t="e">
        <f>#REF!</f>
        <v>#REF!</v>
      </c>
    </row>
    <row r="1182" spans="1:6" x14ac:dyDescent="0.3">
      <c r="A1182" t="e">
        <f>#REF!</f>
        <v>#REF!</v>
      </c>
      <c r="B1182" t="e">
        <f>#REF!</f>
        <v>#REF!</v>
      </c>
      <c r="C1182" t="e">
        <f>#REF!</f>
        <v>#REF!</v>
      </c>
      <c r="D1182" t="e">
        <f>#REF!</f>
        <v>#REF!</v>
      </c>
      <c r="E1182" t="e">
        <f>#REF!</f>
        <v>#REF!</v>
      </c>
      <c r="F1182" t="e">
        <f>#REF!</f>
        <v>#REF!</v>
      </c>
    </row>
    <row r="1183" spans="1:6" x14ac:dyDescent="0.3">
      <c r="A1183" t="e">
        <f>#REF!</f>
        <v>#REF!</v>
      </c>
      <c r="B1183" t="e">
        <f>#REF!</f>
        <v>#REF!</v>
      </c>
      <c r="C1183" t="e">
        <f>#REF!</f>
        <v>#REF!</v>
      </c>
      <c r="D1183" t="e">
        <f>#REF!</f>
        <v>#REF!</v>
      </c>
      <c r="E1183" t="e">
        <f>#REF!</f>
        <v>#REF!</v>
      </c>
      <c r="F1183" t="e">
        <f>#REF!</f>
        <v>#REF!</v>
      </c>
    </row>
    <row r="1184" spans="1:6" x14ac:dyDescent="0.3">
      <c r="A1184" t="e">
        <f>#REF!</f>
        <v>#REF!</v>
      </c>
      <c r="B1184" t="e">
        <f>#REF!</f>
        <v>#REF!</v>
      </c>
      <c r="C1184" t="e">
        <f>#REF!</f>
        <v>#REF!</v>
      </c>
      <c r="D1184" t="e">
        <f>#REF!</f>
        <v>#REF!</v>
      </c>
      <c r="E1184" t="e">
        <f>#REF!</f>
        <v>#REF!</v>
      </c>
      <c r="F1184" t="e">
        <f>#REF!</f>
        <v>#REF!</v>
      </c>
    </row>
    <row r="1185" spans="1:6" x14ac:dyDescent="0.3">
      <c r="A1185" t="e">
        <f>#REF!</f>
        <v>#REF!</v>
      </c>
      <c r="B1185" t="e">
        <f>#REF!</f>
        <v>#REF!</v>
      </c>
      <c r="C1185" t="e">
        <f>#REF!</f>
        <v>#REF!</v>
      </c>
      <c r="D1185" t="e">
        <f>#REF!</f>
        <v>#REF!</v>
      </c>
      <c r="E1185" t="e">
        <f>#REF!</f>
        <v>#REF!</v>
      </c>
      <c r="F1185" t="e">
        <f>#REF!</f>
        <v>#REF!</v>
      </c>
    </row>
    <row r="1186" spans="1:6" x14ac:dyDescent="0.3">
      <c r="A1186" t="e">
        <f>#REF!</f>
        <v>#REF!</v>
      </c>
      <c r="B1186" t="e">
        <f>#REF!</f>
        <v>#REF!</v>
      </c>
      <c r="C1186" t="e">
        <f>#REF!</f>
        <v>#REF!</v>
      </c>
      <c r="D1186" t="e">
        <f>#REF!</f>
        <v>#REF!</v>
      </c>
      <c r="E1186" t="e">
        <f>#REF!</f>
        <v>#REF!</v>
      </c>
      <c r="F1186" t="e">
        <f>#REF!</f>
        <v>#REF!</v>
      </c>
    </row>
    <row r="1187" spans="1:6" x14ac:dyDescent="0.3">
      <c r="A1187" t="e">
        <f>#REF!</f>
        <v>#REF!</v>
      </c>
      <c r="B1187" t="e">
        <f>#REF!</f>
        <v>#REF!</v>
      </c>
      <c r="C1187" t="e">
        <f>#REF!</f>
        <v>#REF!</v>
      </c>
      <c r="D1187" t="e">
        <f>#REF!</f>
        <v>#REF!</v>
      </c>
      <c r="E1187" t="e">
        <f>#REF!</f>
        <v>#REF!</v>
      </c>
      <c r="F1187" t="e">
        <f>#REF!</f>
        <v>#REF!</v>
      </c>
    </row>
    <row r="1188" spans="1:6" x14ac:dyDescent="0.3">
      <c r="A1188" t="e">
        <f>#REF!</f>
        <v>#REF!</v>
      </c>
      <c r="B1188" t="e">
        <f>#REF!</f>
        <v>#REF!</v>
      </c>
      <c r="C1188" t="e">
        <f>#REF!</f>
        <v>#REF!</v>
      </c>
      <c r="D1188" t="e">
        <f>#REF!</f>
        <v>#REF!</v>
      </c>
      <c r="E1188" t="e">
        <f>#REF!</f>
        <v>#REF!</v>
      </c>
      <c r="F1188" t="e">
        <f>#REF!</f>
        <v>#REF!</v>
      </c>
    </row>
    <row r="1189" spans="1:6" x14ac:dyDescent="0.3">
      <c r="A1189" t="e">
        <f>#REF!</f>
        <v>#REF!</v>
      </c>
      <c r="B1189" t="e">
        <f>#REF!</f>
        <v>#REF!</v>
      </c>
      <c r="C1189" t="e">
        <f>#REF!</f>
        <v>#REF!</v>
      </c>
      <c r="D1189" t="e">
        <f>#REF!</f>
        <v>#REF!</v>
      </c>
      <c r="E1189" t="e">
        <f>#REF!</f>
        <v>#REF!</v>
      </c>
      <c r="F1189" t="e">
        <f>#REF!</f>
        <v>#REF!</v>
      </c>
    </row>
    <row r="1190" spans="1:6" x14ac:dyDescent="0.3">
      <c r="A1190" t="e">
        <f>#REF!</f>
        <v>#REF!</v>
      </c>
      <c r="B1190" t="e">
        <f>#REF!</f>
        <v>#REF!</v>
      </c>
      <c r="C1190" t="e">
        <f>#REF!</f>
        <v>#REF!</v>
      </c>
      <c r="D1190" t="e">
        <f>#REF!</f>
        <v>#REF!</v>
      </c>
      <c r="E1190" t="e">
        <f>#REF!</f>
        <v>#REF!</v>
      </c>
      <c r="F1190" t="e">
        <f>#REF!</f>
        <v>#REF!</v>
      </c>
    </row>
    <row r="1191" spans="1:6" x14ac:dyDescent="0.3">
      <c r="A1191" t="e">
        <f>#REF!</f>
        <v>#REF!</v>
      </c>
      <c r="B1191" t="e">
        <f>#REF!</f>
        <v>#REF!</v>
      </c>
      <c r="C1191" t="e">
        <f>#REF!</f>
        <v>#REF!</v>
      </c>
      <c r="D1191" t="e">
        <f>#REF!</f>
        <v>#REF!</v>
      </c>
      <c r="E1191" t="e">
        <f>#REF!</f>
        <v>#REF!</v>
      </c>
      <c r="F1191" t="e">
        <f>#REF!</f>
        <v>#REF!</v>
      </c>
    </row>
    <row r="1192" spans="1:6" x14ac:dyDescent="0.3">
      <c r="A1192" t="e">
        <f>#REF!</f>
        <v>#REF!</v>
      </c>
      <c r="B1192" t="e">
        <f>#REF!</f>
        <v>#REF!</v>
      </c>
      <c r="C1192" t="e">
        <f>#REF!</f>
        <v>#REF!</v>
      </c>
      <c r="D1192" t="e">
        <f>#REF!</f>
        <v>#REF!</v>
      </c>
      <c r="E1192" t="e">
        <f>#REF!</f>
        <v>#REF!</v>
      </c>
      <c r="F1192" t="e">
        <f>#REF!</f>
        <v>#REF!</v>
      </c>
    </row>
    <row r="1193" spans="1:6" x14ac:dyDescent="0.3">
      <c r="A1193" t="e">
        <f>#REF!</f>
        <v>#REF!</v>
      </c>
      <c r="B1193" t="e">
        <f>#REF!</f>
        <v>#REF!</v>
      </c>
      <c r="C1193" t="e">
        <f>#REF!</f>
        <v>#REF!</v>
      </c>
      <c r="D1193" t="e">
        <f>#REF!</f>
        <v>#REF!</v>
      </c>
      <c r="E1193" t="e">
        <f>#REF!</f>
        <v>#REF!</v>
      </c>
      <c r="F1193" t="e">
        <f>#REF!</f>
        <v>#REF!</v>
      </c>
    </row>
    <row r="1194" spans="1:6" x14ac:dyDescent="0.3">
      <c r="A1194" t="e">
        <f>#REF!</f>
        <v>#REF!</v>
      </c>
      <c r="B1194" t="e">
        <f>#REF!</f>
        <v>#REF!</v>
      </c>
      <c r="C1194" t="e">
        <f>#REF!</f>
        <v>#REF!</v>
      </c>
      <c r="D1194" t="e">
        <f>#REF!</f>
        <v>#REF!</v>
      </c>
      <c r="E1194" t="e">
        <f>#REF!</f>
        <v>#REF!</v>
      </c>
      <c r="F1194" t="e">
        <f>#REF!</f>
        <v>#REF!</v>
      </c>
    </row>
    <row r="1195" spans="1:6" x14ac:dyDescent="0.3">
      <c r="A1195" t="e">
        <f>#REF!</f>
        <v>#REF!</v>
      </c>
      <c r="B1195" t="e">
        <f>#REF!</f>
        <v>#REF!</v>
      </c>
      <c r="C1195" t="e">
        <f>#REF!</f>
        <v>#REF!</v>
      </c>
      <c r="D1195" t="e">
        <f>#REF!</f>
        <v>#REF!</v>
      </c>
      <c r="E1195" t="e">
        <f>#REF!</f>
        <v>#REF!</v>
      </c>
      <c r="F1195" t="e">
        <f>#REF!</f>
        <v>#REF!</v>
      </c>
    </row>
    <row r="1196" spans="1:6" x14ac:dyDescent="0.3">
      <c r="A1196" t="e">
        <f>#REF!</f>
        <v>#REF!</v>
      </c>
      <c r="B1196" t="e">
        <f>#REF!</f>
        <v>#REF!</v>
      </c>
      <c r="C1196" t="e">
        <f>#REF!</f>
        <v>#REF!</v>
      </c>
      <c r="D1196" t="e">
        <f>#REF!</f>
        <v>#REF!</v>
      </c>
      <c r="E1196" t="e">
        <f>#REF!</f>
        <v>#REF!</v>
      </c>
      <c r="F1196" t="e">
        <f>#REF!</f>
        <v>#REF!</v>
      </c>
    </row>
    <row r="1197" spans="1:6" x14ac:dyDescent="0.3">
      <c r="A1197" t="e">
        <f>#REF!</f>
        <v>#REF!</v>
      </c>
      <c r="B1197" t="e">
        <f>#REF!</f>
        <v>#REF!</v>
      </c>
      <c r="C1197" t="e">
        <f>#REF!</f>
        <v>#REF!</v>
      </c>
      <c r="D1197" t="e">
        <f>#REF!</f>
        <v>#REF!</v>
      </c>
      <c r="E1197" t="e">
        <f>#REF!</f>
        <v>#REF!</v>
      </c>
      <c r="F1197" t="e">
        <f>#REF!</f>
        <v>#REF!</v>
      </c>
    </row>
    <row r="1198" spans="1:6" x14ac:dyDescent="0.3">
      <c r="A1198" t="e">
        <f>#REF!</f>
        <v>#REF!</v>
      </c>
      <c r="B1198" t="e">
        <f>#REF!</f>
        <v>#REF!</v>
      </c>
      <c r="C1198" t="e">
        <f>#REF!</f>
        <v>#REF!</v>
      </c>
      <c r="D1198" t="e">
        <f>#REF!</f>
        <v>#REF!</v>
      </c>
      <c r="E1198" t="e">
        <f>#REF!</f>
        <v>#REF!</v>
      </c>
      <c r="F1198" t="e">
        <f>#REF!</f>
        <v>#REF!</v>
      </c>
    </row>
    <row r="1199" spans="1:6" x14ac:dyDescent="0.3">
      <c r="A1199" t="e">
        <f>#REF!</f>
        <v>#REF!</v>
      </c>
      <c r="B1199" t="e">
        <f>#REF!</f>
        <v>#REF!</v>
      </c>
      <c r="C1199" t="e">
        <f>#REF!</f>
        <v>#REF!</v>
      </c>
      <c r="D1199" t="e">
        <f>#REF!</f>
        <v>#REF!</v>
      </c>
      <c r="E1199" t="e">
        <f>#REF!</f>
        <v>#REF!</v>
      </c>
      <c r="F1199" t="e">
        <f>#REF!</f>
        <v>#REF!</v>
      </c>
    </row>
    <row r="1200" spans="1:6" x14ac:dyDescent="0.3">
      <c r="A1200" t="e">
        <f>#REF!</f>
        <v>#REF!</v>
      </c>
      <c r="B1200" t="e">
        <f>#REF!</f>
        <v>#REF!</v>
      </c>
      <c r="C1200" t="e">
        <f>#REF!</f>
        <v>#REF!</v>
      </c>
      <c r="D1200" t="e">
        <f>#REF!</f>
        <v>#REF!</v>
      </c>
      <c r="E1200" t="e">
        <f>#REF!</f>
        <v>#REF!</v>
      </c>
      <c r="F1200" t="e">
        <f>#REF!</f>
        <v>#REF!</v>
      </c>
    </row>
    <row r="1201" spans="1:6" x14ac:dyDescent="0.3">
      <c r="A1201" t="e">
        <f>#REF!</f>
        <v>#REF!</v>
      </c>
      <c r="B1201" t="e">
        <f>#REF!</f>
        <v>#REF!</v>
      </c>
      <c r="C1201" t="e">
        <f>#REF!</f>
        <v>#REF!</v>
      </c>
      <c r="D1201" t="e">
        <f>#REF!</f>
        <v>#REF!</v>
      </c>
      <c r="E1201" t="e">
        <f>#REF!</f>
        <v>#REF!</v>
      </c>
      <c r="F1201" t="e">
        <f>#REF!</f>
        <v>#REF!</v>
      </c>
    </row>
    <row r="1202" spans="1:6" x14ac:dyDescent="0.3">
      <c r="A1202" t="e">
        <f>#REF!</f>
        <v>#REF!</v>
      </c>
      <c r="B1202" t="e">
        <f>#REF!</f>
        <v>#REF!</v>
      </c>
      <c r="C1202" t="e">
        <f>#REF!</f>
        <v>#REF!</v>
      </c>
      <c r="D1202" t="e">
        <f>#REF!</f>
        <v>#REF!</v>
      </c>
      <c r="E1202" t="e">
        <f>#REF!</f>
        <v>#REF!</v>
      </c>
      <c r="F1202" t="e">
        <f>#REF!</f>
        <v>#REF!</v>
      </c>
    </row>
    <row r="1203" spans="1:6" x14ac:dyDescent="0.3">
      <c r="A1203" t="e">
        <f>#REF!</f>
        <v>#REF!</v>
      </c>
      <c r="B1203" t="e">
        <f>#REF!</f>
        <v>#REF!</v>
      </c>
      <c r="C1203" t="e">
        <f>#REF!</f>
        <v>#REF!</v>
      </c>
      <c r="D1203" t="e">
        <f>#REF!</f>
        <v>#REF!</v>
      </c>
      <c r="E1203" t="e">
        <f>#REF!</f>
        <v>#REF!</v>
      </c>
      <c r="F1203" t="e">
        <f>#REF!</f>
        <v>#REF!</v>
      </c>
    </row>
    <row r="1204" spans="1:6" x14ac:dyDescent="0.3">
      <c r="A1204" t="e">
        <f>#REF!</f>
        <v>#REF!</v>
      </c>
      <c r="B1204" t="e">
        <f>#REF!</f>
        <v>#REF!</v>
      </c>
      <c r="C1204" t="e">
        <f>#REF!</f>
        <v>#REF!</v>
      </c>
      <c r="D1204" t="e">
        <f>#REF!</f>
        <v>#REF!</v>
      </c>
      <c r="E1204" t="e">
        <f>#REF!</f>
        <v>#REF!</v>
      </c>
      <c r="F1204" t="e">
        <f>#REF!</f>
        <v>#REF!</v>
      </c>
    </row>
    <row r="1205" spans="1:6" x14ac:dyDescent="0.3">
      <c r="A1205" t="e">
        <f>#REF!</f>
        <v>#REF!</v>
      </c>
      <c r="B1205" t="e">
        <f>#REF!</f>
        <v>#REF!</v>
      </c>
      <c r="C1205" t="e">
        <f>#REF!</f>
        <v>#REF!</v>
      </c>
      <c r="D1205" t="e">
        <f>#REF!</f>
        <v>#REF!</v>
      </c>
      <c r="E1205" t="e">
        <f>#REF!</f>
        <v>#REF!</v>
      </c>
      <c r="F1205" t="e">
        <f>#REF!</f>
        <v>#REF!</v>
      </c>
    </row>
    <row r="1206" spans="1:6" x14ac:dyDescent="0.3">
      <c r="A1206" t="e">
        <f>#REF!</f>
        <v>#REF!</v>
      </c>
      <c r="B1206" t="e">
        <f>#REF!</f>
        <v>#REF!</v>
      </c>
      <c r="C1206" t="e">
        <f>#REF!</f>
        <v>#REF!</v>
      </c>
      <c r="D1206" t="e">
        <f>#REF!</f>
        <v>#REF!</v>
      </c>
      <c r="E1206" t="e">
        <f>#REF!</f>
        <v>#REF!</v>
      </c>
      <c r="F1206" t="e">
        <f>#REF!</f>
        <v>#REF!</v>
      </c>
    </row>
    <row r="1207" spans="1:6" x14ac:dyDescent="0.3">
      <c r="A1207" t="e">
        <f>#REF!</f>
        <v>#REF!</v>
      </c>
      <c r="B1207" t="e">
        <f>#REF!</f>
        <v>#REF!</v>
      </c>
      <c r="C1207" t="e">
        <f>#REF!</f>
        <v>#REF!</v>
      </c>
      <c r="D1207" t="e">
        <f>#REF!</f>
        <v>#REF!</v>
      </c>
      <c r="E1207" t="e">
        <f>#REF!</f>
        <v>#REF!</v>
      </c>
      <c r="F1207" t="e">
        <f>#REF!</f>
        <v>#REF!</v>
      </c>
    </row>
    <row r="1208" spans="1:6" x14ac:dyDescent="0.3">
      <c r="A1208" t="e">
        <f>#REF!</f>
        <v>#REF!</v>
      </c>
      <c r="B1208" t="e">
        <f>#REF!</f>
        <v>#REF!</v>
      </c>
      <c r="C1208" t="e">
        <f>#REF!</f>
        <v>#REF!</v>
      </c>
      <c r="D1208" t="e">
        <f>#REF!</f>
        <v>#REF!</v>
      </c>
      <c r="E1208" t="e">
        <f>#REF!</f>
        <v>#REF!</v>
      </c>
      <c r="F1208" t="e">
        <f>#REF!</f>
        <v>#REF!</v>
      </c>
    </row>
    <row r="1209" spans="1:6" x14ac:dyDescent="0.3">
      <c r="A1209" t="e">
        <f>#REF!</f>
        <v>#REF!</v>
      </c>
      <c r="B1209" t="e">
        <f>#REF!</f>
        <v>#REF!</v>
      </c>
      <c r="C1209" t="e">
        <f>#REF!</f>
        <v>#REF!</v>
      </c>
      <c r="D1209" t="e">
        <f>#REF!</f>
        <v>#REF!</v>
      </c>
      <c r="E1209" t="e">
        <f>#REF!</f>
        <v>#REF!</v>
      </c>
      <c r="F1209" t="e">
        <f>#REF!</f>
        <v>#REF!</v>
      </c>
    </row>
    <row r="1210" spans="1:6" x14ac:dyDescent="0.3">
      <c r="A1210" t="e">
        <f>#REF!</f>
        <v>#REF!</v>
      </c>
      <c r="B1210" t="e">
        <f>#REF!</f>
        <v>#REF!</v>
      </c>
      <c r="C1210" t="e">
        <f>#REF!</f>
        <v>#REF!</v>
      </c>
      <c r="D1210" t="e">
        <f>#REF!</f>
        <v>#REF!</v>
      </c>
      <c r="E1210" t="e">
        <f>#REF!</f>
        <v>#REF!</v>
      </c>
      <c r="F1210" t="e">
        <f>#REF!</f>
        <v>#REF!</v>
      </c>
    </row>
    <row r="1211" spans="1:6" x14ac:dyDescent="0.3">
      <c r="A1211" t="e">
        <f>#REF!</f>
        <v>#REF!</v>
      </c>
      <c r="B1211" t="e">
        <f>#REF!</f>
        <v>#REF!</v>
      </c>
      <c r="C1211" t="e">
        <f>#REF!</f>
        <v>#REF!</v>
      </c>
      <c r="D1211" t="e">
        <f>#REF!</f>
        <v>#REF!</v>
      </c>
      <c r="E1211" t="e">
        <f>#REF!</f>
        <v>#REF!</v>
      </c>
      <c r="F1211" t="e">
        <f>#REF!</f>
        <v>#REF!</v>
      </c>
    </row>
    <row r="1212" spans="1:6" x14ac:dyDescent="0.3">
      <c r="A1212" t="e">
        <f>#REF!</f>
        <v>#REF!</v>
      </c>
      <c r="B1212" t="e">
        <f>#REF!</f>
        <v>#REF!</v>
      </c>
      <c r="C1212" t="e">
        <f>#REF!</f>
        <v>#REF!</v>
      </c>
      <c r="D1212" t="e">
        <f>#REF!</f>
        <v>#REF!</v>
      </c>
      <c r="E1212" t="e">
        <f>#REF!</f>
        <v>#REF!</v>
      </c>
      <c r="F1212" t="e">
        <f>#REF!</f>
        <v>#REF!</v>
      </c>
    </row>
    <row r="1213" spans="1:6" x14ac:dyDescent="0.3">
      <c r="A1213" t="e">
        <f>#REF!</f>
        <v>#REF!</v>
      </c>
      <c r="B1213" t="e">
        <f>#REF!</f>
        <v>#REF!</v>
      </c>
      <c r="C1213" t="e">
        <f>#REF!</f>
        <v>#REF!</v>
      </c>
      <c r="D1213" t="e">
        <f>#REF!</f>
        <v>#REF!</v>
      </c>
      <c r="E1213" t="e">
        <f>#REF!</f>
        <v>#REF!</v>
      </c>
      <c r="F1213" t="e">
        <f>#REF!</f>
        <v>#REF!</v>
      </c>
    </row>
    <row r="1214" spans="1:6" x14ac:dyDescent="0.3">
      <c r="A1214" t="e">
        <f>#REF!</f>
        <v>#REF!</v>
      </c>
      <c r="B1214" t="e">
        <f>#REF!</f>
        <v>#REF!</v>
      </c>
      <c r="C1214" t="e">
        <f>#REF!</f>
        <v>#REF!</v>
      </c>
      <c r="D1214" t="e">
        <f>#REF!</f>
        <v>#REF!</v>
      </c>
      <c r="E1214" t="e">
        <f>#REF!</f>
        <v>#REF!</v>
      </c>
      <c r="F1214" t="e">
        <f>#REF!</f>
        <v>#REF!</v>
      </c>
    </row>
    <row r="1215" spans="1:6" x14ac:dyDescent="0.3">
      <c r="A1215" t="e">
        <f>#REF!</f>
        <v>#REF!</v>
      </c>
      <c r="B1215" t="e">
        <f>#REF!</f>
        <v>#REF!</v>
      </c>
      <c r="C1215" t="e">
        <f>#REF!</f>
        <v>#REF!</v>
      </c>
      <c r="D1215" t="e">
        <f>#REF!</f>
        <v>#REF!</v>
      </c>
      <c r="E1215" t="e">
        <f>#REF!</f>
        <v>#REF!</v>
      </c>
      <c r="F1215" t="e">
        <f>#REF!</f>
        <v>#REF!</v>
      </c>
    </row>
    <row r="1216" spans="1:6" x14ac:dyDescent="0.3">
      <c r="A1216" t="e">
        <f>#REF!</f>
        <v>#REF!</v>
      </c>
      <c r="B1216" t="e">
        <f>#REF!</f>
        <v>#REF!</v>
      </c>
      <c r="C1216" t="e">
        <f>#REF!</f>
        <v>#REF!</v>
      </c>
      <c r="D1216" t="e">
        <f>#REF!</f>
        <v>#REF!</v>
      </c>
      <c r="E1216" t="e">
        <f>#REF!</f>
        <v>#REF!</v>
      </c>
      <c r="F1216" t="e">
        <f>#REF!</f>
        <v>#REF!</v>
      </c>
    </row>
    <row r="1217" spans="1:6" x14ac:dyDescent="0.3">
      <c r="A1217" t="e">
        <f>#REF!</f>
        <v>#REF!</v>
      </c>
      <c r="B1217" t="e">
        <f>#REF!</f>
        <v>#REF!</v>
      </c>
      <c r="C1217" t="e">
        <f>#REF!</f>
        <v>#REF!</v>
      </c>
      <c r="D1217" t="e">
        <f>#REF!</f>
        <v>#REF!</v>
      </c>
      <c r="E1217" t="e">
        <f>#REF!</f>
        <v>#REF!</v>
      </c>
      <c r="F1217" t="e">
        <f>#REF!</f>
        <v>#REF!</v>
      </c>
    </row>
    <row r="1218" spans="1:6" x14ac:dyDescent="0.3">
      <c r="A1218" t="e">
        <f>#REF!</f>
        <v>#REF!</v>
      </c>
      <c r="B1218" t="e">
        <f>#REF!</f>
        <v>#REF!</v>
      </c>
      <c r="C1218" t="e">
        <f>#REF!</f>
        <v>#REF!</v>
      </c>
      <c r="D1218" t="e">
        <f>#REF!</f>
        <v>#REF!</v>
      </c>
      <c r="E1218" t="e">
        <f>#REF!</f>
        <v>#REF!</v>
      </c>
      <c r="F1218" t="e">
        <f>#REF!</f>
        <v>#REF!</v>
      </c>
    </row>
    <row r="1219" spans="1:6" x14ac:dyDescent="0.3">
      <c r="A1219" t="e">
        <f>#REF!</f>
        <v>#REF!</v>
      </c>
      <c r="B1219" t="e">
        <f>#REF!</f>
        <v>#REF!</v>
      </c>
      <c r="C1219" t="e">
        <f>#REF!</f>
        <v>#REF!</v>
      </c>
      <c r="D1219" t="e">
        <f>#REF!</f>
        <v>#REF!</v>
      </c>
      <c r="E1219" t="e">
        <f>#REF!</f>
        <v>#REF!</v>
      </c>
      <c r="F1219" t="e">
        <f>#REF!</f>
        <v>#REF!</v>
      </c>
    </row>
    <row r="1220" spans="1:6" x14ac:dyDescent="0.3">
      <c r="A1220" t="e">
        <f>#REF!</f>
        <v>#REF!</v>
      </c>
      <c r="B1220" t="e">
        <f>#REF!</f>
        <v>#REF!</v>
      </c>
      <c r="C1220" t="e">
        <f>#REF!</f>
        <v>#REF!</v>
      </c>
      <c r="D1220" t="e">
        <f>#REF!</f>
        <v>#REF!</v>
      </c>
      <c r="E1220" t="e">
        <f>#REF!</f>
        <v>#REF!</v>
      </c>
      <c r="F1220" t="e">
        <f>#REF!</f>
        <v>#REF!</v>
      </c>
    </row>
    <row r="1221" spans="1:6" x14ac:dyDescent="0.3">
      <c r="A1221" t="e">
        <f>#REF!</f>
        <v>#REF!</v>
      </c>
      <c r="B1221" t="e">
        <f>#REF!</f>
        <v>#REF!</v>
      </c>
      <c r="C1221" t="e">
        <f>#REF!</f>
        <v>#REF!</v>
      </c>
      <c r="D1221" t="e">
        <f>#REF!</f>
        <v>#REF!</v>
      </c>
      <c r="E1221" t="e">
        <f>#REF!</f>
        <v>#REF!</v>
      </c>
      <c r="F1221" t="e">
        <f>#REF!</f>
        <v>#REF!</v>
      </c>
    </row>
    <row r="1222" spans="1:6" x14ac:dyDescent="0.3">
      <c r="A1222" t="e">
        <f>#REF!</f>
        <v>#REF!</v>
      </c>
      <c r="B1222" t="e">
        <f>#REF!</f>
        <v>#REF!</v>
      </c>
      <c r="C1222" t="e">
        <f>#REF!</f>
        <v>#REF!</v>
      </c>
      <c r="D1222" t="e">
        <f>#REF!</f>
        <v>#REF!</v>
      </c>
      <c r="E1222" t="e">
        <f>#REF!</f>
        <v>#REF!</v>
      </c>
      <c r="F1222" t="e">
        <f>#REF!</f>
        <v>#REF!</v>
      </c>
    </row>
    <row r="1223" spans="1:6" x14ac:dyDescent="0.3">
      <c r="A1223" t="e">
        <f>#REF!</f>
        <v>#REF!</v>
      </c>
      <c r="B1223" t="e">
        <f>#REF!</f>
        <v>#REF!</v>
      </c>
      <c r="C1223" t="e">
        <f>#REF!</f>
        <v>#REF!</v>
      </c>
      <c r="D1223" t="e">
        <f>#REF!</f>
        <v>#REF!</v>
      </c>
      <c r="E1223" t="e">
        <f>#REF!</f>
        <v>#REF!</v>
      </c>
      <c r="F1223" t="e">
        <f>#REF!</f>
        <v>#REF!</v>
      </c>
    </row>
    <row r="1224" spans="1:6" x14ac:dyDescent="0.3">
      <c r="A1224" t="e">
        <f>#REF!</f>
        <v>#REF!</v>
      </c>
      <c r="B1224" t="e">
        <f>#REF!</f>
        <v>#REF!</v>
      </c>
      <c r="C1224" t="e">
        <f>#REF!</f>
        <v>#REF!</v>
      </c>
      <c r="D1224" t="e">
        <f>#REF!</f>
        <v>#REF!</v>
      </c>
      <c r="E1224" t="e">
        <f>#REF!</f>
        <v>#REF!</v>
      </c>
      <c r="F1224" t="e">
        <f>#REF!</f>
        <v>#REF!</v>
      </c>
    </row>
    <row r="1225" spans="1:6" x14ac:dyDescent="0.3">
      <c r="A1225" t="e">
        <f>#REF!</f>
        <v>#REF!</v>
      </c>
      <c r="B1225" t="e">
        <f>#REF!</f>
        <v>#REF!</v>
      </c>
      <c r="C1225" t="e">
        <f>#REF!</f>
        <v>#REF!</v>
      </c>
      <c r="D1225" t="e">
        <f>#REF!</f>
        <v>#REF!</v>
      </c>
      <c r="E1225" t="e">
        <f>#REF!</f>
        <v>#REF!</v>
      </c>
      <c r="F1225" t="e">
        <f>#REF!</f>
        <v>#REF!</v>
      </c>
    </row>
    <row r="1226" spans="1:6" x14ac:dyDescent="0.3">
      <c r="A1226" t="e">
        <f>#REF!</f>
        <v>#REF!</v>
      </c>
      <c r="B1226" t="e">
        <f>#REF!</f>
        <v>#REF!</v>
      </c>
      <c r="C1226" t="e">
        <f>#REF!</f>
        <v>#REF!</v>
      </c>
      <c r="D1226" t="e">
        <f>#REF!</f>
        <v>#REF!</v>
      </c>
      <c r="E1226" t="e">
        <f>#REF!</f>
        <v>#REF!</v>
      </c>
      <c r="F1226" t="e">
        <f>#REF!</f>
        <v>#REF!</v>
      </c>
    </row>
    <row r="1227" spans="1:6" x14ac:dyDescent="0.3">
      <c r="A1227" t="e">
        <f>#REF!</f>
        <v>#REF!</v>
      </c>
      <c r="B1227" t="e">
        <f>#REF!</f>
        <v>#REF!</v>
      </c>
      <c r="C1227" t="e">
        <f>#REF!</f>
        <v>#REF!</v>
      </c>
      <c r="D1227" t="e">
        <f>#REF!</f>
        <v>#REF!</v>
      </c>
      <c r="E1227" t="e">
        <f>#REF!</f>
        <v>#REF!</v>
      </c>
      <c r="F1227" t="e">
        <f>#REF!</f>
        <v>#REF!</v>
      </c>
    </row>
    <row r="1228" spans="1:6" x14ac:dyDescent="0.3">
      <c r="A1228" t="e">
        <f>#REF!</f>
        <v>#REF!</v>
      </c>
      <c r="B1228" t="e">
        <f>#REF!</f>
        <v>#REF!</v>
      </c>
      <c r="C1228" t="e">
        <f>#REF!</f>
        <v>#REF!</v>
      </c>
      <c r="D1228" t="e">
        <f>#REF!</f>
        <v>#REF!</v>
      </c>
      <c r="E1228" t="e">
        <f>#REF!</f>
        <v>#REF!</v>
      </c>
      <c r="F1228" t="e">
        <f>#REF!</f>
        <v>#REF!</v>
      </c>
    </row>
    <row r="1229" spans="1:6" x14ac:dyDescent="0.3">
      <c r="A1229" t="e">
        <f>#REF!</f>
        <v>#REF!</v>
      </c>
      <c r="B1229" t="e">
        <f>#REF!</f>
        <v>#REF!</v>
      </c>
      <c r="C1229" t="e">
        <f>#REF!</f>
        <v>#REF!</v>
      </c>
      <c r="D1229" t="e">
        <f>#REF!</f>
        <v>#REF!</v>
      </c>
      <c r="E1229" t="e">
        <f>#REF!</f>
        <v>#REF!</v>
      </c>
      <c r="F1229" t="e">
        <f>#REF!</f>
        <v>#REF!</v>
      </c>
    </row>
    <row r="1230" spans="1:6" x14ac:dyDescent="0.3">
      <c r="A1230" t="e">
        <f>#REF!</f>
        <v>#REF!</v>
      </c>
      <c r="B1230" t="e">
        <f>#REF!</f>
        <v>#REF!</v>
      </c>
      <c r="C1230" t="e">
        <f>#REF!</f>
        <v>#REF!</v>
      </c>
      <c r="D1230" t="e">
        <f>#REF!</f>
        <v>#REF!</v>
      </c>
      <c r="E1230" t="e">
        <f>#REF!</f>
        <v>#REF!</v>
      </c>
      <c r="F1230" t="e">
        <f>#REF!</f>
        <v>#REF!</v>
      </c>
    </row>
    <row r="1231" spans="1:6" x14ac:dyDescent="0.3">
      <c r="A1231" t="e">
        <f>#REF!</f>
        <v>#REF!</v>
      </c>
      <c r="B1231" t="e">
        <f>#REF!</f>
        <v>#REF!</v>
      </c>
      <c r="C1231" t="e">
        <f>#REF!</f>
        <v>#REF!</v>
      </c>
      <c r="D1231" t="e">
        <f>#REF!</f>
        <v>#REF!</v>
      </c>
      <c r="E1231" t="e">
        <f>#REF!</f>
        <v>#REF!</v>
      </c>
      <c r="F1231" t="e">
        <f>#REF!</f>
        <v>#REF!</v>
      </c>
    </row>
    <row r="1232" spans="1:6" x14ac:dyDescent="0.3">
      <c r="A1232" t="e">
        <f>#REF!</f>
        <v>#REF!</v>
      </c>
      <c r="B1232" t="e">
        <f>#REF!</f>
        <v>#REF!</v>
      </c>
      <c r="C1232" t="e">
        <f>#REF!</f>
        <v>#REF!</v>
      </c>
      <c r="D1232" t="e">
        <f>#REF!</f>
        <v>#REF!</v>
      </c>
      <c r="E1232" t="e">
        <f>#REF!</f>
        <v>#REF!</v>
      </c>
      <c r="F1232" t="e">
        <f>#REF!</f>
        <v>#REF!</v>
      </c>
    </row>
    <row r="1233" spans="1:6" x14ac:dyDescent="0.3">
      <c r="A1233" t="e">
        <f>#REF!</f>
        <v>#REF!</v>
      </c>
      <c r="B1233" t="e">
        <f>#REF!</f>
        <v>#REF!</v>
      </c>
      <c r="C1233" t="e">
        <f>#REF!</f>
        <v>#REF!</v>
      </c>
      <c r="D1233" t="e">
        <f>#REF!</f>
        <v>#REF!</v>
      </c>
      <c r="E1233" t="e">
        <f>#REF!</f>
        <v>#REF!</v>
      </c>
      <c r="F1233" t="e">
        <f>#REF!</f>
        <v>#REF!</v>
      </c>
    </row>
    <row r="1234" spans="1:6" x14ac:dyDescent="0.3">
      <c r="A1234" t="e">
        <f>#REF!</f>
        <v>#REF!</v>
      </c>
      <c r="B1234" t="e">
        <f>#REF!</f>
        <v>#REF!</v>
      </c>
      <c r="C1234" t="e">
        <f>#REF!</f>
        <v>#REF!</v>
      </c>
      <c r="D1234" t="e">
        <f>#REF!</f>
        <v>#REF!</v>
      </c>
      <c r="E1234" t="e">
        <f>#REF!</f>
        <v>#REF!</v>
      </c>
      <c r="F1234" t="e">
        <f>#REF!</f>
        <v>#REF!</v>
      </c>
    </row>
    <row r="1235" spans="1:6" x14ac:dyDescent="0.3">
      <c r="A1235" t="e">
        <f>#REF!</f>
        <v>#REF!</v>
      </c>
      <c r="B1235" t="e">
        <f>#REF!</f>
        <v>#REF!</v>
      </c>
      <c r="C1235" t="e">
        <f>#REF!</f>
        <v>#REF!</v>
      </c>
      <c r="D1235" t="e">
        <f>#REF!</f>
        <v>#REF!</v>
      </c>
      <c r="E1235" t="e">
        <f>#REF!</f>
        <v>#REF!</v>
      </c>
      <c r="F1235" t="e">
        <f>#REF!</f>
        <v>#REF!</v>
      </c>
    </row>
    <row r="1236" spans="1:6" x14ac:dyDescent="0.3">
      <c r="A1236" t="e">
        <f>#REF!</f>
        <v>#REF!</v>
      </c>
      <c r="B1236" t="e">
        <f>#REF!</f>
        <v>#REF!</v>
      </c>
      <c r="C1236" t="e">
        <f>#REF!</f>
        <v>#REF!</v>
      </c>
      <c r="D1236" t="e">
        <f>#REF!</f>
        <v>#REF!</v>
      </c>
      <c r="E1236" t="e">
        <f>#REF!</f>
        <v>#REF!</v>
      </c>
      <c r="F1236" t="e">
        <f>#REF!</f>
        <v>#REF!</v>
      </c>
    </row>
    <row r="1237" spans="1:6" x14ac:dyDescent="0.3">
      <c r="A1237" t="e">
        <f>#REF!</f>
        <v>#REF!</v>
      </c>
      <c r="B1237" t="e">
        <f>#REF!</f>
        <v>#REF!</v>
      </c>
      <c r="C1237" t="e">
        <f>#REF!</f>
        <v>#REF!</v>
      </c>
      <c r="D1237" t="e">
        <f>#REF!</f>
        <v>#REF!</v>
      </c>
      <c r="E1237" t="e">
        <f>#REF!</f>
        <v>#REF!</v>
      </c>
      <c r="F1237" t="e">
        <f>#REF!</f>
        <v>#REF!</v>
      </c>
    </row>
    <row r="1238" spans="1:6" x14ac:dyDescent="0.3">
      <c r="A1238" t="e">
        <f>#REF!</f>
        <v>#REF!</v>
      </c>
      <c r="B1238" t="e">
        <f>#REF!</f>
        <v>#REF!</v>
      </c>
      <c r="C1238" t="e">
        <f>#REF!</f>
        <v>#REF!</v>
      </c>
      <c r="D1238" t="e">
        <f>#REF!</f>
        <v>#REF!</v>
      </c>
      <c r="E1238" t="e">
        <f>#REF!</f>
        <v>#REF!</v>
      </c>
      <c r="F1238" t="e">
        <f>#REF!</f>
        <v>#REF!</v>
      </c>
    </row>
    <row r="1239" spans="1:6" x14ac:dyDescent="0.3">
      <c r="A1239" t="e">
        <f>#REF!</f>
        <v>#REF!</v>
      </c>
      <c r="B1239" t="e">
        <f>#REF!</f>
        <v>#REF!</v>
      </c>
      <c r="C1239" t="e">
        <f>#REF!</f>
        <v>#REF!</v>
      </c>
      <c r="D1239" t="e">
        <f>#REF!</f>
        <v>#REF!</v>
      </c>
      <c r="E1239" t="e">
        <f>#REF!</f>
        <v>#REF!</v>
      </c>
      <c r="F1239" t="e">
        <f>#REF!</f>
        <v>#REF!</v>
      </c>
    </row>
    <row r="1240" spans="1:6" x14ac:dyDescent="0.3">
      <c r="A1240" t="e">
        <f>#REF!</f>
        <v>#REF!</v>
      </c>
      <c r="B1240" t="e">
        <f>#REF!</f>
        <v>#REF!</v>
      </c>
      <c r="C1240" t="e">
        <f>#REF!</f>
        <v>#REF!</v>
      </c>
      <c r="D1240" t="e">
        <f>#REF!</f>
        <v>#REF!</v>
      </c>
      <c r="E1240" t="e">
        <f>#REF!</f>
        <v>#REF!</v>
      </c>
      <c r="F1240" t="e">
        <f>#REF!</f>
        <v>#REF!</v>
      </c>
    </row>
    <row r="1241" spans="1:6" x14ac:dyDescent="0.3">
      <c r="A1241" t="e">
        <f>#REF!</f>
        <v>#REF!</v>
      </c>
      <c r="B1241" t="e">
        <f>#REF!</f>
        <v>#REF!</v>
      </c>
      <c r="C1241" t="e">
        <f>#REF!</f>
        <v>#REF!</v>
      </c>
      <c r="D1241" t="e">
        <f>#REF!</f>
        <v>#REF!</v>
      </c>
      <c r="E1241" t="e">
        <f>#REF!</f>
        <v>#REF!</v>
      </c>
      <c r="F1241" t="e">
        <f>#REF!</f>
        <v>#REF!</v>
      </c>
    </row>
    <row r="1242" spans="1:6" x14ac:dyDescent="0.3">
      <c r="A1242" t="e">
        <f>#REF!</f>
        <v>#REF!</v>
      </c>
      <c r="B1242" t="e">
        <f>#REF!</f>
        <v>#REF!</v>
      </c>
      <c r="C1242" t="e">
        <f>#REF!</f>
        <v>#REF!</v>
      </c>
      <c r="D1242" t="e">
        <f>#REF!</f>
        <v>#REF!</v>
      </c>
      <c r="E1242" t="e">
        <f>#REF!</f>
        <v>#REF!</v>
      </c>
      <c r="F1242" t="e">
        <f>#REF!</f>
        <v>#REF!</v>
      </c>
    </row>
  </sheetData>
  <autoFilter ref="K7:L429" xr:uid="{21337D6E-FD76-413B-A8F2-00793675036F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1DE9E-271C-4AFA-9C53-BAE9C2AE80CD}">
  <sheetPr codeName="Sheet1"/>
  <dimension ref="B2:V43"/>
  <sheetViews>
    <sheetView showZeros="0" tabSelected="1" zoomScale="85" zoomScaleNormal="85" workbookViewId="0">
      <selection activeCell="B48" sqref="B48"/>
    </sheetView>
  </sheetViews>
  <sheetFormatPr defaultRowHeight="14.4" x14ac:dyDescent="0.3"/>
  <cols>
    <col min="2" max="2" width="20.21875" customWidth="1"/>
    <col min="3" max="3" width="54.44140625" customWidth="1"/>
    <col min="4" max="4" width="25.77734375" bestFit="1" customWidth="1"/>
    <col min="5" max="5" width="24.44140625" bestFit="1" customWidth="1"/>
    <col min="6" max="6" width="38.109375" bestFit="1" customWidth="1"/>
    <col min="7" max="7" width="10" bestFit="1" customWidth="1"/>
  </cols>
  <sheetData>
    <row r="2" spans="2:22" x14ac:dyDescent="0.3">
      <c r="C2" s="1" t="s">
        <v>4</v>
      </c>
      <c r="D2" s="1" t="s">
        <v>13085</v>
      </c>
      <c r="E2" s="17" t="s">
        <v>4</v>
      </c>
      <c r="F2" s="12" t="str">
        <f>D2 &amp; "!" &amp;D2 &amp; "_" &amp;C2</f>
        <v>TEST_ORGANISATION!TEST_ORGANISATION_COMPANY_TYPE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5" customFormat="1" ht="57.6" x14ac:dyDescent="0.3">
      <c r="B4" s="16" t="str" cm="1">
        <f t="array" aca="1" ref="B4:B5" ca="1">TRANSPOSE(_xlfn.UNIQUE(INDIRECT(C10)))</f>
        <v>NAME</v>
      </c>
      <c r="E4" s="6" t="str" cm="1">
        <f t="array" aca="1" ref="E4" ca="1">TRANSPOSE(_xlfn.UNIQUE(INDIRECT(F2)))</f>
        <v>INVESTMENT_BANK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</row>
    <row r="5" spans="2:22" x14ac:dyDescent="0.3">
      <c r="B5" s="16" t="str">
        <f ca="1"/>
        <v>COMPANY_TYPE</v>
      </c>
      <c r="C5" s="14" t="str">
        <f>D2 &amp; "!" &amp; D2 &amp; "_" &amp; C2</f>
        <v>TEST_ORGANISATION!TEST_ORGANISATION_COMPANY_TYPE</v>
      </c>
      <c r="D5" s="15" t="str" cm="1">
        <f t="array" aca="1" ref="D5" ca="1">_xlfn.UNIQUE(INDIRECT(C5))</f>
        <v>INVESTMENT_BANK</v>
      </c>
      <c r="E5">
        <f ca="1">COUNTIFS(INDIRECT($C$5),$D5,INDIRECT($F$2),E$4)</f>
        <v>72</v>
      </c>
      <c r="F5">
        <f t="shared" ref="F5:V20" ca="1" si="0">COUNTIFS(INDIRECT($C$5),$D5,INDIRECT($F$2),F$4)</f>
        <v>0</v>
      </c>
      <c r="G5">
        <f t="shared" ca="1" si="0"/>
        <v>0</v>
      </c>
      <c r="H5">
        <f t="shared" ca="1" si="0"/>
        <v>0</v>
      </c>
      <c r="I5">
        <f t="shared" ca="1" si="0"/>
        <v>0</v>
      </c>
      <c r="J5">
        <f t="shared" ca="1" si="0"/>
        <v>0</v>
      </c>
      <c r="K5">
        <f t="shared" ca="1" si="0"/>
        <v>0</v>
      </c>
      <c r="L5">
        <f t="shared" ca="1" si="0"/>
        <v>0</v>
      </c>
      <c r="M5">
        <f t="shared" ca="1" si="0"/>
        <v>0</v>
      </c>
      <c r="N5">
        <f t="shared" ca="1" si="0"/>
        <v>0</v>
      </c>
      <c r="O5">
        <f t="shared" ca="1" si="0"/>
        <v>0</v>
      </c>
      <c r="P5">
        <f t="shared" ca="1" si="0"/>
        <v>0</v>
      </c>
      <c r="Q5">
        <f t="shared" ca="1" si="0"/>
        <v>0</v>
      </c>
      <c r="R5">
        <f t="shared" ca="1" si="0"/>
        <v>0</v>
      </c>
      <c r="S5">
        <f t="shared" ca="1" si="0"/>
        <v>0</v>
      </c>
      <c r="T5">
        <f t="shared" ca="1" si="0"/>
        <v>0</v>
      </c>
      <c r="U5">
        <f t="shared" ca="1" si="0"/>
        <v>0</v>
      </c>
      <c r="V5">
        <f t="shared" ca="1" si="0"/>
        <v>0</v>
      </c>
    </row>
    <row r="6" spans="2:22" x14ac:dyDescent="0.3">
      <c r="B6" s="16"/>
      <c r="D6" s="15"/>
      <c r="E6">
        <f t="shared" ref="E6:T29" ca="1" si="1">COUNTIFS(INDIRECT($C$5),$D6,INDIRECT($F$2),E$4)</f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  <c r="L6">
        <f t="shared" ca="1" si="1"/>
        <v>0</v>
      </c>
      <c r="M6">
        <f t="shared" ca="1" si="1"/>
        <v>0</v>
      </c>
      <c r="N6">
        <f t="shared" ca="1" si="1"/>
        <v>0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0</v>
      </c>
      <c r="T6">
        <f t="shared" ca="1" si="1"/>
        <v>0</v>
      </c>
      <c r="U6">
        <f t="shared" ca="1" si="0"/>
        <v>0</v>
      </c>
      <c r="V6">
        <f t="shared" ca="1" si="0"/>
        <v>0</v>
      </c>
    </row>
    <row r="7" spans="2:22" x14ac:dyDescent="0.3">
      <c r="B7" s="16"/>
      <c r="D7" s="15"/>
      <c r="E7">
        <f t="shared" ca="1" si="1"/>
        <v>0</v>
      </c>
      <c r="F7">
        <f t="shared" ca="1" si="0"/>
        <v>0</v>
      </c>
      <c r="G7">
        <f t="shared" ca="1" si="0"/>
        <v>0</v>
      </c>
      <c r="H7">
        <f t="shared" ca="1" si="0"/>
        <v>0</v>
      </c>
      <c r="I7">
        <f t="shared" ca="1" si="0"/>
        <v>0</v>
      </c>
      <c r="J7">
        <f t="shared" ca="1" si="0"/>
        <v>0</v>
      </c>
      <c r="K7">
        <f t="shared" ca="1" si="0"/>
        <v>0</v>
      </c>
      <c r="L7">
        <f t="shared" ca="1" si="0"/>
        <v>0</v>
      </c>
      <c r="M7">
        <f t="shared" ca="1" si="0"/>
        <v>0</v>
      </c>
      <c r="N7">
        <f t="shared" ca="1" si="0"/>
        <v>0</v>
      </c>
      <c r="O7">
        <f t="shared" ca="1" si="0"/>
        <v>0</v>
      </c>
      <c r="P7">
        <f t="shared" ca="1" si="0"/>
        <v>0</v>
      </c>
      <c r="Q7">
        <f t="shared" ca="1" si="0"/>
        <v>0</v>
      </c>
      <c r="R7">
        <f t="shared" ca="1" si="0"/>
        <v>0</v>
      </c>
      <c r="S7">
        <f t="shared" ca="1" si="0"/>
        <v>0</v>
      </c>
      <c r="T7">
        <f t="shared" ca="1" si="0"/>
        <v>0</v>
      </c>
      <c r="U7">
        <f t="shared" ca="1" si="0"/>
        <v>0</v>
      </c>
      <c r="V7">
        <f t="shared" ca="1" si="0"/>
        <v>0</v>
      </c>
    </row>
    <row r="8" spans="2:22" x14ac:dyDescent="0.3">
      <c r="B8" s="16"/>
      <c r="D8" s="15"/>
      <c r="E8">
        <f t="shared" ca="1" si="1"/>
        <v>0</v>
      </c>
      <c r="F8">
        <f t="shared" ca="1" si="0"/>
        <v>0</v>
      </c>
      <c r="G8">
        <f t="shared" ca="1" si="0"/>
        <v>0</v>
      </c>
      <c r="H8">
        <f t="shared" ca="1" si="0"/>
        <v>0</v>
      </c>
      <c r="I8">
        <f t="shared" ca="1" si="0"/>
        <v>0</v>
      </c>
      <c r="J8">
        <f t="shared" ca="1" si="0"/>
        <v>0</v>
      </c>
      <c r="K8">
        <f t="shared" ca="1" si="0"/>
        <v>0</v>
      </c>
      <c r="L8">
        <f t="shared" ca="1" si="0"/>
        <v>0</v>
      </c>
      <c r="M8">
        <f t="shared" ca="1" si="0"/>
        <v>0</v>
      </c>
      <c r="N8">
        <f t="shared" ca="1" si="0"/>
        <v>0</v>
      </c>
      <c r="O8">
        <f t="shared" ca="1" si="0"/>
        <v>0</v>
      </c>
      <c r="P8">
        <f t="shared" ca="1" si="0"/>
        <v>0</v>
      </c>
      <c r="Q8">
        <f t="shared" ca="1" si="0"/>
        <v>0</v>
      </c>
      <c r="R8">
        <f t="shared" ca="1" si="0"/>
        <v>0</v>
      </c>
      <c r="S8">
        <f t="shared" ca="1" si="0"/>
        <v>0</v>
      </c>
      <c r="T8">
        <f t="shared" ca="1" si="0"/>
        <v>0</v>
      </c>
      <c r="U8">
        <f t="shared" ca="1" si="0"/>
        <v>0</v>
      </c>
      <c r="V8">
        <f t="shared" ca="1" si="0"/>
        <v>0</v>
      </c>
    </row>
    <row r="9" spans="2:22" x14ac:dyDescent="0.3">
      <c r="D9" s="15"/>
      <c r="E9">
        <f t="shared" ca="1" si="1"/>
        <v>0</v>
      </c>
      <c r="F9">
        <f t="shared" ca="1" si="0"/>
        <v>0</v>
      </c>
      <c r="G9">
        <f t="shared" ca="1" si="0"/>
        <v>0</v>
      </c>
      <c r="H9">
        <f t="shared" ca="1" si="0"/>
        <v>0</v>
      </c>
      <c r="I9">
        <f t="shared" ca="1" si="0"/>
        <v>0</v>
      </c>
      <c r="J9">
        <f t="shared" ca="1" si="0"/>
        <v>0</v>
      </c>
      <c r="K9">
        <f t="shared" ca="1" si="0"/>
        <v>0</v>
      </c>
      <c r="L9">
        <f t="shared" ca="1" si="0"/>
        <v>0</v>
      </c>
      <c r="M9">
        <f t="shared" ca="1" si="0"/>
        <v>0</v>
      </c>
      <c r="N9">
        <f t="shared" ca="1" si="0"/>
        <v>0</v>
      </c>
      <c r="O9">
        <f t="shared" ca="1" si="0"/>
        <v>0</v>
      </c>
      <c r="P9">
        <f t="shared" ca="1" si="0"/>
        <v>0</v>
      </c>
      <c r="Q9">
        <f t="shared" ca="1" si="0"/>
        <v>0</v>
      </c>
      <c r="R9">
        <f t="shared" ca="1" si="0"/>
        <v>0</v>
      </c>
      <c r="S9">
        <f t="shared" ca="1" si="0"/>
        <v>0</v>
      </c>
      <c r="T9">
        <f t="shared" ca="1" si="0"/>
        <v>0</v>
      </c>
      <c r="U9">
        <f t="shared" ca="1" si="0"/>
        <v>0</v>
      </c>
      <c r="V9">
        <f t="shared" ca="1" si="0"/>
        <v>0</v>
      </c>
    </row>
    <row r="10" spans="2:22" x14ac:dyDescent="0.3">
      <c r="C10" s="13" t="str">
        <f>D2 &amp; "!" &amp; D2 &amp; "_" &amp; "DATA_HEADER"</f>
        <v>TEST_ORGANISATION!TEST_ORGANISATION_DATA_HEADER</v>
      </c>
      <c r="D10" s="15"/>
      <c r="E10">
        <f t="shared" ca="1" si="1"/>
        <v>0</v>
      </c>
      <c r="F10">
        <f t="shared" ca="1" si="0"/>
        <v>0</v>
      </c>
      <c r="G10">
        <f t="shared" ca="1" si="0"/>
        <v>0</v>
      </c>
      <c r="H10">
        <f t="shared" ca="1" si="0"/>
        <v>0</v>
      </c>
      <c r="I10">
        <f t="shared" ca="1" si="0"/>
        <v>0</v>
      </c>
      <c r="J10">
        <f t="shared" ca="1" si="0"/>
        <v>0</v>
      </c>
      <c r="K10">
        <f t="shared" ca="1" si="0"/>
        <v>0</v>
      </c>
      <c r="L10">
        <f t="shared" ca="1" si="0"/>
        <v>0</v>
      </c>
      <c r="M10">
        <f t="shared" ca="1" si="0"/>
        <v>0</v>
      </c>
      <c r="N10">
        <f t="shared" ca="1" si="0"/>
        <v>0</v>
      </c>
      <c r="O10">
        <f t="shared" ca="1" si="0"/>
        <v>0</v>
      </c>
      <c r="P10">
        <f t="shared" ca="1" si="0"/>
        <v>0</v>
      </c>
      <c r="Q10">
        <f t="shared" ca="1" si="0"/>
        <v>0</v>
      </c>
      <c r="R10">
        <f t="shared" ca="1" si="0"/>
        <v>0</v>
      </c>
      <c r="S10">
        <f t="shared" ca="1" si="0"/>
        <v>0</v>
      </c>
      <c r="T10">
        <f t="shared" ca="1" si="0"/>
        <v>0</v>
      </c>
      <c r="U10">
        <f t="shared" ca="1" si="0"/>
        <v>0</v>
      </c>
      <c r="V10">
        <f t="shared" ca="1" si="0"/>
        <v>0</v>
      </c>
    </row>
    <row r="11" spans="2:22" x14ac:dyDescent="0.3">
      <c r="D11" s="15"/>
      <c r="E11">
        <f t="shared" ca="1" si="1"/>
        <v>0</v>
      </c>
      <c r="F11">
        <f t="shared" ca="1" si="0"/>
        <v>0</v>
      </c>
      <c r="G11">
        <f t="shared" ca="1" si="0"/>
        <v>0</v>
      </c>
      <c r="H11">
        <f t="shared" ca="1" si="0"/>
        <v>0</v>
      </c>
      <c r="I11">
        <f t="shared" ca="1" si="0"/>
        <v>0</v>
      </c>
      <c r="J11">
        <f t="shared" ca="1" si="0"/>
        <v>0</v>
      </c>
      <c r="K11">
        <f t="shared" ca="1" si="0"/>
        <v>0</v>
      </c>
      <c r="L11">
        <f t="shared" ca="1" si="0"/>
        <v>0</v>
      </c>
      <c r="M11">
        <f t="shared" ca="1" si="0"/>
        <v>0</v>
      </c>
      <c r="N11">
        <f t="shared" ca="1" si="0"/>
        <v>0</v>
      </c>
      <c r="O11">
        <f t="shared" ca="1" si="0"/>
        <v>0</v>
      </c>
      <c r="P11">
        <f t="shared" ca="1" si="0"/>
        <v>0</v>
      </c>
      <c r="Q11">
        <f t="shared" ca="1" si="0"/>
        <v>0</v>
      </c>
      <c r="R11">
        <f t="shared" ca="1" si="0"/>
        <v>0</v>
      </c>
      <c r="S11">
        <f t="shared" ca="1" si="0"/>
        <v>0</v>
      </c>
      <c r="T11">
        <f t="shared" ca="1" si="0"/>
        <v>0</v>
      </c>
      <c r="U11">
        <f t="shared" ca="1" si="0"/>
        <v>0</v>
      </c>
      <c r="V11">
        <f t="shared" ca="1" si="0"/>
        <v>0</v>
      </c>
    </row>
    <row r="12" spans="2:22" x14ac:dyDescent="0.3">
      <c r="D12" s="15"/>
      <c r="E12">
        <f t="shared" ca="1" si="1"/>
        <v>0</v>
      </c>
      <c r="F12">
        <f t="shared" ca="1" si="0"/>
        <v>0</v>
      </c>
      <c r="G12">
        <f t="shared" ca="1" si="0"/>
        <v>0</v>
      </c>
      <c r="H12">
        <f t="shared" ca="1" si="0"/>
        <v>0</v>
      </c>
      <c r="I12">
        <f t="shared" ca="1" si="0"/>
        <v>0</v>
      </c>
      <c r="J12">
        <f t="shared" ca="1" si="0"/>
        <v>0</v>
      </c>
      <c r="K12">
        <f t="shared" ca="1" si="0"/>
        <v>0</v>
      </c>
      <c r="L12">
        <f t="shared" ca="1" si="0"/>
        <v>0</v>
      </c>
      <c r="M12">
        <f t="shared" ca="1" si="0"/>
        <v>0</v>
      </c>
      <c r="N12">
        <f t="shared" ca="1" si="0"/>
        <v>0</v>
      </c>
      <c r="O12">
        <f t="shared" ca="1" si="0"/>
        <v>0</v>
      </c>
      <c r="P12">
        <f t="shared" ca="1" si="0"/>
        <v>0</v>
      </c>
      <c r="Q12">
        <f t="shared" ca="1" si="0"/>
        <v>0</v>
      </c>
      <c r="R12">
        <f t="shared" ca="1" si="0"/>
        <v>0</v>
      </c>
      <c r="S12">
        <f t="shared" ca="1" si="0"/>
        <v>0</v>
      </c>
      <c r="T12">
        <f t="shared" ca="1" si="0"/>
        <v>0</v>
      </c>
      <c r="U12">
        <f t="shared" ca="1" si="0"/>
        <v>0</v>
      </c>
      <c r="V12">
        <f t="shared" ca="1" si="0"/>
        <v>0</v>
      </c>
    </row>
    <row r="13" spans="2:22" x14ac:dyDescent="0.3">
      <c r="D13" s="15"/>
      <c r="E13">
        <f t="shared" ca="1" si="1"/>
        <v>0</v>
      </c>
      <c r="F13">
        <f t="shared" ca="1" si="0"/>
        <v>0</v>
      </c>
      <c r="G13">
        <f t="shared" ca="1" si="0"/>
        <v>0</v>
      </c>
      <c r="H13">
        <f t="shared" ca="1" si="0"/>
        <v>0</v>
      </c>
      <c r="I13">
        <f t="shared" ca="1" si="0"/>
        <v>0</v>
      </c>
      <c r="J13">
        <f t="shared" ca="1" si="0"/>
        <v>0</v>
      </c>
      <c r="K13">
        <f t="shared" ca="1" si="0"/>
        <v>0</v>
      </c>
      <c r="L13">
        <f t="shared" ca="1" si="0"/>
        <v>0</v>
      </c>
      <c r="M13">
        <f t="shared" ca="1" si="0"/>
        <v>0</v>
      </c>
      <c r="N13">
        <f t="shared" ca="1" si="0"/>
        <v>0</v>
      </c>
      <c r="O13">
        <f t="shared" ca="1" si="0"/>
        <v>0</v>
      </c>
      <c r="P13">
        <f t="shared" ca="1" si="0"/>
        <v>0</v>
      </c>
      <c r="Q13">
        <f t="shared" ca="1" si="0"/>
        <v>0</v>
      </c>
      <c r="R13">
        <f t="shared" ca="1" si="0"/>
        <v>0</v>
      </c>
      <c r="S13">
        <f t="shared" ca="1" si="0"/>
        <v>0</v>
      </c>
      <c r="T13">
        <f t="shared" ca="1" si="0"/>
        <v>0</v>
      </c>
      <c r="U13">
        <f t="shared" ca="1" si="0"/>
        <v>0</v>
      </c>
      <c r="V13">
        <f t="shared" ca="1" si="0"/>
        <v>0</v>
      </c>
    </row>
    <row r="14" spans="2:22" x14ac:dyDescent="0.3">
      <c r="D14" s="15"/>
      <c r="E14">
        <f t="shared" ca="1" si="1"/>
        <v>0</v>
      </c>
      <c r="F14">
        <f t="shared" ca="1" si="0"/>
        <v>0</v>
      </c>
      <c r="G14">
        <f t="shared" ca="1" si="0"/>
        <v>0</v>
      </c>
      <c r="H14">
        <f t="shared" ca="1" si="0"/>
        <v>0</v>
      </c>
      <c r="I14">
        <f t="shared" ca="1" si="0"/>
        <v>0</v>
      </c>
      <c r="J14">
        <f t="shared" ca="1" si="0"/>
        <v>0</v>
      </c>
      <c r="K14">
        <f t="shared" ca="1" si="0"/>
        <v>0</v>
      </c>
      <c r="L14">
        <f t="shared" ca="1" si="0"/>
        <v>0</v>
      </c>
      <c r="M14">
        <f t="shared" ca="1" si="0"/>
        <v>0</v>
      </c>
      <c r="N14">
        <f t="shared" ca="1" si="0"/>
        <v>0</v>
      </c>
      <c r="O14">
        <f t="shared" ca="1" si="0"/>
        <v>0</v>
      </c>
      <c r="P14">
        <f t="shared" ca="1" si="0"/>
        <v>0</v>
      </c>
      <c r="Q14">
        <f t="shared" ca="1" si="0"/>
        <v>0</v>
      </c>
      <c r="R14">
        <f t="shared" ca="1" si="0"/>
        <v>0</v>
      </c>
      <c r="S14">
        <f t="shared" ca="1" si="0"/>
        <v>0</v>
      </c>
      <c r="T14">
        <f t="shared" ca="1" si="0"/>
        <v>0</v>
      </c>
      <c r="U14">
        <f t="shared" ca="1" si="0"/>
        <v>0</v>
      </c>
      <c r="V14">
        <f t="shared" ca="1" si="0"/>
        <v>0</v>
      </c>
    </row>
    <row r="15" spans="2:22" x14ac:dyDescent="0.3">
      <c r="D15" s="15"/>
      <c r="E15">
        <f t="shared" ca="1" si="1"/>
        <v>0</v>
      </c>
      <c r="F15">
        <f t="shared" ca="1" si="0"/>
        <v>0</v>
      </c>
      <c r="G15">
        <f t="shared" ca="1" si="0"/>
        <v>0</v>
      </c>
      <c r="H15">
        <f t="shared" ca="1" si="0"/>
        <v>0</v>
      </c>
      <c r="I15">
        <f t="shared" ca="1" si="0"/>
        <v>0</v>
      </c>
      <c r="J15">
        <f t="shared" ca="1" si="0"/>
        <v>0</v>
      </c>
      <c r="K15">
        <f t="shared" ca="1" si="0"/>
        <v>0</v>
      </c>
      <c r="L15">
        <f t="shared" ca="1" si="0"/>
        <v>0</v>
      </c>
      <c r="M15">
        <f t="shared" ca="1" si="0"/>
        <v>0</v>
      </c>
      <c r="N15">
        <f t="shared" ca="1" si="0"/>
        <v>0</v>
      </c>
      <c r="O15">
        <f t="shared" ca="1" si="0"/>
        <v>0</v>
      </c>
      <c r="P15">
        <f t="shared" ca="1" si="0"/>
        <v>0</v>
      </c>
      <c r="Q15">
        <f t="shared" ca="1" si="0"/>
        <v>0</v>
      </c>
      <c r="R15">
        <f t="shared" ca="1" si="0"/>
        <v>0</v>
      </c>
      <c r="S15">
        <f t="shared" ca="1" si="0"/>
        <v>0</v>
      </c>
      <c r="T15">
        <f t="shared" ca="1" si="0"/>
        <v>0</v>
      </c>
      <c r="U15">
        <f t="shared" ca="1" si="0"/>
        <v>0</v>
      </c>
      <c r="V15">
        <f t="shared" ca="1" si="0"/>
        <v>0</v>
      </c>
    </row>
    <row r="16" spans="2:22" x14ac:dyDescent="0.3">
      <c r="D16" s="15"/>
      <c r="E16">
        <f t="shared" ca="1" si="1"/>
        <v>0</v>
      </c>
      <c r="F16">
        <f t="shared" ca="1" si="0"/>
        <v>0</v>
      </c>
      <c r="G16">
        <f t="shared" ca="1" si="0"/>
        <v>0</v>
      </c>
      <c r="H16">
        <f t="shared" ca="1" si="0"/>
        <v>0</v>
      </c>
      <c r="I16">
        <f t="shared" ca="1" si="0"/>
        <v>0</v>
      </c>
      <c r="J16">
        <f t="shared" ca="1" si="0"/>
        <v>0</v>
      </c>
      <c r="K16">
        <f t="shared" ca="1" si="0"/>
        <v>0</v>
      </c>
      <c r="L16">
        <f t="shared" ca="1" si="0"/>
        <v>0</v>
      </c>
      <c r="M16">
        <f t="shared" ca="1" si="0"/>
        <v>0</v>
      </c>
      <c r="N16">
        <f t="shared" ca="1" si="0"/>
        <v>0</v>
      </c>
      <c r="O16">
        <f t="shared" ca="1" si="0"/>
        <v>0</v>
      </c>
      <c r="P16">
        <f t="shared" ca="1" si="0"/>
        <v>0</v>
      </c>
      <c r="Q16">
        <f t="shared" ca="1" si="0"/>
        <v>0</v>
      </c>
      <c r="R16">
        <f t="shared" ca="1" si="0"/>
        <v>0</v>
      </c>
      <c r="S16">
        <f t="shared" ca="1" si="0"/>
        <v>0</v>
      </c>
      <c r="T16">
        <f t="shared" ca="1" si="0"/>
        <v>0</v>
      </c>
      <c r="U16">
        <f t="shared" ca="1" si="0"/>
        <v>0</v>
      </c>
      <c r="V16">
        <f t="shared" ca="1" si="0"/>
        <v>0</v>
      </c>
    </row>
    <row r="17" spans="4:22" x14ac:dyDescent="0.3">
      <c r="D17" s="15"/>
      <c r="E17">
        <f t="shared" ca="1" si="1"/>
        <v>0</v>
      </c>
      <c r="F17">
        <f t="shared" ca="1" si="0"/>
        <v>0</v>
      </c>
      <c r="G17">
        <f t="shared" ca="1" si="0"/>
        <v>0</v>
      </c>
      <c r="H17">
        <f t="shared" ca="1" si="0"/>
        <v>0</v>
      </c>
      <c r="I17">
        <f t="shared" ca="1" si="0"/>
        <v>0</v>
      </c>
      <c r="J17">
        <f t="shared" ca="1" si="0"/>
        <v>0</v>
      </c>
      <c r="K17">
        <f t="shared" ca="1" si="0"/>
        <v>0</v>
      </c>
      <c r="L17">
        <f t="shared" ca="1" si="0"/>
        <v>0</v>
      </c>
      <c r="M17">
        <f t="shared" ca="1" si="0"/>
        <v>0</v>
      </c>
      <c r="N17">
        <f t="shared" ca="1" si="0"/>
        <v>0</v>
      </c>
      <c r="O17">
        <f t="shared" ca="1" si="0"/>
        <v>0</v>
      </c>
      <c r="P17">
        <f t="shared" ca="1" si="0"/>
        <v>0</v>
      </c>
      <c r="Q17">
        <f t="shared" ca="1" si="0"/>
        <v>0</v>
      </c>
      <c r="R17">
        <f t="shared" ca="1" si="0"/>
        <v>0</v>
      </c>
      <c r="S17">
        <f t="shared" ca="1" si="0"/>
        <v>0</v>
      </c>
      <c r="T17">
        <f t="shared" ca="1" si="0"/>
        <v>0</v>
      </c>
      <c r="U17">
        <f t="shared" ca="1" si="0"/>
        <v>0</v>
      </c>
      <c r="V17">
        <f t="shared" ca="1" si="0"/>
        <v>0</v>
      </c>
    </row>
    <row r="18" spans="4:22" x14ac:dyDescent="0.3">
      <c r="D18" s="15"/>
      <c r="E18">
        <f t="shared" ca="1" si="1"/>
        <v>0</v>
      </c>
      <c r="F18">
        <f t="shared" ca="1" si="0"/>
        <v>0</v>
      </c>
      <c r="G18">
        <f t="shared" ca="1" si="0"/>
        <v>0</v>
      </c>
      <c r="H18">
        <f t="shared" ca="1" si="0"/>
        <v>0</v>
      </c>
      <c r="I18">
        <f t="shared" ca="1" si="0"/>
        <v>0</v>
      </c>
      <c r="J18">
        <f t="shared" ca="1" si="0"/>
        <v>0</v>
      </c>
      <c r="K18">
        <f t="shared" ca="1" si="0"/>
        <v>0</v>
      </c>
      <c r="L18">
        <f t="shared" ca="1" si="0"/>
        <v>0</v>
      </c>
      <c r="M18">
        <f t="shared" ca="1" si="0"/>
        <v>0</v>
      </c>
      <c r="N18">
        <f t="shared" ca="1" si="0"/>
        <v>0</v>
      </c>
      <c r="O18">
        <f t="shared" ca="1" si="0"/>
        <v>0</v>
      </c>
      <c r="P18">
        <f t="shared" ca="1" si="0"/>
        <v>0</v>
      </c>
      <c r="Q18">
        <f t="shared" ca="1" si="0"/>
        <v>0</v>
      </c>
      <c r="R18">
        <f t="shared" ca="1" si="0"/>
        <v>0</v>
      </c>
      <c r="S18">
        <f t="shared" ca="1" si="0"/>
        <v>0</v>
      </c>
      <c r="T18">
        <f t="shared" ca="1" si="0"/>
        <v>0</v>
      </c>
      <c r="U18">
        <f t="shared" ca="1" si="0"/>
        <v>0</v>
      </c>
      <c r="V18">
        <f t="shared" ca="1" si="0"/>
        <v>0</v>
      </c>
    </row>
    <row r="19" spans="4:22" x14ac:dyDescent="0.3">
      <c r="D19" s="15"/>
      <c r="E19">
        <f t="shared" ca="1" si="1"/>
        <v>0</v>
      </c>
      <c r="F19">
        <f t="shared" ca="1" si="0"/>
        <v>0</v>
      </c>
      <c r="G19">
        <f t="shared" ca="1" si="0"/>
        <v>0</v>
      </c>
      <c r="H19">
        <f t="shared" ca="1" si="0"/>
        <v>0</v>
      </c>
      <c r="I19">
        <f t="shared" ca="1" si="0"/>
        <v>0</v>
      </c>
      <c r="J19">
        <f t="shared" ca="1" si="0"/>
        <v>0</v>
      </c>
      <c r="K19">
        <f t="shared" ca="1" si="0"/>
        <v>0</v>
      </c>
      <c r="L19">
        <f t="shared" ca="1" si="0"/>
        <v>0</v>
      </c>
      <c r="M19">
        <f t="shared" ca="1" si="0"/>
        <v>0</v>
      </c>
      <c r="N19">
        <f t="shared" ca="1" si="0"/>
        <v>0</v>
      </c>
      <c r="O19">
        <f t="shared" ca="1" si="0"/>
        <v>0</v>
      </c>
      <c r="P19">
        <f t="shared" ca="1" si="0"/>
        <v>0</v>
      </c>
      <c r="Q19">
        <f t="shared" ca="1" si="0"/>
        <v>0</v>
      </c>
      <c r="R19">
        <f t="shared" ca="1" si="0"/>
        <v>0</v>
      </c>
      <c r="S19">
        <f t="shared" ca="1" si="0"/>
        <v>0</v>
      </c>
      <c r="T19">
        <f t="shared" ca="1" si="0"/>
        <v>0</v>
      </c>
      <c r="U19">
        <f t="shared" ca="1" si="0"/>
        <v>0</v>
      </c>
      <c r="V19">
        <f t="shared" ca="1" si="0"/>
        <v>0</v>
      </c>
    </row>
    <row r="20" spans="4:22" x14ac:dyDescent="0.3">
      <c r="D20" s="15"/>
      <c r="E20">
        <f t="shared" ca="1" si="1"/>
        <v>0</v>
      </c>
      <c r="F20">
        <f t="shared" ca="1" si="0"/>
        <v>0</v>
      </c>
      <c r="G20">
        <f t="shared" ca="1" si="0"/>
        <v>0</v>
      </c>
      <c r="H20">
        <f t="shared" ca="1" si="0"/>
        <v>0</v>
      </c>
      <c r="I20">
        <f t="shared" ca="1" si="0"/>
        <v>0</v>
      </c>
      <c r="J20">
        <f t="shared" ca="1" si="0"/>
        <v>0</v>
      </c>
      <c r="K20">
        <f t="shared" ca="1" si="0"/>
        <v>0</v>
      </c>
      <c r="L20">
        <f t="shared" ca="1" si="0"/>
        <v>0</v>
      </c>
      <c r="M20">
        <f t="shared" ca="1" si="0"/>
        <v>0</v>
      </c>
      <c r="N20">
        <f t="shared" ca="1" si="0"/>
        <v>0</v>
      </c>
      <c r="O20">
        <f t="shared" ca="1" si="0"/>
        <v>0</v>
      </c>
      <c r="P20">
        <f t="shared" ca="1" si="0"/>
        <v>0</v>
      </c>
      <c r="Q20">
        <f t="shared" ca="1" si="0"/>
        <v>0</v>
      </c>
      <c r="R20">
        <f t="shared" ca="1" si="0"/>
        <v>0</v>
      </c>
      <c r="S20">
        <f t="shared" ca="1" si="0"/>
        <v>0</v>
      </c>
      <c r="T20">
        <f t="shared" ca="1" si="0"/>
        <v>0</v>
      </c>
      <c r="U20">
        <f t="shared" ref="F20:V29" ca="1" si="2">COUNTIFS(INDIRECT($C$5),$D20,INDIRECT($F$2),U$4)</f>
        <v>0</v>
      </c>
      <c r="V20">
        <f t="shared" ca="1" si="2"/>
        <v>0</v>
      </c>
    </row>
    <row r="21" spans="4:22" x14ac:dyDescent="0.3">
      <c r="D21" s="4"/>
      <c r="E21">
        <f t="shared" ca="1" si="1"/>
        <v>0</v>
      </c>
      <c r="F21">
        <f t="shared" ca="1" si="2"/>
        <v>0</v>
      </c>
      <c r="G21">
        <f t="shared" ca="1" si="2"/>
        <v>0</v>
      </c>
      <c r="H21">
        <f t="shared" ca="1" si="2"/>
        <v>0</v>
      </c>
      <c r="I21">
        <f t="shared" ca="1" si="2"/>
        <v>0</v>
      </c>
      <c r="J21">
        <f t="shared" ca="1" si="2"/>
        <v>0</v>
      </c>
      <c r="K21">
        <f t="shared" ca="1" si="2"/>
        <v>0</v>
      </c>
      <c r="L21">
        <f t="shared" ca="1" si="2"/>
        <v>0</v>
      </c>
      <c r="M21">
        <f t="shared" ca="1" si="2"/>
        <v>0</v>
      </c>
      <c r="N21">
        <f t="shared" ca="1" si="2"/>
        <v>0</v>
      </c>
      <c r="O21">
        <f t="shared" ca="1" si="2"/>
        <v>0</v>
      </c>
      <c r="P21">
        <f t="shared" ca="1" si="2"/>
        <v>0</v>
      </c>
      <c r="Q21">
        <f t="shared" ca="1" si="2"/>
        <v>0</v>
      </c>
      <c r="R21">
        <f t="shared" ca="1" si="2"/>
        <v>0</v>
      </c>
      <c r="S21">
        <f t="shared" ca="1" si="2"/>
        <v>0</v>
      </c>
      <c r="T21">
        <f t="shared" ca="1" si="2"/>
        <v>0</v>
      </c>
      <c r="U21">
        <f t="shared" ca="1" si="2"/>
        <v>0</v>
      </c>
      <c r="V21">
        <f t="shared" ca="1" si="2"/>
        <v>0</v>
      </c>
    </row>
    <row r="22" spans="4:22" x14ac:dyDescent="0.3">
      <c r="D22" s="4"/>
      <c r="E22">
        <f t="shared" ca="1" si="1"/>
        <v>0</v>
      </c>
      <c r="F22">
        <f t="shared" ca="1" si="2"/>
        <v>0</v>
      </c>
      <c r="G22">
        <f t="shared" ca="1" si="2"/>
        <v>0</v>
      </c>
      <c r="H22">
        <f t="shared" ca="1" si="2"/>
        <v>0</v>
      </c>
      <c r="I22">
        <f t="shared" ca="1" si="2"/>
        <v>0</v>
      </c>
      <c r="J22">
        <f t="shared" ca="1" si="2"/>
        <v>0</v>
      </c>
      <c r="K22">
        <f t="shared" ca="1" si="2"/>
        <v>0</v>
      </c>
      <c r="L22">
        <f t="shared" ca="1" si="2"/>
        <v>0</v>
      </c>
      <c r="M22">
        <f t="shared" ca="1" si="2"/>
        <v>0</v>
      </c>
      <c r="N22">
        <f t="shared" ca="1" si="2"/>
        <v>0</v>
      </c>
      <c r="O22">
        <f t="shared" ca="1" si="2"/>
        <v>0</v>
      </c>
      <c r="P22">
        <f t="shared" ca="1" si="2"/>
        <v>0</v>
      </c>
      <c r="Q22">
        <f t="shared" ca="1" si="2"/>
        <v>0</v>
      </c>
      <c r="R22">
        <f t="shared" ca="1" si="2"/>
        <v>0</v>
      </c>
      <c r="S22">
        <f t="shared" ca="1" si="2"/>
        <v>0</v>
      </c>
      <c r="T22">
        <f t="shared" ca="1" si="2"/>
        <v>0</v>
      </c>
      <c r="U22">
        <f t="shared" ca="1" si="2"/>
        <v>0</v>
      </c>
      <c r="V22">
        <f t="shared" ca="1" si="2"/>
        <v>0</v>
      </c>
    </row>
    <row r="23" spans="4:22" x14ac:dyDescent="0.3">
      <c r="D23" s="4"/>
      <c r="E23">
        <f t="shared" ca="1" si="1"/>
        <v>0</v>
      </c>
      <c r="F23">
        <f t="shared" ca="1" si="2"/>
        <v>0</v>
      </c>
      <c r="G23">
        <f t="shared" ca="1" si="2"/>
        <v>0</v>
      </c>
      <c r="H23">
        <f t="shared" ca="1" si="2"/>
        <v>0</v>
      </c>
      <c r="I23">
        <f t="shared" ca="1" si="2"/>
        <v>0</v>
      </c>
      <c r="J23">
        <f t="shared" ca="1" si="2"/>
        <v>0</v>
      </c>
      <c r="K23">
        <f t="shared" ca="1" si="2"/>
        <v>0</v>
      </c>
      <c r="L23">
        <f t="shared" ca="1" si="2"/>
        <v>0</v>
      </c>
      <c r="M23">
        <f t="shared" ca="1" si="2"/>
        <v>0</v>
      </c>
      <c r="N23">
        <f t="shared" ca="1" si="2"/>
        <v>0</v>
      </c>
      <c r="O23">
        <f t="shared" ca="1" si="2"/>
        <v>0</v>
      </c>
      <c r="P23">
        <f t="shared" ca="1" si="2"/>
        <v>0</v>
      </c>
      <c r="Q23">
        <f t="shared" ca="1" si="2"/>
        <v>0</v>
      </c>
      <c r="R23">
        <f t="shared" ca="1" si="2"/>
        <v>0</v>
      </c>
      <c r="S23">
        <f t="shared" ca="1" si="2"/>
        <v>0</v>
      </c>
      <c r="T23">
        <f t="shared" ca="1" si="2"/>
        <v>0</v>
      </c>
      <c r="U23">
        <f t="shared" ca="1" si="2"/>
        <v>0</v>
      </c>
      <c r="V23">
        <f t="shared" ca="1" si="2"/>
        <v>0</v>
      </c>
    </row>
    <row r="24" spans="4:22" x14ac:dyDescent="0.3">
      <c r="D24" s="4"/>
      <c r="E24">
        <f t="shared" ca="1" si="1"/>
        <v>0</v>
      </c>
      <c r="F24">
        <f t="shared" ca="1" si="2"/>
        <v>0</v>
      </c>
      <c r="G24">
        <f t="shared" ca="1" si="2"/>
        <v>0</v>
      </c>
      <c r="H24">
        <f t="shared" ca="1" si="2"/>
        <v>0</v>
      </c>
      <c r="I24">
        <f t="shared" ca="1" si="2"/>
        <v>0</v>
      </c>
      <c r="J24">
        <f t="shared" ca="1" si="2"/>
        <v>0</v>
      </c>
      <c r="K24">
        <f t="shared" ca="1" si="2"/>
        <v>0</v>
      </c>
      <c r="L24">
        <f t="shared" ca="1" si="2"/>
        <v>0</v>
      </c>
      <c r="M24">
        <f t="shared" ca="1" si="2"/>
        <v>0</v>
      </c>
      <c r="N24">
        <f t="shared" ca="1" si="2"/>
        <v>0</v>
      </c>
      <c r="O24">
        <f t="shared" ca="1" si="2"/>
        <v>0</v>
      </c>
      <c r="P24">
        <f t="shared" ca="1" si="2"/>
        <v>0</v>
      </c>
      <c r="Q24">
        <f t="shared" ca="1" si="2"/>
        <v>0</v>
      </c>
      <c r="R24">
        <f t="shared" ca="1" si="2"/>
        <v>0</v>
      </c>
      <c r="S24">
        <f t="shared" ca="1" si="2"/>
        <v>0</v>
      </c>
      <c r="T24">
        <f t="shared" ca="1" si="2"/>
        <v>0</v>
      </c>
      <c r="U24">
        <f t="shared" ca="1" si="2"/>
        <v>0</v>
      </c>
      <c r="V24">
        <f t="shared" ca="1" si="2"/>
        <v>0</v>
      </c>
    </row>
    <row r="25" spans="4:22" x14ac:dyDescent="0.3">
      <c r="D25" s="4"/>
      <c r="E25">
        <f t="shared" ca="1" si="1"/>
        <v>0</v>
      </c>
      <c r="F25">
        <f t="shared" ca="1" si="2"/>
        <v>0</v>
      </c>
      <c r="G25">
        <f t="shared" ca="1" si="2"/>
        <v>0</v>
      </c>
      <c r="H25">
        <f t="shared" ca="1" si="2"/>
        <v>0</v>
      </c>
      <c r="I25">
        <f t="shared" ca="1" si="2"/>
        <v>0</v>
      </c>
      <c r="J25">
        <f t="shared" ca="1" si="2"/>
        <v>0</v>
      </c>
      <c r="K25">
        <f t="shared" ca="1" si="2"/>
        <v>0</v>
      </c>
      <c r="L25">
        <f t="shared" ca="1" si="2"/>
        <v>0</v>
      </c>
      <c r="M25">
        <f t="shared" ca="1" si="2"/>
        <v>0</v>
      </c>
      <c r="N25">
        <f t="shared" ca="1" si="2"/>
        <v>0</v>
      </c>
      <c r="O25">
        <f t="shared" ca="1" si="2"/>
        <v>0</v>
      </c>
      <c r="P25">
        <f t="shared" ca="1" si="2"/>
        <v>0</v>
      </c>
      <c r="Q25">
        <f t="shared" ca="1" si="2"/>
        <v>0</v>
      </c>
      <c r="R25">
        <f t="shared" ca="1" si="2"/>
        <v>0</v>
      </c>
      <c r="S25">
        <f t="shared" ca="1" si="2"/>
        <v>0</v>
      </c>
      <c r="T25">
        <f t="shared" ca="1" si="2"/>
        <v>0</v>
      </c>
      <c r="U25">
        <f t="shared" ca="1" si="2"/>
        <v>0</v>
      </c>
      <c r="V25">
        <f t="shared" ca="1" si="2"/>
        <v>0</v>
      </c>
    </row>
    <row r="26" spans="4:22" x14ac:dyDescent="0.3">
      <c r="D26" s="4"/>
      <c r="E26">
        <f t="shared" ca="1" si="1"/>
        <v>0</v>
      </c>
      <c r="F26">
        <f t="shared" ca="1" si="2"/>
        <v>0</v>
      </c>
      <c r="G26">
        <f t="shared" ca="1" si="2"/>
        <v>0</v>
      </c>
      <c r="H26">
        <f t="shared" ca="1" si="2"/>
        <v>0</v>
      </c>
      <c r="I26">
        <f t="shared" ca="1" si="2"/>
        <v>0</v>
      </c>
      <c r="J26">
        <f t="shared" ca="1" si="2"/>
        <v>0</v>
      </c>
      <c r="K26">
        <f t="shared" ca="1" si="2"/>
        <v>0</v>
      </c>
      <c r="L26">
        <f t="shared" ca="1" si="2"/>
        <v>0</v>
      </c>
      <c r="M26">
        <f t="shared" ca="1" si="2"/>
        <v>0</v>
      </c>
      <c r="N26">
        <f t="shared" ca="1" si="2"/>
        <v>0</v>
      </c>
      <c r="O26">
        <f t="shared" ca="1" si="2"/>
        <v>0</v>
      </c>
      <c r="P26">
        <f t="shared" ca="1" si="2"/>
        <v>0</v>
      </c>
      <c r="Q26">
        <f t="shared" ca="1" si="2"/>
        <v>0</v>
      </c>
      <c r="R26">
        <f t="shared" ca="1" si="2"/>
        <v>0</v>
      </c>
      <c r="S26">
        <f t="shared" ca="1" si="2"/>
        <v>0</v>
      </c>
      <c r="T26">
        <f t="shared" ca="1" si="2"/>
        <v>0</v>
      </c>
      <c r="U26">
        <f t="shared" ca="1" si="2"/>
        <v>0</v>
      </c>
      <c r="V26">
        <f t="shared" ca="1" si="2"/>
        <v>0</v>
      </c>
    </row>
    <row r="27" spans="4:22" x14ac:dyDescent="0.3">
      <c r="D27" s="4"/>
      <c r="E27">
        <f t="shared" ca="1" si="1"/>
        <v>0</v>
      </c>
      <c r="F27">
        <f t="shared" ca="1" si="2"/>
        <v>0</v>
      </c>
      <c r="G27">
        <f t="shared" ca="1" si="2"/>
        <v>0</v>
      </c>
      <c r="H27">
        <f t="shared" ca="1" si="2"/>
        <v>0</v>
      </c>
      <c r="I27">
        <f t="shared" ca="1" si="2"/>
        <v>0</v>
      </c>
      <c r="J27">
        <f t="shared" ca="1" si="2"/>
        <v>0</v>
      </c>
      <c r="K27">
        <f t="shared" ca="1" si="2"/>
        <v>0</v>
      </c>
      <c r="L27">
        <f t="shared" ca="1" si="2"/>
        <v>0</v>
      </c>
      <c r="M27">
        <f t="shared" ca="1" si="2"/>
        <v>0</v>
      </c>
      <c r="N27">
        <f t="shared" ca="1" si="2"/>
        <v>0</v>
      </c>
      <c r="O27">
        <f t="shared" ca="1" si="2"/>
        <v>0</v>
      </c>
      <c r="P27">
        <f t="shared" ca="1" si="2"/>
        <v>0</v>
      </c>
      <c r="Q27">
        <f t="shared" ca="1" si="2"/>
        <v>0</v>
      </c>
      <c r="R27">
        <f t="shared" ca="1" si="2"/>
        <v>0</v>
      </c>
      <c r="S27">
        <f t="shared" ca="1" si="2"/>
        <v>0</v>
      </c>
      <c r="T27">
        <f t="shared" ca="1" si="2"/>
        <v>0</v>
      </c>
      <c r="U27">
        <f t="shared" ca="1" si="2"/>
        <v>0</v>
      </c>
      <c r="V27">
        <f t="shared" ca="1" si="2"/>
        <v>0</v>
      </c>
    </row>
    <row r="28" spans="4:22" x14ac:dyDescent="0.3">
      <c r="D28" s="4"/>
      <c r="E28">
        <f t="shared" ca="1" si="1"/>
        <v>0</v>
      </c>
      <c r="F28">
        <f t="shared" ca="1" si="2"/>
        <v>0</v>
      </c>
      <c r="G28">
        <f t="shared" ca="1" si="2"/>
        <v>0</v>
      </c>
      <c r="H28">
        <f t="shared" ca="1" si="2"/>
        <v>0</v>
      </c>
      <c r="I28">
        <f t="shared" ca="1" si="2"/>
        <v>0</v>
      </c>
      <c r="J28">
        <f t="shared" ca="1" si="2"/>
        <v>0</v>
      </c>
      <c r="K28">
        <f t="shared" ca="1" si="2"/>
        <v>0</v>
      </c>
      <c r="L28">
        <f t="shared" ca="1" si="2"/>
        <v>0</v>
      </c>
      <c r="M28">
        <f t="shared" ca="1" si="2"/>
        <v>0</v>
      </c>
      <c r="N28">
        <f t="shared" ca="1" si="2"/>
        <v>0</v>
      </c>
      <c r="O28">
        <f t="shared" ca="1" si="2"/>
        <v>0</v>
      </c>
      <c r="P28">
        <f t="shared" ca="1" si="2"/>
        <v>0</v>
      </c>
      <c r="Q28">
        <f t="shared" ca="1" si="2"/>
        <v>0</v>
      </c>
      <c r="R28">
        <f t="shared" ca="1" si="2"/>
        <v>0</v>
      </c>
      <c r="S28">
        <f t="shared" ca="1" si="2"/>
        <v>0</v>
      </c>
      <c r="T28">
        <f t="shared" ca="1" si="2"/>
        <v>0</v>
      </c>
      <c r="U28">
        <f t="shared" ca="1" si="2"/>
        <v>0</v>
      </c>
      <c r="V28">
        <f t="shared" ca="1" si="2"/>
        <v>0</v>
      </c>
    </row>
    <row r="29" spans="4:22" x14ac:dyDescent="0.3">
      <c r="D29" s="4"/>
      <c r="E29">
        <f t="shared" ca="1" si="1"/>
        <v>0</v>
      </c>
      <c r="F29">
        <f t="shared" ca="1" si="2"/>
        <v>0</v>
      </c>
      <c r="G29">
        <f t="shared" ca="1" si="2"/>
        <v>0</v>
      </c>
      <c r="H29">
        <f t="shared" ca="1" si="2"/>
        <v>0</v>
      </c>
      <c r="I29">
        <f t="shared" ca="1" si="2"/>
        <v>0</v>
      </c>
      <c r="J29">
        <f t="shared" ca="1" si="2"/>
        <v>0</v>
      </c>
      <c r="K29">
        <f t="shared" ca="1" si="2"/>
        <v>0</v>
      </c>
      <c r="L29">
        <f t="shared" ca="1" si="2"/>
        <v>0</v>
      </c>
      <c r="M29">
        <f t="shared" ca="1" si="2"/>
        <v>0</v>
      </c>
      <c r="N29">
        <f t="shared" ca="1" si="2"/>
        <v>0</v>
      </c>
      <c r="O29">
        <f t="shared" ca="1" si="2"/>
        <v>0</v>
      </c>
      <c r="P29">
        <f t="shared" ca="1" si="2"/>
        <v>0</v>
      </c>
      <c r="Q29">
        <f t="shared" ca="1" si="2"/>
        <v>0</v>
      </c>
      <c r="R29">
        <f t="shared" ca="1" si="2"/>
        <v>0</v>
      </c>
      <c r="S29">
        <f t="shared" ca="1" si="2"/>
        <v>0</v>
      </c>
      <c r="T29">
        <f t="shared" ca="1" si="2"/>
        <v>0</v>
      </c>
      <c r="U29">
        <f t="shared" ca="1" si="2"/>
        <v>0</v>
      </c>
      <c r="V29">
        <f t="shared" ca="1" si="2"/>
        <v>0</v>
      </c>
    </row>
    <row r="30" spans="4:22" x14ac:dyDescent="0.3">
      <c r="F30">
        <f ca="1">SUM(F5:F29)</f>
        <v>0</v>
      </c>
      <c r="G30">
        <f ca="1">SUM(G5:G29)</f>
        <v>0</v>
      </c>
      <c r="I30">
        <f t="shared" ref="I30:U30" ca="1" si="3">SUM(I5:I29)</f>
        <v>0</v>
      </c>
      <c r="J30">
        <f t="shared" ca="1" si="3"/>
        <v>0</v>
      </c>
      <c r="K30">
        <f t="shared" ca="1" si="3"/>
        <v>0</v>
      </c>
      <c r="L30">
        <f t="shared" ca="1" si="3"/>
        <v>0</v>
      </c>
      <c r="M30">
        <f t="shared" ca="1" si="3"/>
        <v>0</v>
      </c>
      <c r="N30">
        <f t="shared" ca="1" si="3"/>
        <v>0</v>
      </c>
      <c r="O30">
        <f t="shared" ca="1" si="3"/>
        <v>0</v>
      </c>
      <c r="P30">
        <f t="shared" ca="1" si="3"/>
        <v>0</v>
      </c>
      <c r="Q30">
        <f t="shared" ca="1" si="3"/>
        <v>0</v>
      </c>
      <c r="R30">
        <f t="shared" ca="1" si="3"/>
        <v>0</v>
      </c>
      <c r="S30">
        <f t="shared" ca="1" si="3"/>
        <v>0</v>
      </c>
      <c r="T30">
        <f t="shared" ca="1" si="3"/>
        <v>0</v>
      </c>
      <c r="U30">
        <f t="shared" ca="1" si="3"/>
        <v>0</v>
      </c>
    </row>
    <row r="33" spans="4:7" x14ac:dyDescent="0.3">
      <c r="D33" t="s">
        <v>5</v>
      </c>
      <c r="E33" t="s">
        <v>0</v>
      </c>
    </row>
    <row r="34" spans="4:7" x14ac:dyDescent="0.3">
      <c r="D34" t="s">
        <v>4</v>
      </c>
      <c r="E34" t="s">
        <v>1</v>
      </c>
    </row>
    <row r="36" spans="4:7" x14ac:dyDescent="0.3">
      <c r="E36" s="6" t="e" cm="1">
        <f t="array" ref="E36">TRANSPOSE(_xlfn.UNIQUE([0]!JOIN_EMAIL_FLAG))</f>
        <v>#REF!</v>
      </c>
      <c r="F36" s="6"/>
      <c r="G36" s="6" t="s">
        <v>6</v>
      </c>
    </row>
    <row r="37" spans="4:7" x14ac:dyDescent="0.3">
      <c r="D37" s="4" t="e" cm="1">
        <f t="array" ref="D37">_xlfn.UNIQUE([0]!JOIN_SENIORITY)</f>
        <v>#REF!</v>
      </c>
      <c r="E37" t="e">
        <f>COUNTIFS([0]!JOIN_SENIORITY,$D37,[0]!JOIN_EMAIL_FLAG,E$36,[0]!JOIN_COMPANY_TYPE,$E$34,[0]!JOIN_SUB_DEPARTMENT,$E$33)</f>
        <v>#REF!</v>
      </c>
      <c r="F37" t="e">
        <f>COUNTIFS([0]!JOIN_SENIORITY,$D37,[0]!JOIN_EMAIL_FLAG,F$36,[0]!JOIN_COMPANY_TYPE,$E$34,[0]!JOIN_SUB_DEPARTMENT,$E$33)</f>
        <v>#REF!</v>
      </c>
      <c r="G37" s="7" t="e">
        <f t="shared" ref="G37:G43" si="4">F37/(E37+F37)</f>
        <v>#REF!</v>
      </c>
    </row>
    <row r="38" spans="4:7" x14ac:dyDescent="0.3">
      <c r="D38" s="4"/>
      <c r="E38" t="e">
        <f>COUNTIFS([0]!JOIN_SENIORITY,$D38,[0]!JOIN_EMAIL_FLAG,E$36,[0]!JOIN_COMPANY_TYPE,$E$34,[0]!JOIN_SUB_DEPARTMENT,$E$33)</f>
        <v>#REF!</v>
      </c>
      <c r="F38" t="e">
        <f>COUNTIFS([0]!JOIN_SENIORITY,$D38,[0]!JOIN_EMAIL_FLAG,F$36,[0]!JOIN_COMPANY_TYPE,$E$34,[0]!JOIN_SUB_DEPARTMENT,$E$33)</f>
        <v>#REF!</v>
      </c>
      <c r="G38" s="7" t="e">
        <f t="shared" si="4"/>
        <v>#REF!</v>
      </c>
    </row>
    <row r="39" spans="4:7" x14ac:dyDescent="0.3">
      <c r="D39" s="4"/>
      <c r="E39" t="e">
        <f>COUNTIFS([0]!JOIN_SENIORITY,$D39,[0]!JOIN_EMAIL_FLAG,E$36,[0]!JOIN_COMPANY_TYPE,$E$34,[0]!JOIN_SUB_DEPARTMENT,$E$33)</f>
        <v>#REF!</v>
      </c>
      <c r="F39" t="e">
        <f>COUNTIFS([0]!JOIN_SENIORITY,$D39,[0]!JOIN_EMAIL_FLAG,F$36,[0]!JOIN_COMPANY_TYPE,$E$34,[0]!JOIN_SUB_DEPARTMENT,$E$33)</f>
        <v>#REF!</v>
      </c>
      <c r="G39" s="7" t="e">
        <f t="shared" si="4"/>
        <v>#REF!</v>
      </c>
    </row>
    <row r="40" spans="4:7" x14ac:dyDescent="0.3">
      <c r="D40" s="4"/>
      <c r="E40" t="e">
        <f>COUNTIFS([0]!JOIN_SENIORITY,$D40,[0]!JOIN_EMAIL_FLAG,E$36,[0]!JOIN_COMPANY_TYPE,$E$34,[0]!JOIN_SUB_DEPARTMENT,$E$33)</f>
        <v>#REF!</v>
      </c>
      <c r="F40" t="e">
        <f>COUNTIFS([0]!JOIN_SENIORITY,$D40,[0]!JOIN_EMAIL_FLAG,F$36,[0]!JOIN_COMPANY_TYPE,$E$34,[0]!JOIN_SUB_DEPARTMENT,$E$33)</f>
        <v>#REF!</v>
      </c>
      <c r="G40" s="7" t="e">
        <f t="shared" si="4"/>
        <v>#REF!</v>
      </c>
    </row>
    <row r="41" spans="4:7" x14ac:dyDescent="0.3">
      <c r="D41" s="4"/>
      <c r="E41" t="e">
        <f>COUNTIFS([0]!JOIN_SENIORITY,$D41,[0]!JOIN_EMAIL_FLAG,E$36,[0]!JOIN_COMPANY_TYPE,$E$34,[0]!JOIN_SUB_DEPARTMENT,$E$33)</f>
        <v>#REF!</v>
      </c>
      <c r="F41" t="e">
        <f>COUNTIFS([0]!JOIN_SENIORITY,$D41,[0]!JOIN_EMAIL_FLAG,F$36,[0]!JOIN_COMPANY_TYPE,$E$34,[0]!JOIN_SUB_DEPARTMENT,$E$33)</f>
        <v>#REF!</v>
      </c>
      <c r="G41" s="7" t="e">
        <f t="shared" si="4"/>
        <v>#REF!</v>
      </c>
    </row>
    <row r="42" spans="4:7" x14ac:dyDescent="0.3">
      <c r="D42" s="4"/>
      <c r="E42" t="e">
        <f>COUNTIFS([0]!JOIN_SENIORITY,$D42,[0]!JOIN_EMAIL_FLAG,E$36,[0]!JOIN_COMPANY_TYPE,$E$34,[0]!JOIN_SUB_DEPARTMENT,$E$33)</f>
        <v>#REF!</v>
      </c>
      <c r="F42" t="e">
        <f>COUNTIFS([0]!JOIN_SENIORITY,$D42,[0]!JOIN_EMAIL_FLAG,F$36,[0]!JOIN_COMPANY_TYPE,$E$34,[0]!JOIN_SUB_DEPARTMENT,$E$33)</f>
        <v>#REF!</v>
      </c>
      <c r="G42" s="7" t="e">
        <f t="shared" si="4"/>
        <v>#REF!</v>
      </c>
    </row>
    <row r="43" spans="4:7" x14ac:dyDescent="0.3">
      <c r="D43" s="4"/>
      <c r="E43" t="e">
        <f>COUNTIFS([0]!JOIN_SENIORITY,$D43,[0]!JOIN_EMAIL_FLAG,E$36,[0]!JOIN_COMPANY_TYPE,$E$34,[0]!JOIN_SUB_DEPARTMENT,$E$33)</f>
        <v>#REF!</v>
      </c>
      <c r="F43" t="e">
        <f>COUNTIFS([0]!JOIN_SENIORITY,$D43,[0]!JOIN_EMAIL_FLAG,F$36,[0]!JOIN_COMPANY_TYPE,$E$34,[0]!JOIN_SUB_DEPARTMENT,$E$33)</f>
        <v>#REF!</v>
      </c>
      <c r="G43" s="7" t="e">
        <f t="shared" si="4"/>
        <v>#REF!</v>
      </c>
    </row>
  </sheetData>
  <conditionalFormatting sqref="E5:V30">
    <cfRule type="colorScale" priority="2">
      <colorScale>
        <cfvo type="min"/>
        <cfvo type="max"/>
        <color rgb="FFFCFCFF"/>
        <color rgb="FFF8696B"/>
      </colorScale>
    </cfRule>
    <cfRule type="colorScale" priority="4">
      <colorScale>
        <cfvo type="num" val="1"/>
        <cfvo type="percentile" val="50"/>
        <cfvo type="max"/>
        <color rgb="FFF8696B"/>
        <color rgb="FFFFEB84"/>
        <color rgb="FF63BE7B"/>
      </colorScale>
    </cfRule>
  </conditionalFormatting>
  <conditionalFormatting sqref="F6:V30">
    <cfRule type="colorScale" priority="3">
      <colorScale>
        <cfvo type="min"/>
        <cfvo type="max"/>
        <color rgb="FFFCFCFF"/>
        <color rgb="FFF8696B"/>
      </colorScale>
    </cfRule>
  </conditionalFormatting>
  <conditionalFormatting sqref="E5:V29">
    <cfRule type="colorScale" priority="1">
      <colorScale>
        <cfvo type="min"/>
        <cfvo type="max"/>
        <color rgb="FFFCFCFF"/>
        <color rgb="FFF8696B"/>
      </colorScale>
    </cfRule>
  </conditionalFormatting>
  <dataValidations count="2">
    <dataValidation type="list" allowBlank="1" showInputMessage="1" showErrorMessage="1" sqref="E2" xr:uid="{A542810B-E49E-46A5-84F0-BE3E80CD2AB0}">
      <formula1>$B$4:$B$8</formula1>
    </dataValidation>
    <dataValidation type="list" allowBlank="1" showInputMessage="1" showErrorMessage="1" sqref="C2" xr:uid="{C5F27E98-88F4-4818-A4FE-61C4C6B9F216}">
      <formula1>$B$4:$B$8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DE3092-C292-48BE-8FC7-69A2FFD81AE4}">
          <x14:formula1>
            <xm:f>SHEETS!$A$1:$A$16</xm:f>
          </x14:formula1>
          <xm:sqref>D2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7287C-93DB-48F7-9BDA-4652A5FDDB96}">
  <sheetPr codeName="Sheet12"/>
  <dimension ref="D5:V24"/>
  <sheetViews>
    <sheetView workbookViewId="0">
      <selection activeCell="H31" sqref="H31"/>
    </sheetView>
  </sheetViews>
  <sheetFormatPr defaultRowHeight="14.4" x14ac:dyDescent="0.3"/>
  <sheetData>
    <row r="5" spans="4:22" x14ac:dyDescent="0.3">
      <c r="D5" s="1" t="s">
        <v>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4:22" x14ac:dyDescent="0.3">
      <c r="D6" s="3"/>
    </row>
    <row r="7" spans="4:22" x14ac:dyDescent="0.3">
      <c r="E7" t="e" cm="1">
        <f t="array" ref="E7">TRANSPOSE(_xlfn.UNIQUE([0]!ORGANISATION_COMPANY_SIZE))</f>
        <v>#REF!</v>
      </c>
    </row>
    <row r="8" spans="4:22" x14ac:dyDescent="0.3">
      <c r="D8" t="e" cm="1">
        <f t="array" ref="D8">_xlfn.UNIQUE([0]!ORGANISATION_COMPANY_TYPE)</f>
        <v>#REF!</v>
      </c>
      <c r="E8" t="e">
        <f>COUNTIFS([0]!ORGANISATION_COMPANY_TYPE,$D8,[0]!ORGANISATION_COMPANY_SIZE,E$7)</f>
        <v>#REF!</v>
      </c>
      <c r="F8" t="e">
        <f>COUNTIFS([0]!ORGANISATION_COMPANY_TYPE,$D8,[0]!ORGANISATION_COMPANY_SIZE,F$7)</f>
        <v>#REF!</v>
      </c>
      <c r="G8" t="e">
        <f>COUNTIFS([0]!ORGANISATION_COMPANY_TYPE,$D8,[0]!ORGANISATION_COMPANY_SIZE,G$7)</f>
        <v>#REF!</v>
      </c>
      <c r="H8" t="e">
        <f>COUNTIFS([0]!ORGANISATION_COMPANY_TYPE,$D8,[0]!ORGANISATION_COMPANY_SIZE,H$7)</f>
        <v>#REF!</v>
      </c>
      <c r="I8" t="e">
        <f t="shared" ref="I8:I23" si="0">SUM(E8:H8)</f>
        <v>#REF!</v>
      </c>
    </row>
    <row r="9" spans="4:22" x14ac:dyDescent="0.3">
      <c r="E9" t="e">
        <f>COUNTIFS([0]!ORGANISATION_COMPANY_TYPE,$D9,[0]!ORGANISATION_COMPANY_SIZE,E$7)</f>
        <v>#REF!</v>
      </c>
      <c r="F9" t="e">
        <f>COUNTIFS([0]!ORGANISATION_COMPANY_TYPE,$D9,[0]!ORGANISATION_COMPANY_SIZE,F$7)</f>
        <v>#REF!</v>
      </c>
      <c r="G9" t="e">
        <f>COUNTIFS([0]!ORGANISATION_COMPANY_TYPE,$D9,[0]!ORGANISATION_COMPANY_SIZE,G$7)</f>
        <v>#REF!</v>
      </c>
      <c r="H9" t="e">
        <f>COUNTIFS([0]!ORGANISATION_COMPANY_TYPE,$D9,[0]!ORGANISATION_COMPANY_SIZE,H$7)</f>
        <v>#REF!</v>
      </c>
      <c r="I9" t="e">
        <f t="shared" si="0"/>
        <v>#REF!</v>
      </c>
    </row>
    <row r="10" spans="4:22" x14ac:dyDescent="0.3">
      <c r="E10" t="e">
        <f>COUNTIFS([0]!ORGANISATION_COMPANY_TYPE,$D10,[0]!ORGANISATION_COMPANY_SIZE,E$7)</f>
        <v>#REF!</v>
      </c>
      <c r="F10" t="e">
        <f>COUNTIFS([0]!ORGANISATION_COMPANY_TYPE,$D10,[0]!ORGANISATION_COMPANY_SIZE,F$7)</f>
        <v>#REF!</v>
      </c>
      <c r="G10" t="e">
        <f>COUNTIFS([0]!ORGANISATION_COMPANY_TYPE,$D10,[0]!ORGANISATION_COMPANY_SIZE,G$7)</f>
        <v>#REF!</v>
      </c>
      <c r="H10" t="e">
        <f>COUNTIFS([0]!ORGANISATION_COMPANY_TYPE,$D10,[0]!ORGANISATION_COMPANY_SIZE,H$7)</f>
        <v>#REF!</v>
      </c>
      <c r="I10" t="e">
        <f t="shared" si="0"/>
        <v>#REF!</v>
      </c>
    </row>
    <row r="11" spans="4:22" x14ac:dyDescent="0.3">
      <c r="E11" t="e">
        <f>COUNTIFS([0]!ORGANISATION_COMPANY_TYPE,$D11,[0]!ORGANISATION_COMPANY_SIZE,E$7)</f>
        <v>#REF!</v>
      </c>
      <c r="F11" t="e">
        <f>COUNTIFS([0]!ORGANISATION_COMPANY_TYPE,$D11,[0]!ORGANISATION_COMPANY_SIZE,F$7)</f>
        <v>#REF!</v>
      </c>
      <c r="G11" t="e">
        <f>COUNTIFS([0]!ORGANISATION_COMPANY_TYPE,$D11,[0]!ORGANISATION_COMPANY_SIZE,G$7)</f>
        <v>#REF!</v>
      </c>
      <c r="H11" t="e">
        <f>COUNTIFS([0]!ORGANISATION_COMPANY_TYPE,$D11,[0]!ORGANISATION_COMPANY_SIZE,H$7)</f>
        <v>#REF!</v>
      </c>
      <c r="I11" t="e">
        <f t="shared" si="0"/>
        <v>#REF!</v>
      </c>
    </row>
    <row r="12" spans="4:22" x14ac:dyDescent="0.3">
      <c r="E12" t="e">
        <f>COUNTIFS([0]!ORGANISATION_COMPANY_TYPE,$D12,[0]!ORGANISATION_COMPANY_SIZE,E$7)</f>
        <v>#REF!</v>
      </c>
      <c r="F12" t="e">
        <f>COUNTIFS([0]!ORGANISATION_COMPANY_TYPE,$D12,[0]!ORGANISATION_COMPANY_SIZE,F$7)</f>
        <v>#REF!</v>
      </c>
      <c r="G12" t="e">
        <f>COUNTIFS([0]!ORGANISATION_COMPANY_TYPE,$D12,[0]!ORGANISATION_COMPANY_SIZE,G$7)</f>
        <v>#REF!</v>
      </c>
      <c r="H12" t="e">
        <f>COUNTIFS([0]!ORGANISATION_COMPANY_TYPE,$D12,[0]!ORGANISATION_COMPANY_SIZE,H$7)</f>
        <v>#REF!</v>
      </c>
      <c r="I12" t="e">
        <f t="shared" si="0"/>
        <v>#REF!</v>
      </c>
    </row>
    <row r="13" spans="4:22" x14ac:dyDescent="0.3">
      <c r="E13" t="e">
        <f>COUNTIFS([0]!ORGANISATION_COMPANY_TYPE,$D13,[0]!ORGANISATION_COMPANY_SIZE,E$7)</f>
        <v>#REF!</v>
      </c>
      <c r="F13" t="e">
        <f>COUNTIFS([0]!ORGANISATION_COMPANY_TYPE,$D13,[0]!ORGANISATION_COMPANY_SIZE,F$7)</f>
        <v>#REF!</v>
      </c>
      <c r="G13" t="e">
        <f>COUNTIFS([0]!ORGANISATION_COMPANY_TYPE,$D13,[0]!ORGANISATION_COMPANY_SIZE,G$7)</f>
        <v>#REF!</v>
      </c>
      <c r="H13" t="e">
        <f>COUNTIFS([0]!ORGANISATION_COMPANY_TYPE,$D13,[0]!ORGANISATION_COMPANY_SIZE,H$7)</f>
        <v>#REF!</v>
      </c>
      <c r="I13" t="e">
        <f t="shared" si="0"/>
        <v>#REF!</v>
      </c>
    </row>
    <row r="14" spans="4:22" x14ac:dyDescent="0.3">
      <c r="E14" t="e">
        <f>COUNTIFS([0]!ORGANISATION_COMPANY_TYPE,$D14,[0]!ORGANISATION_COMPANY_SIZE,E$7)</f>
        <v>#REF!</v>
      </c>
      <c r="F14" t="e">
        <f>COUNTIFS([0]!ORGANISATION_COMPANY_TYPE,$D14,[0]!ORGANISATION_COMPANY_SIZE,F$7)</f>
        <v>#REF!</v>
      </c>
      <c r="G14" t="e">
        <f>COUNTIFS([0]!ORGANISATION_COMPANY_TYPE,$D14,[0]!ORGANISATION_COMPANY_SIZE,G$7)</f>
        <v>#REF!</v>
      </c>
      <c r="H14" t="e">
        <f>COUNTIFS([0]!ORGANISATION_COMPANY_TYPE,$D14,[0]!ORGANISATION_COMPANY_SIZE,H$7)</f>
        <v>#REF!</v>
      </c>
      <c r="I14" t="e">
        <f t="shared" si="0"/>
        <v>#REF!</v>
      </c>
    </row>
    <row r="15" spans="4:22" x14ac:dyDescent="0.3">
      <c r="E15" t="e">
        <f>COUNTIFS([0]!ORGANISATION_COMPANY_TYPE,$D15,[0]!ORGANISATION_COMPANY_SIZE,E$7)</f>
        <v>#REF!</v>
      </c>
      <c r="F15" t="e">
        <f>COUNTIFS([0]!ORGANISATION_COMPANY_TYPE,$D15,[0]!ORGANISATION_COMPANY_SIZE,F$7)</f>
        <v>#REF!</v>
      </c>
      <c r="G15" t="e">
        <f>COUNTIFS([0]!ORGANISATION_COMPANY_TYPE,$D15,[0]!ORGANISATION_COMPANY_SIZE,G$7)</f>
        <v>#REF!</v>
      </c>
      <c r="H15" t="e">
        <f>COUNTIFS([0]!ORGANISATION_COMPANY_TYPE,$D15,[0]!ORGANISATION_COMPANY_SIZE,H$7)</f>
        <v>#REF!</v>
      </c>
      <c r="I15" t="e">
        <f t="shared" si="0"/>
        <v>#REF!</v>
      </c>
    </row>
    <row r="16" spans="4:22" x14ac:dyDescent="0.3">
      <c r="E16" t="e">
        <f>COUNTIFS([0]!ORGANISATION_COMPANY_TYPE,$D16,[0]!ORGANISATION_COMPANY_SIZE,E$7)</f>
        <v>#REF!</v>
      </c>
      <c r="F16" t="e">
        <f>COUNTIFS([0]!ORGANISATION_COMPANY_TYPE,$D16,[0]!ORGANISATION_COMPANY_SIZE,F$7)</f>
        <v>#REF!</v>
      </c>
      <c r="G16" t="e">
        <f>COUNTIFS([0]!ORGANISATION_COMPANY_TYPE,$D16,[0]!ORGANISATION_COMPANY_SIZE,G$7)</f>
        <v>#REF!</v>
      </c>
      <c r="H16" t="e">
        <f>COUNTIFS([0]!ORGANISATION_COMPANY_TYPE,$D16,[0]!ORGANISATION_COMPANY_SIZE,H$7)</f>
        <v>#REF!</v>
      </c>
      <c r="I16" t="e">
        <f t="shared" si="0"/>
        <v>#REF!</v>
      </c>
    </row>
    <row r="17" spans="5:9" x14ac:dyDescent="0.3">
      <c r="E17" t="e">
        <f>COUNTIFS([0]!ORGANISATION_COMPANY_TYPE,$D17,[0]!ORGANISATION_COMPANY_SIZE,E$7)</f>
        <v>#REF!</v>
      </c>
      <c r="F17" t="e">
        <f>COUNTIFS([0]!ORGANISATION_COMPANY_TYPE,$D17,[0]!ORGANISATION_COMPANY_SIZE,F$7)</f>
        <v>#REF!</v>
      </c>
      <c r="G17" t="e">
        <f>COUNTIFS([0]!ORGANISATION_COMPANY_TYPE,$D17,[0]!ORGANISATION_COMPANY_SIZE,G$7)</f>
        <v>#REF!</v>
      </c>
      <c r="H17" t="e">
        <f>COUNTIFS([0]!ORGANISATION_COMPANY_TYPE,$D17,[0]!ORGANISATION_COMPANY_SIZE,H$7)</f>
        <v>#REF!</v>
      </c>
      <c r="I17" t="e">
        <f t="shared" si="0"/>
        <v>#REF!</v>
      </c>
    </row>
    <row r="18" spans="5:9" x14ac:dyDescent="0.3">
      <c r="E18" t="e">
        <f>COUNTIFS([0]!ORGANISATION_COMPANY_TYPE,$D18,[0]!ORGANISATION_COMPANY_SIZE,E$7)</f>
        <v>#REF!</v>
      </c>
      <c r="F18" t="e">
        <f>COUNTIFS([0]!ORGANISATION_COMPANY_TYPE,$D18,[0]!ORGANISATION_COMPANY_SIZE,F$7)</f>
        <v>#REF!</v>
      </c>
      <c r="G18" t="e">
        <f>COUNTIFS([0]!ORGANISATION_COMPANY_TYPE,$D18,[0]!ORGANISATION_COMPANY_SIZE,G$7)</f>
        <v>#REF!</v>
      </c>
      <c r="H18" t="e">
        <f>COUNTIFS([0]!ORGANISATION_COMPANY_TYPE,$D18,[0]!ORGANISATION_COMPANY_SIZE,H$7)</f>
        <v>#REF!</v>
      </c>
      <c r="I18" t="e">
        <f t="shared" si="0"/>
        <v>#REF!</v>
      </c>
    </row>
    <row r="19" spans="5:9" x14ac:dyDescent="0.3">
      <c r="E19" t="e">
        <f>COUNTIFS([0]!ORGANISATION_COMPANY_TYPE,$D19,[0]!ORGANISATION_COMPANY_SIZE,E$7)</f>
        <v>#REF!</v>
      </c>
      <c r="F19" t="e">
        <f>COUNTIFS([0]!ORGANISATION_COMPANY_TYPE,$D19,[0]!ORGANISATION_COMPANY_SIZE,F$7)</f>
        <v>#REF!</v>
      </c>
      <c r="G19" t="e">
        <f>COUNTIFS([0]!ORGANISATION_COMPANY_TYPE,$D19,[0]!ORGANISATION_COMPANY_SIZE,G$7)</f>
        <v>#REF!</v>
      </c>
      <c r="H19" t="e">
        <f>COUNTIFS([0]!ORGANISATION_COMPANY_TYPE,$D19,[0]!ORGANISATION_COMPANY_SIZE,H$7)</f>
        <v>#REF!</v>
      </c>
      <c r="I19" t="e">
        <f t="shared" si="0"/>
        <v>#REF!</v>
      </c>
    </row>
    <row r="20" spans="5:9" x14ac:dyDescent="0.3">
      <c r="E20" t="e">
        <f>COUNTIFS([0]!ORGANISATION_COMPANY_TYPE,$D20,[0]!ORGANISATION_COMPANY_SIZE,E$7)</f>
        <v>#REF!</v>
      </c>
      <c r="F20" t="e">
        <f>COUNTIFS([0]!ORGANISATION_COMPANY_TYPE,$D20,[0]!ORGANISATION_COMPANY_SIZE,F$7)</f>
        <v>#REF!</v>
      </c>
      <c r="G20" t="e">
        <f>COUNTIFS([0]!ORGANISATION_COMPANY_TYPE,$D20,[0]!ORGANISATION_COMPANY_SIZE,G$7)</f>
        <v>#REF!</v>
      </c>
      <c r="H20" t="e">
        <f>COUNTIFS([0]!ORGANISATION_COMPANY_TYPE,$D20,[0]!ORGANISATION_COMPANY_SIZE,H$7)</f>
        <v>#REF!</v>
      </c>
      <c r="I20" t="e">
        <f t="shared" si="0"/>
        <v>#REF!</v>
      </c>
    </row>
    <row r="21" spans="5:9" x14ac:dyDescent="0.3">
      <c r="E21" t="e">
        <f>COUNTIFS([0]!ORGANISATION_COMPANY_TYPE,$D21,[0]!ORGANISATION_COMPANY_SIZE,E$7)</f>
        <v>#REF!</v>
      </c>
      <c r="F21" t="e">
        <f>COUNTIFS([0]!ORGANISATION_COMPANY_TYPE,$D21,[0]!ORGANISATION_COMPANY_SIZE,F$7)</f>
        <v>#REF!</v>
      </c>
      <c r="G21" t="e">
        <f>COUNTIFS([0]!ORGANISATION_COMPANY_TYPE,$D21,[0]!ORGANISATION_COMPANY_SIZE,G$7)</f>
        <v>#REF!</v>
      </c>
      <c r="H21" t="e">
        <f>COUNTIFS([0]!ORGANISATION_COMPANY_TYPE,$D21,[0]!ORGANISATION_COMPANY_SIZE,H$7)</f>
        <v>#REF!</v>
      </c>
      <c r="I21" t="e">
        <f t="shared" si="0"/>
        <v>#REF!</v>
      </c>
    </row>
    <row r="22" spans="5:9" x14ac:dyDescent="0.3">
      <c r="E22" t="e">
        <f>COUNTIFS([0]!ORGANISATION_COMPANY_TYPE,$D22,[0]!ORGANISATION_COMPANY_SIZE,E$7)</f>
        <v>#REF!</v>
      </c>
      <c r="F22" t="e">
        <f>COUNTIFS([0]!ORGANISATION_COMPANY_TYPE,$D22,[0]!ORGANISATION_COMPANY_SIZE,F$7)</f>
        <v>#REF!</v>
      </c>
      <c r="G22" t="e">
        <f>COUNTIFS([0]!ORGANISATION_COMPANY_TYPE,$D22,[0]!ORGANISATION_COMPANY_SIZE,G$7)</f>
        <v>#REF!</v>
      </c>
      <c r="H22" t="e">
        <f>COUNTIFS([0]!ORGANISATION_COMPANY_TYPE,$D22,[0]!ORGANISATION_COMPANY_SIZE,H$7)</f>
        <v>#REF!</v>
      </c>
      <c r="I22" t="e">
        <f t="shared" si="0"/>
        <v>#REF!</v>
      </c>
    </row>
    <row r="23" spans="5:9" x14ac:dyDescent="0.3">
      <c r="E23" t="e">
        <f>COUNTIFS([0]!ORGANISATION_COMPANY_TYPE,$D23,[0]!ORGANISATION_COMPANY_SIZE,E$7)</f>
        <v>#REF!</v>
      </c>
      <c r="F23" t="e">
        <f>COUNTIFS([0]!ORGANISATION_COMPANY_TYPE,$D23,[0]!ORGANISATION_COMPANY_SIZE,F$7)</f>
        <v>#REF!</v>
      </c>
      <c r="G23" t="e">
        <f>COUNTIFS([0]!ORGANISATION_COMPANY_TYPE,$D23,[0]!ORGANISATION_COMPANY_SIZE,G$7)</f>
        <v>#REF!</v>
      </c>
      <c r="H23" t="e">
        <f>COUNTIFS([0]!ORGANISATION_COMPANY_TYPE,$D23,[0]!ORGANISATION_COMPANY_SIZE,H$7)</f>
        <v>#REF!</v>
      </c>
      <c r="I23" t="e">
        <f t="shared" si="0"/>
        <v>#REF!</v>
      </c>
    </row>
    <row r="24" spans="5:9" x14ac:dyDescent="0.3">
      <c r="E24" t="e">
        <f>SUM(E8:E23)</f>
        <v>#REF!</v>
      </c>
      <c r="F24" t="e">
        <f>SUM(F8:F23)</f>
        <v>#REF!</v>
      </c>
      <c r="G24" t="e">
        <f>SUM(G8:G23)</f>
        <v>#REF!</v>
      </c>
      <c r="H24" t="e">
        <f>SUM(H8:H23)</f>
        <v>#REF!</v>
      </c>
    </row>
  </sheetData>
  <conditionalFormatting sqref="E8:I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151E-5537-44F6-924E-4BDAE70C8188}">
  <sheetPr codeName="Sheet13"/>
  <dimension ref="D6:AC38"/>
  <sheetViews>
    <sheetView workbookViewId="0">
      <selection activeCell="L34" sqref="L34"/>
    </sheetView>
  </sheetViews>
  <sheetFormatPr defaultRowHeight="14.4" x14ac:dyDescent="0.3"/>
  <sheetData>
    <row r="6" spans="4:22" x14ac:dyDescent="0.3">
      <c r="D6" s="1" t="s">
        <v>2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9" spans="4:22" x14ac:dyDescent="0.3">
      <c r="E9" t="e" cm="1">
        <f t="array" ref="E9">TRANSPOSE(_xlfn.UNIQUE([0]!PERSON_JOB_TYPE))</f>
        <v>#REF!</v>
      </c>
    </row>
    <row r="10" spans="4:22" x14ac:dyDescent="0.3">
      <c r="D10" t="e" cm="1">
        <f t="array" ref="D10">_xlfn.UNIQUE([0]!PERSON_SENIORITY)</f>
        <v>#REF!</v>
      </c>
      <c r="E10" t="e">
        <f>COUNTIFS([0]!PERSON_SENIORITY,$D10,[0]!PERSON_JOB_TYPE,E$9)</f>
        <v>#REF!</v>
      </c>
      <c r="F10" t="e">
        <f>COUNTIFS([0]!PERSON_SENIORITY,$D10,[0]!PERSON_JOB_TYPE,F$9)</f>
        <v>#REF!</v>
      </c>
      <c r="G10" t="e">
        <f>COUNTIFS([0]!PERSON_SENIORITY,$D10,[0]!PERSON_JOB_TYPE,G$9)</f>
        <v>#REF!</v>
      </c>
      <c r="H10" t="e">
        <f>COUNTIFS([0]!PERSON_SENIORITY,$D10,[0]!PERSON_JOB_TYPE,H$9)</f>
        <v>#REF!</v>
      </c>
      <c r="I10" t="e">
        <f>COUNTIFS([0]!PERSON_SENIORITY,$D10,[0]!PERSON_JOB_TYPE,I$9)</f>
        <v>#REF!</v>
      </c>
      <c r="J10" t="e">
        <f>COUNTIFS([0]!PERSON_SENIORITY,$D10,[0]!PERSON_JOB_TYPE,J$9)</f>
        <v>#REF!</v>
      </c>
      <c r="K10" t="e">
        <f>COUNTIFS([0]!PERSON_SENIORITY,$D10,[0]!PERSON_JOB_TYPE,K$9)</f>
        <v>#REF!</v>
      </c>
    </row>
    <row r="11" spans="4:22" x14ac:dyDescent="0.3">
      <c r="E11" t="e">
        <f>COUNTIFS([0]!PERSON_SENIORITY,$D11,[0]!PERSON_JOB_TYPE,E$9)</f>
        <v>#REF!</v>
      </c>
      <c r="F11" t="e">
        <f>COUNTIFS([0]!PERSON_SENIORITY,$D11,[0]!PERSON_JOB_TYPE,F$9)</f>
        <v>#REF!</v>
      </c>
      <c r="G11" t="e">
        <f>COUNTIFS([0]!PERSON_SENIORITY,$D11,[0]!PERSON_JOB_TYPE,G$9)</f>
        <v>#REF!</v>
      </c>
      <c r="H11" t="e">
        <f>COUNTIFS([0]!PERSON_SENIORITY,$D11,[0]!PERSON_JOB_TYPE,H$9)</f>
        <v>#REF!</v>
      </c>
      <c r="I11" t="e">
        <f>COUNTIFS([0]!PERSON_SENIORITY,$D11,[0]!PERSON_JOB_TYPE,I$9)</f>
        <v>#REF!</v>
      </c>
      <c r="J11" t="e">
        <f>COUNTIFS([0]!PERSON_SENIORITY,$D11,[0]!PERSON_JOB_TYPE,J$9)</f>
        <v>#REF!</v>
      </c>
      <c r="K11" t="e">
        <f>COUNTIFS([0]!PERSON_SENIORITY,$D11,[0]!PERSON_JOB_TYPE,K$9)</f>
        <v>#REF!</v>
      </c>
    </row>
    <row r="12" spans="4:22" x14ac:dyDescent="0.3">
      <c r="E12" t="e">
        <f>COUNTIFS([0]!PERSON_SENIORITY,$D12,[0]!PERSON_JOB_TYPE,E$9)</f>
        <v>#REF!</v>
      </c>
      <c r="F12" t="e">
        <f>COUNTIFS([0]!PERSON_SENIORITY,$D12,[0]!PERSON_JOB_TYPE,F$9)</f>
        <v>#REF!</v>
      </c>
      <c r="G12" t="e">
        <f>COUNTIFS([0]!PERSON_SENIORITY,$D12,[0]!PERSON_JOB_TYPE,G$9)</f>
        <v>#REF!</v>
      </c>
      <c r="H12" t="e">
        <f>COUNTIFS([0]!PERSON_SENIORITY,$D12,[0]!PERSON_JOB_TYPE,H$9)</f>
        <v>#REF!</v>
      </c>
      <c r="I12" t="e">
        <f>COUNTIFS([0]!PERSON_SENIORITY,$D12,[0]!PERSON_JOB_TYPE,I$9)</f>
        <v>#REF!</v>
      </c>
      <c r="J12" t="e">
        <f>COUNTIFS([0]!PERSON_SENIORITY,$D12,[0]!PERSON_JOB_TYPE,J$9)</f>
        <v>#REF!</v>
      </c>
      <c r="K12" t="e">
        <f>COUNTIFS([0]!PERSON_SENIORITY,$D12,[0]!PERSON_JOB_TYPE,K$9)</f>
        <v>#REF!</v>
      </c>
    </row>
    <row r="13" spans="4:22" x14ac:dyDescent="0.3">
      <c r="E13" t="e">
        <f>COUNTIFS([0]!PERSON_SENIORITY,$D13,[0]!PERSON_JOB_TYPE,E$9)</f>
        <v>#REF!</v>
      </c>
      <c r="F13" t="e">
        <f>COUNTIFS([0]!PERSON_SENIORITY,$D13,[0]!PERSON_JOB_TYPE,F$9)</f>
        <v>#REF!</v>
      </c>
      <c r="G13" t="e">
        <f>COUNTIFS([0]!PERSON_SENIORITY,$D13,[0]!PERSON_JOB_TYPE,G$9)</f>
        <v>#REF!</v>
      </c>
      <c r="H13" t="e">
        <f>COUNTIFS([0]!PERSON_SENIORITY,$D13,[0]!PERSON_JOB_TYPE,H$9)</f>
        <v>#REF!</v>
      </c>
      <c r="I13" t="e">
        <f>COUNTIFS([0]!PERSON_SENIORITY,$D13,[0]!PERSON_JOB_TYPE,I$9)</f>
        <v>#REF!</v>
      </c>
      <c r="J13" t="e">
        <f>COUNTIFS([0]!PERSON_SENIORITY,$D13,[0]!PERSON_JOB_TYPE,J$9)</f>
        <v>#REF!</v>
      </c>
      <c r="K13" t="e">
        <f>COUNTIFS([0]!PERSON_SENIORITY,$D13,[0]!PERSON_JOB_TYPE,K$9)</f>
        <v>#REF!</v>
      </c>
    </row>
    <row r="14" spans="4:22" x14ac:dyDescent="0.3">
      <c r="E14" t="e">
        <f>COUNTIFS([0]!PERSON_SENIORITY,$D14,[0]!PERSON_JOB_TYPE,E$9)</f>
        <v>#REF!</v>
      </c>
      <c r="F14" t="e">
        <f>COUNTIFS([0]!PERSON_SENIORITY,$D14,[0]!PERSON_JOB_TYPE,F$9)</f>
        <v>#REF!</v>
      </c>
      <c r="G14" t="e">
        <f>COUNTIFS([0]!PERSON_SENIORITY,$D14,[0]!PERSON_JOB_TYPE,G$9)</f>
        <v>#REF!</v>
      </c>
      <c r="H14" t="e">
        <f>COUNTIFS([0]!PERSON_SENIORITY,$D14,[0]!PERSON_JOB_TYPE,H$9)</f>
        <v>#REF!</v>
      </c>
      <c r="I14" t="e">
        <f>COUNTIFS([0]!PERSON_SENIORITY,$D14,[0]!PERSON_JOB_TYPE,I$9)</f>
        <v>#REF!</v>
      </c>
      <c r="J14" t="e">
        <f>COUNTIFS([0]!PERSON_SENIORITY,$D14,[0]!PERSON_JOB_TYPE,J$9)</f>
        <v>#REF!</v>
      </c>
      <c r="K14" t="e">
        <f>COUNTIFS([0]!PERSON_SENIORITY,$D14,[0]!PERSON_JOB_TYPE,K$9)</f>
        <v>#REF!</v>
      </c>
    </row>
    <row r="15" spans="4:22" x14ac:dyDescent="0.3">
      <c r="E15" t="e">
        <f>COUNTIFS([0]!PERSON_SENIORITY,$D15,[0]!PERSON_JOB_TYPE,E$9)</f>
        <v>#REF!</v>
      </c>
      <c r="F15" t="e">
        <f>COUNTIFS([0]!PERSON_SENIORITY,$D15,[0]!PERSON_JOB_TYPE,F$9)</f>
        <v>#REF!</v>
      </c>
      <c r="G15" t="e">
        <f>COUNTIFS([0]!PERSON_SENIORITY,$D15,[0]!PERSON_JOB_TYPE,G$9)</f>
        <v>#REF!</v>
      </c>
      <c r="H15" t="e">
        <f>COUNTIFS([0]!PERSON_SENIORITY,$D15,[0]!PERSON_JOB_TYPE,H$9)</f>
        <v>#REF!</v>
      </c>
      <c r="I15" t="e">
        <f>COUNTIFS([0]!PERSON_SENIORITY,$D15,[0]!PERSON_JOB_TYPE,I$9)</f>
        <v>#REF!</v>
      </c>
      <c r="J15" t="e">
        <f>COUNTIFS([0]!PERSON_SENIORITY,$D15,[0]!PERSON_JOB_TYPE,J$9)</f>
        <v>#REF!</v>
      </c>
      <c r="K15" t="e">
        <f>COUNTIFS([0]!PERSON_SENIORITY,$D15,[0]!PERSON_JOB_TYPE,K$9)</f>
        <v>#REF!</v>
      </c>
    </row>
    <row r="16" spans="4:22" x14ac:dyDescent="0.3">
      <c r="E16" t="e">
        <f>COUNTIFS([0]!PERSON_SENIORITY,$D16,[0]!PERSON_JOB_TYPE,E$9)</f>
        <v>#REF!</v>
      </c>
      <c r="F16" t="e">
        <f>COUNTIFS([0]!PERSON_SENIORITY,$D16,[0]!PERSON_JOB_TYPE,F$9)</f>
        <v>#REF!</v>
      </c>
      <c r="G16" t="e">
        <f>COUNTIFS([0]!PERSON_SENIORITY,$D16,[0]!PERSON_JOB_TYPE,G$9)</f>
        <v>#REF!</v>
      </c>
      <c r="H16" t="e">
        <f>COUNTIFS([0]!PERSON_SENIORITY,$D16,[0]!PERSON_JOB_TYPE,H$9)</f>
        <v>#REF!</v>
      </c>
      <c r="I16" t="e">
        <f>COUNTIFS([0]!PERSON_SENIORITY,$D16,[0]!PERSON_JOB_TYPE,I$9)</f>
        <v>#REF!</v>
      </c>
      <c r="J16" t="e">
        <f>COUNTIFS([0]!PERSON_SENIORITY,$D16,[0]!PERSON_JOB_TYPE,J$9)</f>
        <v>#REF!</v>
      </c>
      <c r="K16" t="e">
        <f>COUNTIFS([0]!PERSON_SENIORITY,$D16,[0]!PERSON_JOB_TYPE,K$9)</f>
        <v>#REF!</v>
      </c>
    </row>
    <row r="20" spans="4:29" x14ac:dyDescent="0.3">
      <c r="E20" t="e" cm="1">
        <f t="array" ref="E20">TRANSPOSE(_xlfn.UNIQUE([0]!PERSON_DEPARTMENT))</f>
        <v>#REF!</v>
      </c>
    </row>
    <row r="21" spans="4:29" x14ac:dyDescent="0.3">
      <c r="D21" t="e" cm="1">
        <f t="array" ref="D21">_xlfn.UNIQUE([0]!PERSON_SENIORITY)</f>
        <v>#REF!</v>
      </c>
      <c r="E21" t="e">
        <f>COUNTIFS([0]!PERSON_SENIORITY,$D21,[0]!PERSON_DEPARTMENT,E$20)</f>
        <v>#REF!</v>
      </c>
      <c r="F21" t="e">
        <f>COUNTIFS([0]!PERSON_SENIORITY,$D21,[0]!PERSON_DEPARTMENT,F$20)</f>
        <v>#REF!</v>
      </c>
      <c r="G21" t="e">
        <f>COUNTIFS([0]!PERSON_SENIORITY,$D21,[0]!PERSON_DEPARTMENT,G$20)</f>
        <v>#REF!</v>
      </c>
      <c r="H21" t="e">
        <f>COUNTIFS([0]!PERSON_SENIORITY,$D21,[0]!PERSON_DEPARTMENT,H$20)</f>
        <v>#REF!</v>
      </c>
      <c r="I21" t="e">
        <f>COUNTIFS([0]!PERSON_SENIORITY,$D21,[0]!PERSON_DEPARTMENT,I$20)</f>
        <v>#REF!</v>
      </c>
      <c r="J21" t="e">
        <f>COUNTIFS([0]!PERSON_SENIORITY,$D21,[0]!PERSON_DEPARTMENT,J$20)</f>
        <v>#REF!</v>
      </c>
      <c r="K21" t="e">
        <f>COUNTIFS([0]!PERSON_SENIORITY,$D21,[0]!PERSON_DEPARTMENT,K$20)</f>
        <v>#REF!</v>
      </c>
      <c r="L21" t="e">
        <f>COUNTIFS([0]!PERSON_SENIORITY,$D21,[0]!PERSON_DEPARTMENT,L$20)</f>
        <v>#REF!</v>
      </c>
      <c r="M21" t="e">
        <f>COUNTIFS([0]!PERSON_SENIORITY,$D21,[0]!PERSON_DEPARTMENT,M$20)</f>
        <v>#REF!</v>
      </c>
      <c r="N21" t="e">
        <f>COUNTIFS([0]!PERSON_SENIORITY,$D21,[0]!PERSON_DEPARTMENT,N$20)</f>
        <v>#REF!</v>
      </c>
      <c r="O21" t="e">
        <f>COUNTIFS([0]!PERSON_SENIORITY,$D21,[0]!PERSON_DEPARTMENT,O$20)</f>
        <v>#REF!</v>
      </c>
    </row>
    <row r="22" spans="4:29" x14ac:dyDescent="0.3">
      <c r="E22" t="e">
        <f>COUNTIFS([0]!PERSON_SENIORITY,$D22,[0]!PERSON_DEPARTMENT,E$20)</f>
        <v>#REF!</v>
      </c>
      <c r="F22" t="e">
        <f>COUNTIFS([0]!PERSON_SENIORITY,$D22,[0]!PERSON_DEPARTMENT,F$20)</f>
        <v>#REF!</v>
      </c>
      <c r="G22" t="e">
        <f>COUNTIFS([0]!PERSON_SENIORITY,$D22,[0]!PERSON_DEPARTMENT,G$20)</f>
        <v>#REF!</v>
      </c>
      <c r="H22" t="e">
        <f>COUNTIFS([0]!PERSON_SENIORITY,$D22,[0]!PERSON_DEPARTMENT,H$20)</f>
        <v>#REF!</v>
      </c>
      <c r="I22" t="e">
        <f>COUNTIFS([0]!PERSON_SENIORITY,$D22,[0]!PERSON_DEPARTMENT,I$20)</f>
        <v>#REF!</v>
      </c>
      <c r="J22" t="e">
        <f>COUNTIFS([0]!PERSON_SENIORITY,$D22,[0]!PERSON_DEPARTMENT,J$20)</f>
        <v>#REF!</v>
      </c>
      <c r="K22" t="e">
        <f>COUNTIFS([0]!PERSON_SENIORITY,$D22,[0]!PERSON_DEPARTMENT,K$20)</f>
        <v>#REF!</v>
      </c>
      <c r="L22" t="e">
        <f>COUNTIFS([0]!PERSON_SENIORITY,$D22,[0]!PERSON_DEPARTMENT,L$20)</f>
        <v>#REF!</v>
      </c>
      <c r="M22" t="e">
        <f>COUNTIFS([0]!PERSON_SENIORITY,$D22,[0]!PERSON_DEPARTMENT,M$20)</f>
        <v>#REF!</v>
      </c>
      <c r="N22" t="e">
        <f>COUNTIFS([0]!PERSON_SENIORITY,$D22,[0]!PERSON_DEPARTMENT,N$20)</f>
        <v>#REF!</v>
      </c>
      <c r="O22" t="e">
        <f>COUNTIFS([0]!PERSON_SENIORITY,$D22,[0]!PERSON_DEPARTMENT,O$20)</f>
        <v>#REF!</v>
      </c>
    </row>
    <row r="23" spans="4:29" x14ac:dyDescent="0.3">
      <c r="E23" t="e">
        <f>COUNTIFS([0]!PERSON_SENIORITY,$D23,[0]!PERSON_DEPARTMENT,E$20)</f>
        <v>#REF!</v>
      </c>
      <c r="F23" t="e">
        <f>COUNTIFS([0]!PERSON_SENIORITY,$D23,[0]!PERSON_DEPARTMENT,F$20)</f>
        <v>#REF!</v>
      </c>
      <c r="G23" t="e">
        <f>COUNTIFS([0]!PERSON_SENIORITY,$D23,[0]!PERSON_DEPARTMENT,G$20)</f>
        <v>#REF!</v>
      </c>
      <c r="H23" t="e">
        <f>COUNTIFS([0]!PERSON_SENIORITY,$D23,[0]!PERSON_DEPARTMENT,H$20)</f>
        <v>#REF!</v>
      </c>
      <c r="I23" t="e">
        <f>COUNTIFS([0]!PERSON_SENIORITY,$D23,[0]!PERSON_DEPARTMENT,I$20)</f>
        <v>#REF!</v>
      </c>
      <c r="J23" t="e">
        <f>COUNTIFS([0]!PERSON_SENIORITY,$D23,[0]!PERSON_DEPARTMENT,J$20)</f>
        <v>#REF!</v>
      </c>
      <c r="K23" t="e">
        <f>COUNTIFS([0]!PERSON_SENIORITY,$D23,[0]!PERSON_DEPARTMENT,K$20)</f>
        <v>#REF!</v>
      </c>
      <c r="L23" t="e">
        <f>COUNTIFS([0]!PERSON_SENIORITY,$D23,[0]!PERSON_DEPARTMENT,L$20)</f>
        <v>#REF!</v>
      </c>
      <c r="M23" t="e">
        <f>COUNTIFS([0]!PERSON_SENIORITY,$D23,[0]!PERSON_DEPARTMENT,M$20)</f>
        <v>#REF!</v>
      </c>
      <c r="N23" t="e">
        <f>COUNTIFS([0]!PERSON_SENIORITY,$D23,[0]!PERSON_DEPARTMENT,N$20)</f>
        <v>#REF!</v>
      </c>
      <c r="O23" t="e">
        <f>COUNTIFS([0]!PERSON_SENIORITY,$D23,[0]!PERSON_DEPARTMENT,O$20)</f>
        <v>#REF!</v>
      </c>
    </row>
    <row r="24" spans="4:29" x14ac:dyDescent="0.3">
      <c r="E24" t="e">
        <f>COUNTIFS([0]!PERSON_SENIORITY,$D24,[0]!PERSON_DEPARTMENT,E$20)</f>
        <v>#REF!</v>
      </c>
      <c r="F24" t="e">
        <f>COUNTIFS([0]!PERSON_SENIORITY,$D24,[0]!PERSON_DEPARTMENT,F$20)</f>
        <v>#REF!</v>
      </c>
      <c r="G24" t="e">
        <f>COUNTIFS([0]!PERSON_SENIORITY,$D24,[0]!PERSON_DEPARTMENT,G$20)</f>
        <v>#REF!</v>
      </c>
      <c r="H24" t="e">
        <f>COUNTIFS([0]!PERSON_SENIORITY,$D24,[0]!PERSON_DEPARTMENT,H$20)</f>
        <v>#REF!</v>
      </c>
      <c r="I24" t="e">
        <f>COUNTIFS([0]!PERSON_SENIORITY,$D24,[0]!PERSON_DEPARTMENT,I$20)</f>
        <v>#REF!</v>
      </c>
      <c r="J24" t="e">
        <f>COUNTIFS([0]!PERSON_SENIORITY,$D24,[0]!PERSON_DEPARTMENT,J$20)</f>
        <v>#REF!</v>
      </c>
      <c r="K24" t="e">
        <f>COUNTIFS([0]!PERSON_SENIORITY,$D24,[0]!PERSON_DEPARTMENT,K$20)</f>
        <v>#REF!</v>
      </c>
      <c r="L24" t="e">
        <f>COUNTIFS([0]!PERSON_SENIORITY,$D24,[0]!PERSON_DEPARTMENT,L$20)</f>
        <v>#REF!</v>
      </c>
      <c r="M24" t="e">
        <f>COUNTIFS([0]!PERSON_SENIORITY,$D24,[0]!PERSON_DEPARTMENT,M$20)</f>
        <v>#REF!</v>
      </c>
      <c r="N24" t="e">
        <f>COUNTIFS([0]!PERSON_SENIORITY,$D24,[0]!PERSON_DEPARTMENT,N$20)</f>
        <v>#REF!</v>
      </c>
      <c r="O24" t="e">
        <f>COUNTIFS([0]!PERSON_SENIORITY,$D24,[0]!PERSON_DEPARTMENT,O$20)</f>
        <v>#REF!</v>
      </c>
    </row>
    <row r="25" spans="4:29" x14ac:dyDescent="0.3">
      <c r="E25" t="e">
        <f>COUNTIFS([0]!PERSON_SENIORITY,$D25,[0]!PERSON_DEPARTMENT,E$20)</f>
        <v>#REF!</v>
      </c>
      <c r="F25" t="e">
        <f>COUNTIFS([0]!PERSON_SENIORITY,$D25,[0]!PERSON_DEPARTMENT,F$20)</f>
        <v>#REF!</v>
      </c>
      <c r="G25" t="e">
        <f>COUNTIFS([0]!PERSON_SENIORITY,$D25,[0]!PERSON_DEPARTMENT,G$20)</f>
        <v>#REF!</v>
      </c>
      <c r="H25" t="e">
        <f>COUNTIFS([0]!PERSON_SENIORITY,$D25,[0]!PERSON_DEPARTMENT,H$20)</f>
        <v>#REF!</v>
      </c>
      <c r="I25" t="e">
        <f>COUNTIFS([0]!PERSON_SENIORITY,$D25,[0]!PERSON_DEPARTMENT,I$20)</f>
        <v>#REF!</v>
      </c>
      <c r="J25" t="e">
        <f>COUNTIFS([0]!PERSON_SENIORITY,$D25,[0]!PERSON_DEPARTMENT,J$20)</f>
        <v>#REF!</v>
      </c>
      <c r="K25" t="e">
        <f>COUNTIFS([0]!PERSON_SENIORITY,$D25,[0]!PERSON_DEPARTMENT,K$20)</f>
        <v>#REF!</v>
      </c>
      <c r="L25" t="e">
        <f>COUNTIFS([0]!PERSON_SENIORITY,$D25,[0]!PERSON_DEPARTMENT,L$20)</f>
        <v>#REF!</v>
      </c>
      <c r="M25" t="e">
        <f>COUNTIFS([0]!PERSON_SENIORITY,$D25,[0]!PERSON_DEPARTMENT,M$20)</f>
        <v>#REF!</v>
      </c>
      <c r="N25" t="e">
        <f>COUNTIFS([0]!PERSON_SENIORITY,$D25,[0]!PERSON_DEPARTMENT,N$20)</f>
        <v>#REF!</v>
      </c>
      <c r="O25" t="e">
        <f>COUNTIFS([0]!PERSON_SENIORITY,$D25,[0]!PERSON_DEPARTMENT,O$20)</f>
        <v>#REF!</v>
      </c>
    </row>
    <row r="26" spans="4:29" x14ac:dyDescent="0.3">
      <c r="E26" t="e">
        <f>COUNTIFS([0]!PERSON_SENIORITY,$D26,[0]!PERSON_DEPARTMENT,E$20)</f>
        <v>#REF!</v>
      </c>
      <c r="F26" t="e">
        <f>COUNTIFS([0]!PERSON_SENIORITY,$D26,[0]!PERSON_DEPARTMENT,F$20)</f>
        <v>#REF!</v>
      </c>
      <c r="G26" t="e">
        <f>COUNTIFS([0]!PERSON_SENIORITY,$D26,[0]!PERSON_DEPARTMENT,G$20)</f>
        <v>#REF!</v>
      </c>
      <c r="H26" t="e">
        <f>COUNTIFS([0]!PERSON_SENIORITY,$D26,[0]!PERSON_DEPARTMENT,H$20)</f>
        <v>#REF!</v>
      </c>
      <c r="I26" t="e">
        <f>COUNTIFS([0]!PERSON_SENIORITY,$D26,[0]!PERSON_DEPARTMENT,I$20)</f>
        <v>#REF!</v>
      </c>
      <c r="J26" t="e">
        <f>COUNTIFS([0]!PERSON_SENIORITY,$D26,[0]!PERSON_DEPARTMENT,J$20)</f>
        <v>#REF!</v>
      </c>
      <c r="K26" t="e">
        <f>COUNTIFS([0]!PERSON_SENIORITY,$D26,[0]!PERSON_DEPARTMENT,K$20)</f>
        <v>#REF!</v>
      </c>
      <c r="L26" t="e">
        <f>COUNTIFS([0]!PERSON_SENIORITY,$D26,[0]!PERSON_DEPARTMENT,L$20)</f>
        <v>#REF!</v>
      </c>
      <c r="M26" t="e">
        <f>COUNTIFS([0]!PERSON_SENIORITY,$D26,[0]!PERSON_DEPARTMENT,M$20)</f>
        <v>#REF!</v>
      </c>
      <c r="N26" t="e">
        <f>COUNTIFS([0]!PERSON_SENIORITY,$D26,[0]!PERSON_DEPARTMENT,N$20)</f>
        <v>#REF!</v>
      </c>
      <c r="O26" t="e">
        <f>COUNTIFS([0]!PERSON_SENIORITY,$D26,[0]!PERSON_DEPARTMENT,O$20)</f>
        <v>#REF!</v>
      </c>
    </row>
    <row r="27" spans="4:29" x14ac:dyDescent="0.3">
      <c r="E27" t="e">
        <f>COUNTIFS([0]!PERSON_SENIORITY,$D27,[0]!PERSON_DEPARTMENT,E$20)</f>
        <v>#REF!</v>
      </c>
      <c r="F27" t="e">
        <f>COUNTIFS([0]!PERSON_SENIORITY,$D27,[0]!PERSON_DEPARTMENT,F$20)</f>
        <v>#REF!</v>
      </c>
      <c r="G27" t="e">
        <f>COUNTIFS([0]!PERSON_SENIORITY,$D27,[0]!PERSON_DEPARTMENT,G$20)</f>
        <v>#REF!</v>
      </c>
      <c r="H27" t="e">
        <f>COUNTIFS([0]!PERSON_SENIORITY,$D27,[0]!PERSON_DEPARTMENT,H$20)</f>
        <v>#REF!</v>
      </c>
      <c r="I27" t="e">
        <f>COUNTIFS([0]!PERSON_SENIORITY,$D27,[0]!PERSON_DEPARTMENT,I$20)</f>
        <v>#REF!</v>
      </c>
      <c r="J27" t="e">
        <f>COUNTIFS([0]!PERSON_SENIORITY,$D27,[0]!PERSON_DEPARTMENT,J$20)</f>
        <v>#REF!</v>
      </c>
      <c r="K27" t="e">
        <f>COUNTIFS([0]!PERSON_SENIORITY,$D27,[0]!PERSON_DEPARTMENT,K$20)</f>
        <v>#REF!</v>
      </c>
      <c r="L27" t="e">
        <f>COUNTIFS([0]!PERSON_SENIORITY,$D27,[0]!PERSON_DEPARTMENT,L$20)</f>
        <v>#REF!</v>
      </c>
      <c r="M27" t="e">
        <f>COUNTIFS([0]!PERSON_SENIORITY,$D27,[0]!PERSON_DEPARTMENT,M$20)</f>
        <v>#REF!</v>
      </c>
      <c r="N27" t="e">
        <f>COUNTIFS([0]!PERSON_SENIORITY,$D27,[0]!PERSON_DEPARTMENT,N$20)</f>
        <v>#REF!</v>
      </c>
      <c r="O27" t="e">
        <f>COUNTIFS([0]!PERSON_SENIORITY,$D27,[0]!PERSON_DEPARTMENT,O$20)</f>
        <v>#REF!</v>
      </c>
    </row>
    <row r="31" spans="4:29" x14ac:dyDescent="0.3">
      <c r="E31" t="e" cm="1">
        <f t="array" ref="E31">TRANSPOSE(_xlfn.UNIQUE([0]!PERSON_SUB_DEPARTMENT))</f>
        <v>#REF!</v>
      </c>
    </row>
    <row r="32" spans="4:29" x14ac:dyDescent="0.3">
      <c r="D32" t="e" cm="1">
        <f t="array" ref="D32">_xlfn.UNIQUE([0]!PERSON_SENIORITY)</f>
        <v>#REF!</v>
      </c>
      <c r="E32" t="e">
        <f>COUNTIFS([0]!PERSON_SENIORITY,$D32,[0]!PERSON_SUB_DEPARTMENT,E$31)</f>
        <v>#REF!</v>
      </c>
      <c r="F32" t="e">
        <f>COUNTIFS([0]!PERSON_SENIORITY,$D32,[0]!PERSON_SUB_DEPARTMENT,F$31)</f>
        <v>#REF!</v>
      </c>
      <c r="G32" t="e">
        <f>COUNTIFS([0]!PERSON_SENIORITY,$D32,[0]!PERSON_SUB_DEPARTMENT,G$31)</f>
        <v>#REF!</v>
      </c>
      <c r="H32" t="e">
        <f>COUNTIFS([0]!PERSON_SENIORITY,$D32,[0]!PERSON_SUB_DEPARTMENT,H$31)</f>
        <v>#REF!</v>
      </c>
      <c r="I32" t="e">
        <f>COUNTIFS([0]!PERSON_SENIORITY,$D32,[0]!PERSON_SUB_DEPARTMENT,I$31)</f>
        <v>#REF!</v>
      </c>
      <c r="J32" t="e">
        <f>COUNTIFS([0]!PERSON_SENIORITY,$D32,[0]!PERSON_SUB_DEPARTMENT,J$31)</f>
        <v>#REF!</v>
      </c>
      <c r="K32" t="e">
        <f>COUNTIFS([0]!PERSON_SENIORITY,$D32,[0]!PERSON_SUB_DEPARTMENT,K$31)</f>
        <v>#REF!</v>
      </c>
      <c r="L32" t="e">
        <f>COUNTIFS([0]!PERSON_SENIORITY,$D32,[0]!PERSON_SUB_DEPARTMENT,L$31)</f>
        <v>#REF!</v>
      </c>
      <c r="M32" t="e">
        <f>COUNTIFS([0]!PERSON_SENIORITY,$D32,[0]!PERSON_SUB_DEPARTMENT,M$31)</f>
        <v>#REF!</v>
      </c>
      <c r="N32" t="e">
        <f>COUNTIFS([0]!PERSON_SENIORITY,$D32,[0]!PERSON_SUB_DEPARTMENT,N$31)</f>
        <v>#REF!</v>
      </c>
      <c r="O32" t="e">
        <f>COUNTIFS([0]!PERSON_SENIORITY,$D32,[0]!PERSON_SUB_DEPARTMENT,O$31)</f>
        <v>#REF!</v>
      </c>
      <c r="P32" t="e">
        <f>COUNTIFS([0]!PERSON_SENIORITY,$D32,[0]!PERSON_SUB_DEPARTMENT,P$31)</f>
        <v>#REF!</v>
      </c>
      <c r="Q32" t="e">
        <f>COUNTIFS([0]!PERSON_SENIORITY,$D32,[0]!PERSON_SUB_DEPARTMENT,Q$31)</f>
        <v>#REF!</v>
      </c>
      <c r="R32" t="e">
        <f>COUNTIFS([0]!PERSON_SENIORITY,$D32,[0]!PERSON_SUB_DEPARTMENT,R$31)</f>
        <v>#REF!</v>
      </c>
      <c r="S32" t="e">
        <f>COUNTIFS([0]!PERSON_SENIORITY,$D32,[0]!PERSON_SUB_DEPARTMENT,S$31)</f>
        <v>#REF!</v>
      </c>
      <c r="T32" t="e">
        <f>COUNTIFS([0]!PERSON_SENIORITY,$D32,[0]!PERSON_SUB_DEPARTMENT,T$31)</f>
        <v>#REF!</v>
      </c>
      <c r="U32" t="e">
        <f>COUNTIFS([0]!PERSON_SENIORITY,$D32,[0]!PERSON_SUB_DEPARTMENT,U$31)</f>
        <v>#REF!</v>
      </c>
      <c r="V32" t="e">
        <f>COUNTIFS([0]!PERSON_SENIORITY,$D32,[0]!PERSON_SUB_DEPARTMENT,V$31)</f>
        <v>#REF!</v>
      </c>
      <c r="W32" t="e">
        <f>COUNTIFS([0]!PERSON_SENIORITY,$D32,[0]!PERSON_SUB_DEPARTMENT,W$31)</f>
        <v>#REF!</v>
      </c>
      <c r="X32" t="e">
        <f>COUNTIFS([0]!PERSON_SENIORITY,$D32,[0]!PERSON_SUB_DEPARTMENT,X$31)</f>
        <v>#REF!</v>
      </c>
      <c r="Y32" t="e">
        <f>COUNTIFS([0]!PERSON_SENIORITY,$D32,[0]!PERSON_SUB_DEPARTMENT,Y$31)</f>
        <v>#REF!</v>
      </c>
      <c r="Z32" t="e">
        <f>COUNTIFS([0]!PERSON_SENIORITY,$D32,[0]!PERSON_SUB_DEPARTMENT,Z$31)</f>
        <v>#REF!</v>
      </c>
      <c r="AA32" t="e">
        <f>COUNTIFS([0]!PERSON_SENIORITY,$D32,[0]!PERSON_SUB_DEPARTMENT,AA$31)</f>
        <v>#REF!</v>
      </c>
      <c r="AB32" t="e">
        <f>COUNTIFS([0]!PERSON_SENIORITY,$D32,[0]!PERSON_SUB_DEPARTMENT,AB$31)</f>
        <v>#REF!</v>
      </c>
      <c r="AC32" t="e">
        <f>COUNTIFS([0]!PERSON_SENIORITY,$D32,[0]!PERSON_SUB_DEPARTMENT,AC$31)</f>
        <v>#REF!</v>
      </c>
    </row>
    <row r="33" spans="5:29" x14ac:dyDescent="0.3">
      <c r="E33" t="e">
        <f>COUNTIFS([0]!PERSON_SENIORITY,$D33,[0]!PERSON_SUB_DEPARTMENT,E$31)</f>
        <v>#REF!</v>
      </c>
      <c r="F33" t="e">
        <f>COUNTIFS([0]!PERSON_SENIORITY,$D33,[0]!PERSON_SUB_DEPARTMENT,F$31)</f>
        <v>#REF!</v>
      </c>
      <c r="G33" t="e">
        <f>COUNTIFS([0]!PERSON_SENIORITY,$D33,[0]!PERSON_SUB_DEPARTMENT,G$31)</f>
        <v>#REF!</v>
      </c>
      <c r="H33" t="e">
        <f>COUNTIFS([0]!PERSON_SENIORITY,$D33,[0]!PERSON_SUB_DEPARTMENT,H$31)</f>
        <v>#REF!</v>
      </c>
      <c r="I33" t="e">
        <f>COUNTIFS([0]!PERSON_SENIORITY,$D33,[0]!PERSON_SUB_DEPARTMENT,I$31)</f>
        <v>#REF!</v>
      </c>
      <c r="J33" t="e">
        <f>COUNTIFS([0]!PERSON_SENIORITY,$D33,[0]!PERSON_SUB_DEPARTMENT,J$31)</f>
        <v>#REF!</v>
      </c>
      <c r="K33" t="e">
        <f>COUNTIFS([0]!PERSON_SENIORITY,$D33,[0]!PERSON_SUB_DEPARTMENT,K$31)</f>
        <v>#REF!</v>
      </c>
      <c r="L33" t="e">
        <f>COUNTIFS([0]!PERSON_SENIORITY,$D33,[0]!PERSON_SUB_DEPARTMENT,L$31)</f>
        <v>#REF!</v>
      </c>
      <c r="M33" t="e">
        <f>COUNTIFS([0]!PERSON_SENIORITY,$D33,[0]!PERSON_SUB_DEPARTMENT,M$31)</f>
        <v>#REF!</v>
      </c>
      <c r="N33" t="e">
        <f>COUNTIFS([0]!PERSON_SENIORITY,$D33,[0]!PERSON_SUB_DEPARTMENT,N$31)</f>
        <v>#REF!</v>
      </c>
      <c r="O33" t="e">
        <f>COUNTIFS([0]!PERSON_SENIORITY,$D33,[0]!PERSON_SUB_DEPARTMENT,O$31)</f>
        <v>#REF!</v>
      </c>
      <c r="P33" t="e">
        <f>COUNTIFS([0]!PERSON_SENIORITY,$D33,[0]!PERSON_SUB_DEPARTMENT,P$31)</f>
        <v>#REF!</v>
      </c>
      <c r="Q33" t="e">
        <f>COUNTIFS([0]!PERSON_SENIORITY,$D33,[0]!PERSON_SUB_DEPARTMENT,Q$31)</f>
        <v>#REF!</v>
      </c>
      <c r="R33" t="e">
        <f>COUNTIFS([0]!PERSON_SENIORITY,$D33,[0]!PERSON_SUB_DEPARTMENT,R$31)</f>
        <v>#REF!</v>
      </c>
      <c r="S33" t="e">
        <f>COUNTIFS([0]!PERSON_SENIORITY,$D33,[0]!PERSON_SUB_DEPARTMENT,S$31)</f>
        <v>#REF!</v>
      </c>
      <c r="T33" t="e">
        <f>COUNTIFS([0]!PERSON_SENIORITY,$D33,[0]!PERSON_SUB_DEPARTMENT,T$31)</f>
        <v>#REF!</v>
      </c>
      <c r="U33" t="e">
        <f>COUNTIFS([0]!PERSON_SENIORITY,$D33,[0]!PERSON_SUB_DEPARTMENT,U$31)</f>
        <v>#REF!</v>
      </c>
      <c r="V33" t="e">
        <f>COUNTIFS([0]!PERSON_SENIORITY,$D33,[0]!PERSON_SUB_DEPARTMENT,V$31)</f>
        <v>#REF!</v>
      </c>
      <c r="W33" t="e">
        <f>COUNTIFS([0]!PERSON_SENIORITY,$D33,[0]!PERSON_SUB_DEPARTMENT,W$31)</f>
        <v>#REF!</v>
      </c>
      <c r="X33" t="e">
        <f>COUNTIFS([0]!PERSON_SENIORITY,$D33,[0]!PERSON_SUB_DEPARTMENT,X$31)</f>
        <v>#REF!</v>
      </c>
      <c r="Y33" t="e">
        <f>COUNTIFS([0]!PERSON_SENIORITY,$D33,[0]!PERSON_SUB_DEPARTMENT,Y$31)</f>
        <v>#REF!</v>
      </c>
      <c r="Z33" t="e">
        <f>COUNTIFS([0]!PERSON_SENIORITY,$D33,[0]!PERSON_SUB_DEPARTMENT,Z$31)</f>
        <v>#REF!</v>
      </c>
      <c r="AA33" t="e">
        <f>COUNTIFS([0]!PERSON_SENIORITY,$D33,[0]!PERSON_SUB_DEPARTMENT,AA$31)</f>
        <v>#REF!</v>
      </c>
      <c r="AB33" t="e">
        <f>COUNTIFS([0]!PERSON_SENIORITY,$D33,[0]!PERSON_SUB_DEPARTMENT,AB$31)</f>
        <v>#REF!</v>
      </c>
      <c r="AC33" t="e">
        <f>COUNTIFS([0]!PERSON_SENIORITY,$D33,[0]!PERSON_SUB_DEPARTMENT,AC$31)</f>
        <v>#REF!</v>
      </c>
    </row>
    <row r="34" spans="5:29" x14ac:dyDescent="0.3">
      <c r="E34" t="e">
        <f>COUNTIFS([0]!PERSON_SENIORITY,$D34,[0]!PERSON_SUB_DEPARTMENT,E$31)</f>
        <v>#REF!</v>
      </c>
      <c r="F34" t="e">
        <f>COUNTIFS([0]!PERSON_SENIORITY,$D34,[0]!PERSON_SUB_DEPARTMENT,F$31)</f>
        <v>#REF!</v>
      </c>
      <c r="G34" t="e">
        <f>COUNTIFS([0]!PERSON_SENIORITY,$D34,[0]!PERSON_SUB_DEPARTMENT,G$31)</f>
        <v>#REF!</v>
      </c>
      <c r="H34" t="e">
        <f>COUNTIFS([0]!PERSON_SENIORITY,$D34,[0]!PERSON_SUB_DEPARTMENT,H$31)</f>
        <v>#REF!</v>
      </c>
      <c r="I34" t="e">
        <f>COUNTIFS([0]!PERSON_SENIORITY,$D34,[0]!PERSON_SUB_DEPARTMENT,I$31)</f>
        <v>#REF!</v>
      </c>
      <c r="J34" t="e">
        <f>COUNTIFS([0]!PERSON_SENIORITY,$D34,[0]!PERSON_SUB_DEPARTMENT,J$31)</f>
        <v>#REF!</v>
      </c>
      <c r="K34" t="e">
        <f>COUNTIFS([0]!PERSON_SENIORITY,$D34,[0]!PERSON_SUB_DEPARTMENT,K$31)</f>
        <v>#REF!</v>
      </c>
      <c r="L34" t="e">
        <f>COUNTIFS([0]!PERSON_SENIORITY,$D34,[0]!PERSON_SUB_DEPARTMENT,L$31)</f>
        <v>#REF!</v>
      </c>
      <c r="M34" t="e">
        <f>COUNTIFS([0]!PERSON_SENIORITY,$D34,[0]!PERSON_SUB_DEPARTMENT,M$31)</f>
        <v>#REF!</v>
      </c>
      <c r="N34" t="e">
        <f>COUNTIFS([0]!PERSON_SENIORITY,$D34,[0]!PERSON_SUB_DEPARTMENT,N$31)</f>
        <v>#REF!</v>
      </c>
      <c r="O34" t="e">
        <f>COUNTIFS([0]!PERSON_SENIORITY,$D34,[0]!PERSON_SUB_DEPARTMENT,O$31)</f>
        <v>#REF!</v>
      </c>
      <c r="P34" t="e">
        <f>COUNTIFS([0]!PERSON_SENIORITY,$D34,[0]!PERSON_SUB_DEPARTMENT,P$31)</f>
        <v>#REF!</v>
      </c>
      <c r="Q34" t="e">
        <f>COUNTIFS([0]!PERSON_SENIORITY,$D34,[0]!PERSON_SUB_DEPARTMENT,Q$31)</f>
        <v>#REF!</v>
      </c>
      <c r="R34" t="e">
        <f>COUNTIFS([0]!PERSON_SENIORITY,$D34,[0]!PERSON_SUB_DEPARTMENT,R$31)</f>
        <v>#REF!</v>
      </c>
      <c r="S34" t="e">
        <f>COUNTIFS([0]!PERSON_SENIORITY,$D34,[0]!PERSON_SUB_DEPARTMENT,S$31)</f>
        <v>#REF!</v>
      </c>
      <c r="T34" t="e">
        <f>COUNTIFS([0]!PERSON_SENIORITY,$D34,[0]!PERSON_SUB_DEPARTMENT,T$31)</f>
        <v>#REF!</v>
      </c>
      <c r="U34" t="e">
        <f>COUNTIFS([0]!PERSON_SENIORITY,$D34,[0]!PERSON_SUB_DEPARTMENT,U$31)</f>
        <v>#REF!</v>
      </c>
      <c r="V34" t="e">
        <f>COUNTIFS([0]!PERSON_SENIORITY,$D34,[0]!PERSON_SUB_DEPARTMENT,V$31)</f>
        <v>#REF!</v>
      </c>
      <c r="W34" t="e">
        <f>COUNTIFS([0]!PERSON_SENIORITY,$D34,[0]!PERSON_SUB_DEPARTMENT,W$31)</f>
        <v>#REF!</v>
      </c>
      <c r="X34" t="e">
        <f>COUNTIFS([0]!PERSON_SENIORITY,$D34,[0]!PERSON_SUB_DEPARTMENT,X$31)</f>
        <v>#REF!</v>
      </c>
      <c r="Y34" t="e">
        <f>COUNTIFS([0]!PERSON_SENIORITY,$D34,[0]!PERSON_SUB_DEPARTMENT,Y$31)</f>
        <v>#REF!</v>
      </c>
      <c r="Z34" t="e">
        <f>COUNTIFS([0]!PERSON_SENIORITY,$D34,[0]!PERSON_SUB_DEPARTMENT,Z$31)</f>
        <v>#REF!</v>
      </c>
      <c r="AA34" t="e">
        <f>COUNTIFS([0]!PERSON_SENIORITY,$D34,[0]!PERSON_SUB_DEPARTMENT,AA$31)</f>
        <v>#REF!</v>
      </c>
      <c r="AB34" t="e">
        <f>COUNTIFS([0]!PERSON_SENIORITY,$D34,[0]!PERSON_SUB_DEPARTMENT,AB$31)</f>
        <v>#REF!</v>
      </c>
      <c r="AC34" t="e">
        <f>COUNTIFS([0]!PERSON_SENIORITY,$D34,[0]!PERSON_SUB_DEPARTMENT,AC$31)</f>
        <v>#REF!</v>
      </c>
    </row>
    <row r="35" spans="5:29" x14ac:dyDescent="0.3">
      <c r="E35" t="e">
        <f>COUNTIFS([0]!PERSON_SENIORITY,$D35,[0]!PERSON_SUB_DEPARTMENT,E$31)</f>
        <v>#REF!</v>
      </c>
      <c r="F35" t="e">
        <f>COUNTIFS([0]!PERSON_SENIORITY,$D35,[0]!PERSON_SUB_DEPARTMENT,F$31)</f>
        <v>#REF!</v>
      </c>
      <c r="G35" t="e">
        <f>COUNTIFS([0]!PERSON_SENIORITY,$D35,[0]!PERSON_SUB_DEPARTMENT,G$31)</f>
        <v>#REF!</v>
      </c>
      <c r="H35" t="e">
        <f>COUNTIFS([0]!PERSON_SENIORITY,$D35,[0]!PERSON_SUB_DEPARTMENT,H$31)</f>
        <v>#REF!</v>
      </c>
      <c r="I35" t="e">
        <f>COUNTIFS([0]!PERSON_SENIORITY,$D35,[0]!PERSON_SUB_DEPARTMENT,I$31)</f>
        <v>#REF!</v>
      </c>
      <c r="J35" t="e">
        <f>COUNTIFS([0]!PERSON_SENIORITY,$D35,[0]!PERSON_SUB_DEPARTMENT,J$31)</f>
        <v>#REF!</v>
      </c>
      <c r="K35" t="e">
        <f>COUNTIFS([0]!PERSON_SENIORITY,$D35,[0]!PERSON_SUB_DEPARTMENT,K$31)</f>
        <v>#REF!</v>
      </c>
      <c r="L35" t="e">
        <f>COUNTIFS([0]!PERSON_SENIORITY,$D35,[0]!PERSON_SUB_DEPARTMENT,L$31)</f>
        <v>#REF!</v>
      </c>
      <c r="M35" t="e">
        <f>COUNTIFS([0]!PERSON_SENIORITY,$D35,[0]!PERSON_SUB_DEPARTMENT,M$31)</f>
        <v>#REF!</v>
      </c>
      <c r="N35" t="e">
        <f>COUNTIFS([0]!PERSON_SENIORITY,$D35,[0]!PERSON_SUB_DEPARTMENT,N$31)</f>
        <v>#REF!</v>
      </c>
      <c r="O35" t="e">
        <f>COUNTIFS([0]!PERSON_SENIORITY,$D35,[0]!PERSON_SUB_DEPARTMENT,O$31)</f>
        <v>#REF!</v>
      </c>
      <c r="P35" t="e">
        <f>COUNTIFS([0]!PERSON_SENIORITY,$D35,[0]!PERSON_SUB_DEPARTMENT,P$31)</f>
        <v>#REF!</v>
      </c>
      <c r="Q35" t="e">
        <f>COUNTIFS([0]!PERSON_SENIORITY,$D35,[0]!PERSON_SUB_DEPARTMENT,Q$31)</f>
        <v>#REF!</v>
      </c>
      <c r="R35" t="e">
        <f>COUNTIFS([0]!PERSON_SENIORITY,$D35,[0]!PERSON_SUB_DEPARTMENT,R$31)</f>
        <v>#REF!</v>
      </c>
      <c r="S35" t="e">
        <f>COUNTIFS([0]!PERSON_SENIORITY,$D35,[0]!PERSON_SUB_DEPARTMENT,S$31)</f>
        <v>#REF!</v>
      </c>
      <c r="T35" t="e">
        <f>COUNTIFS([0]!PERSON_SENIORITY,$D35,[0]!PERSON_SUB_DEPARTMENT,T$31)</f>
        <v>#REF!</v>
      </c>
      <c r="U35" t="e">
        <f>COUNTIFS([0]!PERSON_SENIORITY,$D35,[0]!PERSON_SUB_DEPARTMENT,U$31)</f>
        <v>#REF!</v>
      </c>
      <c r="V35" t="e">
        <f>COUNTIFS([0]!PERSON_SENIORITY,$D35,[0]!PERSON_SUB_DEPARTMENT,V$31)</f>
        <v>#REF!</v>
      </c>
      <c r="W35" t="e">
        <f>COUNTIFS([0]!PERSON_SENIORITY,$D35,[0]!PERSON_SUB_DEPARTMENT,W$31)</f>
        <v>#REF!</v>
      </c>
      <c r="X35" t="e">
        <f>COUNTIFS([0]!PERSON_SENIORITY,$D35,[0]!PERSON_SUB_DEPARTMENT,X$31)</f>
        <v>#REF!</v>
      </c>
      <c r="Y35" t="e">
        <f>COUNTIFS([0]!PERSON_SENIORITY,$D35,[0]!PERSON_SUB_DEPARTMENT,Y$31)</f>
        <v>#REF!</v>
      </c>
      <c r="Z35" t="e">
        <f>COUNTIFS([0]!PERSON_SENIORITY,$D35,[0]!PERSON_SUB_DEPARTMENT,Z$31)</f>
        <v>#REF!</v>
      </c>
      <c r="AA35" t="e">
        <f>COUNTIFS([0]!PERSON_SENIORITY,$D35,[0]!PERSON_SUB_DEPARTMENT,AA$31)</f>
        <v>#REF!</v>
      </c>
      <c r="AB35" t="e">
        <f>COUNTIFS([0]!PERSON_SENIORITY,$D35,[0]!PERSON_SUB_DEPARTMENT,AB$31)</f>
        <v>#REF!</v>
      </c>
      <c r="AC35" t="e">
        <f>COUNTIFS([0]!PERSON_SENIORITY,$D35,[0]!PERSON_SUB_DEPARTMENT,AC$31)</f>
        <v>#REF!</v>
      </c>
    </row>
    <row r="36" spans="5:29" x14ac:dyDescent="0.3">
      <c r="E36" t="e">
        <f>COUNTIFS([0]!PERSON_SENIORITY,$D36,[0]!PERSON_SUB_DEPARTMENT,E$31)</f>
        <v>#REF!</v>
      </c>
      <c r="F36" t="e">
        <f>COUNTIFS([0]!PERSON_SENIORITY,$D36,[0]!PERSON_SUB_DEPARTMENT,F$31)</f>
        <v>#REF!</v>
      </c>
      <c r="G36" t="e">
        <f>COUNTIFS([0]!PERSON_SENIORITY,$D36,[0]!PERSON_SUB_DEPARTMENT,G$31)</f>
        <v>#REF!</v>
      </c>
      <c r="H36" t="e">
        <f>COUNTIFS([0]!PERSON_SENIORITY,$D36,[0]!PERSON_SUB_DEPARTMENT,H$31)</f>
        <v>#REF!</v>
      </c>
      <c r="I36" t="e">
        <f>COUNTIFS([0]!PERSON_SENIORITY,$D36,[0]!PERSON_SUB_DEPARTMENT,I$31)</f>
        <v>#REF!</v>
      </c>
      <c r="J36" t="e">
        <f>COUNTIFS([0]!PERSON_SENIORITY,$D36,[0]!PERSON_SUB_DEPARTMENT,J$31)</f>
        <v>#REF!</v>
      </c>
      <c r="K36" t="e">
        <f>COUNTIFS([0]!PERSON_SENIORITY,$D36,[0]!PERSON_SUB_DEPARTMENT,K$31)</f>
        <v>#REF!</v>
      </c>
      <c r="L36" t="e">
        <f>COUNTIFS([0]!PERSON_SENIORITY,$D36,[0]!PERSON_SUB_DEPARTMENT,L$31)</f>
        <v>#REF!</v>
      </c>
      <c r="M36" t="e">
        <f>COUNTIFS([0]!PERSON_SENIORITY,$D36,[0]!PERSON_SUB_DEPARTMENT,M$31)</f>
        <v>#REF!</v>
      </c>
      <c r="N36" t="e">
        <f>COUNTIFS([0]!PERSON_SENIORITY,$D36,[0]!PERSON_SUB_DEPARTMENT,N$31)</f>
        <v>#REF!</v>
      </c>
      <c r="O36" t="e">
        <f>COUNTIFS([0]!PERSON_SENIORITY,$D36,[0]!PERSON_SUB_DEPARTMENT,O$31)</f>
        <v>#REF!</v>
      </c>
      <c r="P36" t="e">
        <f>COUNTIFS([0]!PERSON_SENIORITY,$D36,[0]!PERSON_SUB_DEPARTMENT,P$31)</f>
        <v>#REF!</v>
      </c>
      <c r="Q36" t="e">
        <f>COUNTIFS([0]!PERSON_SENIORITY,$D36,[0]!PERSON_SUB_DEPARTMENT,Q$31)</f>
        <v>#REF!</v>
      </c>
      <c r="R36" t="e">
        <f>COUNTIFS([0]!PERSON_SENIORITY,$D36,[0]!PERSON_SUB_DEPARTMENT,R$31)</f>
        <v>#REF!</v>
      </c>
      <c r="S36" t="e">
        <f>COUNTIFS([0]!PERSON_SENIORITY,$D36,[0]!PERSON_SUB_DEPARTMENT,S$31)</f>
        <v>#REF!</v>
      </c>
      <c r="T36" t="e">
        <f>COUNTIFS([0]!PERSON_SENIORITY,$D36,[0]!PERSON_SUB_DEPARTMENT,T$31)</f>
        <v>#REF!</v>
      </c>
      <c r="U36" t="e">
        <f>COUNTIFS([0]!PERSON_SENIORITY,$D36,[0]!PERSON_SUB_DEPARTMENT,U$31)</f>
        <v>#REF!</v>
      </c>
      <c r="V36" t="e">
        <f>COUNTIFS([0]!PERSON_SENIORITY,$D36,[0]!PERSON_SUB_DEPARTMENT,V$31)</f>
        <v>#REF!</v>
      </c>
      <c r="W36" t="e">
        <f>COUNTIFS([0]!PERSON_SENIORITY,$D36,[0]!PERSON_SUB_DEPARTMENT,W$31)</f>
        <v>#REF!</v>
      </c>
      <c r="X36" t="e">
        <f>COUNTIFS([0]!PERSON_SENIORITY,$D36,[0]!PERSON_SUB_DEPARTMENT,X$31)</f>
        <v>#REF!</v>
      </c>
      <c r="Y36" t="e">
        <f>COUNTIFS([0]!PERSON_SENIORITY,$D36,[0]!PERSON_SUB_DEPARTMENT,Y$31)</f>
        <v>#REF!</v>
      </c>
      <c r="Z36" t="e">
        <f>COUNTIFS([0]!PERSON_SENIORITY,$D36,[0]!PERSON_SUB_DEPARTMENT,Z$31)</f>
        <v>#REF!</v>
      </c>
      <c r="AA36" t="e">
        <f>COUNTIFS([0]!PERSON_SENIORITY,$D36,[0]!PERSON_SUB_DEPARTMENT,AA$31)</f>
        <v>#REF!</v>
      </c>
      <c r="AB36" t="e">
        <f>COUNTIFS([0]!PERSON_SENIORITY,$D36,[0]!PERSON_SUB_DEPARTMENT,AB$31)</f>
        <v>#REF!</v>
      </c>
      <c r="AC36" t="e">
        <f>COUNTIFS([0]!PERSON_SENIORITY,$D36,[0]!PERSON_SUB_DEPARTMENT,AC$31)</f>
        <v>#REF!</v>
      </c>
    </row>
    <row r="37" spans="5:29" x14ac:dyDescent="0.3">
      <c r="E37" t="e">
        <f>COUNTIFS([0]!PERSON_SENIORITY,$D37,[0]!PERSON_SUB_DEPARTMENT,E$31)</f>
        <v>#REF!</v>
      </c>
      <c r="F37" t="e">
        <f>COUNTIFS([0]!PERSON_SENIORITY,$D37,[0]!PERSON_SUB_DEPARTMENT,F$31)</f>
        <v>#REF!</v>
      </c>
      <c r="G37" t="e">
        <f>COUNTIFS([0]!PERSON_SENIORITY,$D37,[0]!PERSON_SUB_DEPARTMENT,G$31)</f>
        <v>#REF!</v>
      </c>
      <c r="H37" t="e">
        <f>COUNTIFS([0]!PERSON_SENIORITY,$D37,[0]!PERSON_SUB_DEPARTMENT,H$31)</f>
        <v>#REF!</v>
      </c>
      <c r="I37" t="e">
        <f>COUNTIFS([0]!PERSON_SENIORITY,$D37,[0]!PERSON_SUB_DEPARTMENT,I$31)</f>
        <v>#REF!</v>
      </c>
      <c r="J37" t="e">
        <f>COUNTIFS([0]!PERSON_SENIORITY,$D37,[0]!PERSON_SUB_DEPARTMENT,J$31)</f>
        <v>#REF!</v>
      </c>
      <c r="K37" t="e">
        <f>COUNTIFS([0]!PERSON_SENIORITY,$D37,[0]!PERSON_SUB_DEPARTMENT,K$31)</f>
        <v>#REF!</v>
      </c>
      <c r="L37" t="e">
        <f>COUNTIFS([0]!PERSON_SENIORITY,$D37,[0]!PERSON_SUB_DEPARTMENT,L$31)</f>
        <v>#REF!</v>
      </c>
      <c r="M37" t="e">
        <f>COUNTIFS([0]!PERSON_SENIORITY,$D37,[0]!PERSON_SUB_DEPARTMENT,M$31)</f>
        <v>#REF!</v>
      </c>
      <c r="N37" t="e">
        <f>COUNTIFS([0]!PERSON_SENIORITY,$D37,[0]!PERSON_SUB_DEPARTMENT,N$31)</f>
        <v>#REF!</v>
      </c>
      <c r="O37" t="e">
        <f>COUNTIFS([0]!PERSON_SENIORITY,$D37,[0]!PERSON_SUB_DEPARTMENT,O$31)</f>
        <v>#REF!</v>
      </c>
      <c r="P37" t="e">
        <f>COUNTIFS([0]!PERSON_SENIORITY,$D37,[0]!PERSON_SUB_DEPARTMENT,P$31)</f>
        <v>#REF!</v>
      </c>
      <c r="Q37" t="e">
        <f>COUNTIFS([0]!PERSON_SENIORITY,$D37,[0]!PERSON_SUB_DEPARTMENT,Q$31)</f>
        <v>#REF!</v>
      </c>
      <c r="R37" t="e">
        <f>COUNTIFS([0]!PERSON_SENIORITY,$D37,[0]!PERSON_SUB_DEPARTMENT,R$31)</f>
        <v>#REF!</v>
      </c>
      <c r="S37" t="e">
        <f>COUNTIFS([0]!PERSON_SENIORITY,$D37,[0]!PERSON_SUB_DEPARTMENT,S$31)</f>
        <v>#REF!</v>
      </c>
      <c r="T37" t="e">
        <f>COUNTIFS([0]!PERSON_SENIORITY,$D37,[0]!PERSON_SUB_DEPARTMENT,T$31)</f>
        <v>#REF!</v>
      </c>
      <c r="U37" t="e">
        <f>COUNTIFS([0]!PERSON_SENIORITY,$D37,[0]!PERSON_SUB_DEPARTMENT,U$31)</f>
        <v>#REF!</v>
      </c>
      <c r="V37" t="e">
        <f>COUNTIFS([0]!PERSON_SENIORITY,$D37,[0]!PERSON_SUB_DEPARTMENT,V$31)</f>
        <v>#REF!</v>
      </c>
      <c r="W37" t="e">
        <f>COUNTIFS([0]!PERSON_SENIORITY,$D37,[0]!PERSON_SUB_DEPARTMENT,W$31)</f>
        <v>#REF!</v>
      </c>
      <c r="X37" t="e">
        <f>COUNTIFS([0]!PERSON_SENIORITY,$D37,[0]!PERSON_SUB_DEPARTMENT,X$31)</f>
        <v>#REF!</v>
      </c>
      <c r="Y37" t="e">
        <f>COUNTIFS([0]!PERSON_SENIORITY,$D37,[0]!PERSON_SUB_DEPARTMENT,Y$31)</f>
        <v>#REF!</v>
      </c>
      <c r="Z37" t="e">
        <f>COUNTIFS([0]!PERSON_SENIORITY,$D37,[0]!PERSON_SUB_DEPARTMENT,Z$31)</f>
        <v>#REF!</v>
      </c>
      <c r="AA37" t="e">
        <f>COUNTIFS([0]!PERSON_SENIORITY,$D37,[0]!PERSON_SUB_DEPARTMENT,AA$31)</f>
        <v>#REF!</v>
      </c>
      <c r="AB37" t="e">
        <f>COUNTIFS([0]!PERSON_SENIORITY,$D37,[0]!PERSON_SUB_DEPARTMENT,AB$31)</f>
        <v>#REF!</v>
      </c>
      <c r="AC37" t="e">
        <f>COUNTIFS([0]!PERSON_SENIORITY,$D37,[0]!PERSON_SUB_DEPARTMENT,AC$31)</f>
        <v>#REF!</v>
      </c>
    </row>
    <row r="38" spans="5:29" x14ac:dyDescent="0.3">
      <c r="E38" t="e">
        <f>COUNTIFS([0]!PERSON_SENIORITY,$D38,[0]!PERSON_SUB_DEPARTMENT,E$31)</f>
        <v>#REF!</v>
      </c>
      <c r="F38" t="e">
        <f>COUNTIFS([0]!PERSON_SENIORITY,$D38,[0]!PERSON_SUB_DEPARTMENT,F$31)</f>
        <v>#REF!</v>
      </c>
      <c r="G38" t="e">
        <f>COUNTIFS([0]!PERSON_SENIORITY,$D38,[0]!PERSON_SUB_DEPARTMENT,G$31)</f>
        <v>#REF!</v>
      </c>
      <c r="H38" t="e">
        <f>COUNTIFS([0]!PERSON_SENIORITY,$D38,[0]!PERSON_SUB_DEPARTMENT,H$31)</f>
        <v>#REF!</v>
      </c>
      <c r="I38" t="e">
        <f>COUNTIFS([0]!PERSON_SENIORITY,$D38,[0]!PERSON_SUB_DEPARTMENT,I$31)</f>
        <v>#REF!</v>
      </c>
      <c r="J38" t="e">
        <f>COUNTIFS([0]!PERSON_SENIORITY,$D38,[0]!PERSON_SUB_DEPARTMENT,J$31)</f>
        <v>#REF!</v>
      </c>
      <c r="K38" t="e">
        <f>COUNTIFS([0]!PERSON_SENIORITY,$D38,[0]!PERSON_SUB_DEPARTMENT,K$31)</f>
        <v>#REF!</v>
      </c>
      <c r="L38" t="e">
        <f>COUNTIFS([0]!PERSON_SENIORITY,$D38,[0]!PERSON_SUB_DEPARTMENT,L$31)</f>
        <v>#REF!</v>
      </c>
      <c r="M38" t="e">
        <f>COUNTIFS([0]!PERSON_SENIORITY,$D38,[0]!PERSON_SUB_DEPARTMENT,M$31)</f>
        <v>#REF!</v>
      </c>
      <c r="N38" t="e">
        <f>COUNTIFS([0]!PERSON_SENIORITY,$D38,[0]!PERSON_SUB_DEPARTMENT,N$31)</f>
        <v>#REF!</v>
      </c>
      <c r="O38" t="e">
        <f>COUNTIFS([0]!PERSON_SENIORITY,$D38,[0]!PERSON_SUB_DEPARTMENT,O$31)</f>
        <v>#REF!</v>
      </c>
      <c r="P38" t="e">
        <f>COUNTIFS([0]!PERSON_SENIORITY,$D38,[0]!PERSON_SUB_DEPARTMENT,P$31)</f>
        <v>#REF!</v>
      </c>
      <c r="Q38" t="e">
        <f>COUNTIFS([0]!PERSON_SENIORITY,$D38,[0]!PERSON_SUB_DEPARTMENT,Q$31)</f>
        <v>#REF!</v>
      </c>
      <c r="R38" t="e">
        <f>COUNTIFS([0]!PERSON_SENIORITY,$D38,[0]!PERSON_SUB_DEPARTMENT,R$31)</f>
        <v>#REF!</v>
      </c>
      <c r="S38" t="e">
        <f>COUNTIFS([0]!PERSON_SENIORITY,$D38,[0]!PERSON_SUB_DEPARTMENT,S$31)</f>
        <v>#REF!</v>
      </c>
      <c r="T38" t="e">
        <f>COUNTIFS([0]!PERSON_SENIORITY,$D38,[0]!PERSON_SUB_DEPARTMENT,T$31)</f>
        <v>#REF!</v>
      </c>
      <c r="U38" t="e">
        <f>COUNTIFS([0]!PERSON_SENIORITY,$D38,[0]!PERSON_SUB_DEPARTMENT,U$31)</f>
        <v>#REF!</v>
      </c>
      <c r="V38" t="e">
        <f>COUNTIFS([0]!PERSON_SENIORITY,$D38,[0]!PERSON_SUB_DEPARTMENT,V$31)</f>
        <v>#REF!</v>
      </c>
      <c r="W38" t="e">
        <f>COUNTIFS([0]!PERSON_SENIORITY,$D38,[0]!PERSON_SUB_DEPARTMENT,W$31)</f>
        <v>#REF!</v>
      </c>
      <c r="X38" t="e">
        <f>COUNTIFS([0]!PERSON_SENIORITY,$D38,[0]!PERSON_SUB_DEPARTMENT,X$31)</f>
        <v>#REF!</v>
      </c>
      <c r="Y38" t="e">
        <f>COUNTIFS([0]!PERSON_SENIORITY,$D38,[0]!PERSON_SUB_DEPARTMENT,Y$31)</f>
        <v>#REF!</v>
      </c>
      <c r="Z38" t="e">
        <f>COUNTIFS([0]!PERSON_SENIORITY,$D38,[0]!PERSON_SUB_DEPARTMENT,Z$31)</f>
        <v>#REF!</v>
      </c>
      <c r="AA38" t="e">
        <f>COUNTIFS([0]!PERSON_SENIORITY,$D38,[0]!PERSON_SUB_DEPARTMENT,AA$31)</f>
        <v>#REF!</v>
      </c>
      <c r="AB38" t="e">
        <f>COUNTIFS([0]!PERSON_SENIORITY,$D38,[0]!PERSON_SUB_DEPARTMENT,AB$31)</f>
        <v>#REF!</v>
      </c>
      <c r="AC38" t="e">
        <f>COUNTIFS([0]!PERSON_SENIORITY,$D38,[0]!PERSON_SUB_DEPARTMENT,AC$31)</f>
        <v>#REF!</v>
      </c>
    </row>
  </sheetData>
  <conditionalFormatting sqref="E10:K16 E21:O27 E32:AC38">
    <cfRule type="colorScale" priority="8">
      <colorScale>
        <cfvo type="min"/>
        <cfvo type="max"/>
        <color rgb="FFFCFCFF"/>
        <color rgb="FFF8696B"/>
      </colorScale>
    </cfRule>
  </conditionalFormatting>
  <conditionalFormatting sqref="E32:AC38">
    <cfRule type="colorScale" priority="7">
      <colorScale>
        <cfvo type="min"/>
        <cfvo type="max"/>
        <color rgb="FFFCFCFF"/>
        <color rgb="FFF8696B"/>
      </colorScale>
    </cfRule>
  </conditionalFormatting>
  <conditionalFormatting sqref="F22:O27">
    <cfRule type="colorScale" priority="6">
      <colorScale>
        <cfvo type="min"/>
        <cfvo type="max"/>
        <color rgb="FFFCFCFF"/>
        <color rgb="FFF8696B"/>
      </colorScale>
    </cfRule>
  </conditionalFormatting>
  <conditionalFormatting sqref="F11:K16">
    <cfRule type="colorScale" priority="5">
      <colorScale>
        <cfvo type="min"/>
        <cfvo type="max"/>
        <color rgb="FFFCFCFF"/>
        <color rgb="FFF8696B"/>
      </colorScale>
    </cfRule>
  </conditionalFormatting>
  <conditionalFormatting sqref="E10:K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min"/>
        <cfvo type="max"/>
        <color rgb="FFFCFCFF"/>
        <color rgb="FFF8696B"/>
      </colorScale>
    </cfRule>
  </conditionalFormatting>
  <conditionalFormatting sqref="E21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_A1" Type="http://schemas.openxmlformats.org/officeDocument/2006/relationships/image" Target="images/I_A1.png"/><Relationship Id="I_A6" Type="http://schemas.openxmlformats.org/officeDocument/2006/relationships/image" Target="images/I_A6.png"/><Relationship Id="I_B4" Type="http://schemas.openxmlformats.org/officeDocument/2006/relationships/image" Target="images/I_B4.png"/><Relationship Id="I_C2" Type="http://schemas.openxmlformats.org/officeDocument/2006/relationships/image" Target="images/I_C2.png"/><Relationship Id="I_D5" Type="http://schemas.openxmlformats.org/officeDocument/2006/relationships/image" Target="images/I_D5.png"/><Relationship Id="I_E3" Type="http://schemas.openxmlformats.org/officeDocument/2006/relationships/image" Target="images/I_E3.png"/><Relationship Id="I_F6" Type="http://schemas.openxmlformats.org/officeDocument/2006/relationships/image" Target="images/I_F6.png"/><Relationship Id="I_A5" Type="http://schemas.openxmlformats.org/officeDocument/2006/relationships/image" Target="images/I_A5.png"/><Relationship Id="I_C6" Type="http://schemas.openxmlformats.org/officeDocument/2006/relationships/image" Target="images/I_C6.png"/><Relationship Id="I_F1" Type="http://schemas.openxmlformats.org/officeDocument/2006/relationships/image" Target="images/I_F1.png"/><Relationship Id="I_B3" Type="http://schemas.openxmlformats.org/officeDocument/2006/relationships/image" Target="images/I_B3.png"/><Relationship Id="I_C1" Type="http://schemas.openxmlformats.org/officeDocument/2006/relationships/image" Target="images/I_C1.png"/><Relationship Id="I_D4" Type="http://schemas.openxmlformats.org/officeDocument/2006/relationships/image" Target="images/I_D4.png"/><Relationship Id="I_E2" Type="http://schemas.openxmlformats.org/officeDocument/2006/relationships/image" Target="images/I_E2.png"/><Relationship Id="I_F5" Type="http://schemas.openxmlformats.org/officeDocument/2006/relationships/image" Target="images/I_F5.png"/><Relationship Id="CA" Type="http://schemas.openxmlformats.org/officeDocument/2006/relationships/image" Target="images/CA.png"/><Relationship Id="I_A4" Type="http://schemas.openxmlformats.org/officeDocument/2006/relationships/image" Target="images/I_A4.png"/><Relationship Id="I_B2" Type="http://schemas.openxmlformats.org/officeDocument/2006/relationships/image" Target="images/I_B2.png"/><Relationship Id="I_C5" Type="http://schemas.openxmlformats.org/officeDocument/2006/relationships/image" Target="images/I_C5.png"/><Relationship Id="I_D3" Type="http://schemas.openxmlformats.org/officeDocument/2006/relationships/image" Target="images/I_D3.png"/><Relationship Id="I_E6" Type="http://schemas.openxmlformats.org/officeDocument/2006/relationships/image" Target="images/I_E6.png"/><Relationship Id="veloxemblem0" Type="http://schemas.openxmlformats.org/officeDocument/2006/relationships/image" Target="images/veloxemblem0.png"/><Relationship Id="I_B6" Type="http://schemas.openxmlformats.org/officeDocument/2006/relationships/image" Target="images/I_B6.png"/><Relationship Id="I_E1" Type="http://schemas.openxmlformats.org/officeDocument/2006/relationships/image" Target="images/I_E1.png"/><Relationship Id="I_F4" Type="http://schemas.openxmlformats.org/officeDocument/2006/relationships/image" Target="images/I_F4.png"/><Relationship Id="I_A3" Type="http://schemas.openxmlformats.org/officeDocument/2006/relationships/image" Target="images/I_A3.png"/><Relationship Id="I_B1" Type="http://schemas.openxmlformats.org/officeDocument/2006/relationships/image" Target="images/I_B1.png"/><Relationship Id="I_C4" Type="http://schemas.openxmlformats.org/officeDocument/2006/relationships/image" Target="images/I_C4.png"/><Relationship Id="I_D2" Type="http://schemas.openxmlformats.org/officeDocument/2006/relationships/image" Target="images/I_D2.png"/><Relationship Id="I_E5" Type="http://schemas.openxmlformats.org/officeDocument/2006/relationships/image" Target="images/I_E5.png"/><Relationship Id="I_F3" Type="http://schemas.openxmlformats.org/officeDocument/2006/relationships/image" Target="images/I_F3.png"/><Relationship Id="onedrive" Type="http://schemas.openxmlformats.org/officeDocument/2006/relationships/image" Target="images/onedrive.png"/><Relationship Id="I_A2" Type="http://schemas.openxmlformats.org/officeDocument/2006/relationships/image" Target="images/I_A2.png"/><Relationship Id="I_B5" Type="http://schemas.openxmlformats.org/officeDocument/2006/relationships/image" Target="images/I_B5.png"/><Relationship Id="I_D6" Type="http://schemas.openxmlformats.org/officeDocument/2006/relationships/image" Target="images/I_D6.png"/><Relationship Id="I_C3" Type="http://schemas.openxmlformats.org/officeDocument/2006/relationships/image" Target="images/I_C3.png"/><Relationship Id="I_D1" Type="http://schemas.openxmlformats.org/officeDocument/2006/relationships/image" Target="images/I_D1.png"/><Relationship Id="I_E4" Type="http://schemas.openxmlformats.org/officeDocument/2006/relationships/image" Target="images/I_E4.png"/><Relationship Id="I_F2" Type="http://schemas.openxmlformats.org/officeDocument/2006/relationships/image" Target="images/I_F2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2" label="Velox Data">
        <group id="grp_btns4" label=" ">
          <button id="btns_btn50" label="Refrsh" size="large" onAction="btns_onAction" image="I_B1" tag="runfunction_DV^RefreshQuery^"/>
        </group>
        <group id="Group1" label="    ">
          <comboBox id="Combo3" label="Database Files" getItemCount="Combo3_getItemCount" getItemID="Combo3_getItemID" getItemLabel="Combo3_getItemLabel" getText="Combo3_getText" onChange="Combo3_onChange" sizeString="xxxxXxxxxxxxxxxxxxxxxxxxxxxxxxxxxxxxxxxxxxxxxxxxxxxxxxxxxxxxxxxxxxxxxxxxx"/>
          <comboBox id="Combo4" label="Query Files" getItemCount="Combo3_getItemCount" getItemID="Combo3_getItemID" getItemLabel="Combo3_getItemLabel" getText="Combo3_getText" onChange="Combo3_onChange" sizeString="xxxxXxxxxxxxxxxxxxxxxxxxxxxxxxxxxxxxxxxxxxxxxxxxxxxxxxxxxxxxxxxxxxxxxxxxx"/>
        </group>
        <group id="Group2" label="    ">
          <!--https://bettersolutions.com/vba/ribbon/dropdown.htm-->
          <box id="MyBox1" boxStyle="horizontal">
            <labelControl id="lblCtrl_dummy2" label=" "/>
            <!--dropDown id="dropDown2" label="Settings_____" image ="I_D1" onAction="dropDown_onAction" getSelectedItemID="InitializeDropdown"-->
            <dropDown id="dropDown2" label="Settings_____" image="I_D1" onAction="dropDown_onAction">
              <item id="dev" label="Dev"/>
              <item id="prod" label="Prod"/>
            </dropDown>
          </box>
          <box id="MyBox2" boxStyle="horizontal">
            <labelControl id="lblCtrl_dummy3" label=" "/>
            <dropDown id="dropDown3" label="Sheet Mode" image="I_E1" onAction="dropDown_onAction">
              <!--dropDown id="dropDown3" label="Sheet Mode" image ="I_E1" onAction="dropDown_onAction" getSelectedItemID="InitializeDropdown"-->
              <item id="singlesheet" label="Single Sheet"/>
              <item id="movetosheet" label="Move to Sheet"/>
            </dropDown>
          </box>
          <box id="MyBox3" boxStyle="horizontal">
            <labelControl id="lblCtrl_dummy4" label=" "/>
            <dropDown id="dropDown4" label="Focus Mode" image="I_C1" onAction="dropDown_onAction">
              <!--dropDown id="dropDown4" label="Focus Mode" image ="I_C1" onAction="dropDown_onAction" getSelectedItemID="InitializeDropdown"-->
              <item id="dynamic" label="Dynamic Focus"/>
              <item id="manualfocus" label="Manual Focus"/>
            </dropDown>
          </box>
        </group>
      </tab>
      <tab id="tab5" label="Velox Admin">
        <group id="grp_btns_admin" label="vbautils Admin">
          <button id="btns_btn39" label="Show Tools" size="normal" onAction="btns_onAction" image="I_B1" tag="showtools_DV"/>
          <button id="btns_btn40" label="Hide Tools" size="normal" onAction="btns_onAction" image="I_B1" tag="hidetools_DV"/>
          <button id="btns_btn41" label="Show VBE" size="normal" onAction="btns_onAction" image="I_B1" tag="runfunction_DV^DisplayVbe^"/>
          <button id="btns_btn42" label="Run Rib Editor" size="normal" onAction="btns_onAction" image="I_B1" tag="runapp_ribboneditor^"/>
          <button id="btns_btn43" label="Kill Rib Editor" size="normal" onAction="btns_onAction" image="I_B1" tag="killapp_ribboneditor^"/>
          <button id="btns_btn44" label="Edit Newsletter" size="normal" onAction="btns_onAction" image="I_B1" tag="runapp_editnewsletter^"/>
          <button id="btns_btn45" label="Window On Top" size="normal" onAction="btns_onAction" image="I_B1" tag="runfunction_DV^SetXLOnTop^"/>
          <button id="btns_btn46" label="Window Normal" size="normal" onAction="btns_onAction" image="I_B1" tag="runfunction_DV^SetXLNormal^"/>
          <button id="btns_btn47" label="Reset Location" size="normal" onAction="btns_onAction" image="I_B1" tag="runfunction_DV^ResizeVBAUtilsWindow^"/>
          <button id="btns_btn48" label="Save Workbook" size="normal" onAction="btns_onAction" image="I_B1" tag="runfunction_DV^ThisWorkbook.CustomSave^DV.xlsm"/>
        </group>
        <group id="grp_btns" label="Actiobs">
          <box id="box1" boxStyle="vertical">
            <button id="btns_btn7" label="Enable Events" size="large" onAction="btns_onAction" image="I_A2" tag="runfunction_DV^SetEventsOn^"/>
            <button id="btns_btn10" label="Disable Events" size="large" onAction="btns_onAction" image="I_D2" tag="runfunction_DV^SetEventsOff^"/>
            <button id="btns_btn8" label="Export Modules" size="large" onAction="btns_onAction" image="I_B2" tag="runfunction_DV^ExportAllModules^"/>
            <button id="btns_btn11" label="Check In Changes" size="large" onAction="btns_onAction" image="I_D2" tag="runfunction_DV^CheckInChanges^DV.xlsm"/>
            <!--separator id="separator1"/-->
          </box>
        </group>
      </tab>
      <!--Hide Default Tabs-->
      <!--tab idMso="TabHome" visible="false" />
            <tab idMso="TabFil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<tab idMso="TabAutomate" visible="false" />
            <tab idMso="HelpTab" visible="false" />
            <tab idMso="AcrobatTab" visible="false" /--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Props1.xml><?xml version="1.0" encoding="utf-8"?>
<ds:datastoreItem xmlns:ds="http://schemas.openxmlformats.org/officeDocument/2006/customXml" ds:itemID="{D6BCBC6E-27A0-4C80-AE75-2D5D05AF9D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DC944C8-B814-4F38-9529-7D7EA44BE4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58DA46-36C9-4B9C-ADA9-11334EE7B61C}">
  <ds:schemaRefs>
    <ds:schemaRef ds:uri="http://www.w3.org/XML/1998/namespace"/>
    <ds:schemaRef ds:uri="http://schemas.microsoft.com/office/2006/metadata/properties"/>
    <ds:schemaRef ds:uri="http://purl.org/dc/terms/"/>
    <ds:schemaRef ds:uri="http://schemas.microsoft.com/office/infopath/2007/PartnerControls"/>
    <ds:schemaRef ds:uri="9865e641-0544-4f1a-a8d0-d10f45e8285c"/>
    <ds:schemaRef ds:uri="http://schemas.microsoft.com/office/2006/documentManagement/types"/>
    <ds:schemaRef ds:uri="http://schemas.openxmlformats.org/package/2006/metadata/core-properties"/>
    <ds:schemaRef ds:uri="4aadb9ab-d5c5-4bce-9480-548403d0cefb"/>
    <ds:schemaRef ds:uri="http://purl.org/dc/dcmitype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 </vt:lpstr>
      <vt:lpstr>SHEETS</vt:lpstr>
      <vt:lpstr>MANIFEST</vt:lpstr>
      <vt:lpstr>Reference</vt:lpstr>
      <vt:lpstr>JOBTITLERULES</vt:lpstr>
      <vt:lpstr>QUERIES</vt:lpstr>
      <vt:lpstr>TEST_ORGANISATION</vt:lpstr>
      <vt:lpstr>TEST_JOIN</vt:lpstr>
      <vt:lpstr>OPPORTUNITY STATS</vt:lpstr>
      <vt:lpstr>JOIN STATS</vt:lpstr>
      <vt:lpstr>ORGANISATION STATS</vt:lpstr>
      <vt:lpstr>PERSON STATS</vt:lpstr>
      <vt:lpstr>AVAILABLE_SHEETS</vt:lpstr>
      <vt:lpstr>dataurl</vt:lpstr>
      <vt:lpstr>envurl</vt:lpstr>
      <vt:lpstr>FILENAME</vt:lpstr>
      <vt:lpstr>JOBTITLERULES!JOBTITLERULES_CSUITE</vt:lpstr>
      <vt:lpstr>JOBTITLERULES!JOBTITLERULES_CUSTOM_FIELD</vt:lpstr>
      <vt:lpstr>JOBTITLERULES!JOBTITLERULES_DATA</vt:lpstr>
      <vt:lpstr>JOBTITLERULES!JOBTITLERULES_DATA_HEADER</vt:lpstr>
      <vt:lpstr>JOBTITLERULES!JOBTITLERULES_PATTERN_MATCH</vt:lpstr>
      <vt:lpstr>JOBTITLERULES!JOBTITLERULES_PRIORITY</vt:lpstr>
      <vt:lpstr>JOBTITLERULES!JOBTITLERULES_SENIORITY</vt:lpstr>
      <vt:lpstr>JOBTITLERULES!JOBTITLERULES_SINGLE</vt:lpstr>
      <vt:lpstr>JOBTITLERULES!JOBTITLERULES_TYPE</vt:lpstr>
      <vt:lpstr>JOBTITLERULES!JOBTITLERULES_VALUE</vt:lpstr>
      <vt:lpstr>OPPORTUNITIES_REPORT</vt:lpstr>
      <vt:lpstr>QUERIES!QUERIES_DATA</vt:lpstr>
      <vt:lpstr>QUERIES!QUERIES_DATA_HEADER</vt:lpstr>
      <vt:lpstr>QUERIES!QUERIES_FILENAME</vt:lpstr>
      <vt:lpstr>QUERIES!QUERIES_QUERY1</vt:lpstr>
      <vt:lpstr>QUERIES!QUERIES_QUERY2</vt:lpstr>
      <vt:lpstr>ribbonui</vt:lpstr>
      <vt:lpstr>TEST_JOIN!TEST_JOIN_COMPANY_TYPE</vt:lpstr>
      <vt:lpstr>TEST_JOIN!TEST_JOIN_DATA</vt:lpstr>
      <vt:lpstr>TEST_JOIN!TEST_JOIN_DATA_HEADER</vt:lpstr>
      <vt:lpstr>TEST_JOIN!TEST_JOIN_FIRSTNAME</vt:lpstr>
      <vt:lpstr>TEST_JOIN!TEST_JOIN_JOBTITLE</vt:lpstr>
      <vt:lpstr>TEST_JOIN!TEST_JOIN_LASTNAME</vt:lpstr>
      <vt:lpstr>TEST_JOIN!TEST_JOIN_NAME</vt:lpstr>
      <vt:lpstr>TEST_ORGANISATION!TEST_ORGANISATION_COMPANY_TYPE</vt:lpstr>
      <vt:lpstr>TEST_ORGANISATION!TEST_ORGANISATION_DATA</vt:lpstr>
      <vt:lpstr>TEST_ORGANISATION!TEST_ORGANISATION_DATA_HEADER</vt:lpstr>
      <vt:lpstr>TEST_ORGANISATION!TEST_ORGANISATION_NAME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Butler</dc:creator>
  <cp:lastModifiedBy>Velox</cp:lastModifiedBy>
  <dcterms:created xsi:type="dcterms:W3CDTF">2023-08-27T23:18:41Z</dcterms:created>
  <dcterms:modified xsi:type="dcterms:W3CDTF">2023-12-28T14:17:22Z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0x01010059A0AF71C4C0EC4CB1ABC2EEC457A291</vt:lpwstr>
  </property>
</Properties>
</file>