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d21a1d85d864e4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\Deploy\"/>
    </mc:Choice>
  </mc:AlternateContent>
  <xr:revisionPtr revIDLastSave="0" documentId="13_ncr:1_{0AEFAE6B-E47D-4FCA-9D68-F72181488E68}" xr6:coauthVersionLast="47" xr6:coauthVersionMax="47" xr10:uidLastSave="{00000000-0000-0000-0000-000000000000}"/>
  <bookViews>
    <workbookView xWindow="-108" yWindow="-108" windowWidth="30936" windowHeight="16776" activeTab="3" xr2:uid="{55DF9DC9-1B83-4FE5-BEA7-E57C894643EF}"/>
  </bookViews>
  <sheets>
    <sheet name="AddNewItems" sheetId="8" r:id="rId1"/>
    <sheet name="ToDo" sheetId="9" r:id="rId2"/>
    <sheet name="Persist" sheetId="10" r:id="rId3"/>
    <sheet name="Reference" sheetId="3" r:id="rId4"/>
    <sheet name="Folders" sheetId="2" r:id="rId5"/>
    <sheet name="Updates" sheetId="5" r:id="rId6"/>
  </sheets>
  <functionGroups builtInGroupCount="19"/>
  <definedNames>
    <definedName name="_xlnm._FilterDatabase" localSheetId="4" hidden="1">Folders!$A$1:$J$191</definedName>
    <definedName name="_xlnm._FilterDatabase" localSheetId="3" hidden="1">Reference!$Y$1:$AB$1437</definedName>
    <definedName name="actions__additemval">Persist!$B$1</definedName>
    <definedName name="ADD_ITEM_GROUP_NAMES" localSheetId="0">AddNewItems!$C$5:$C$5</definedName>
    <definedName name="ADD_ITEM_ITEM_NAMES">AddNewItems!$C$8:$C$8</definedName>
    <definedName name="ADD_ITEM_ITEM_NAMES_MEETINGS">#REF!</definedName>
    <definedName name="ADD_ITEM_SUBITEM_NAMES">AddNewItems!$C$11:$C$11</definedName>
    <definedName name="ADDITEM_BOARD_NAME" localSheetId="0">AddNewItems!$C$4:$C$4</definedName>
    <definedName name="BOARD_IDS">Reference!$S$2:$S$109</definedName>
    <definedName name="BOARD_NAMES">Reference!$T$2:$T$109</definedName>
    <definedName name="config__checkinchangesval">Persist!$B$8</definedName>
    <definedName name="config__dataurlval">Persist!$B$9</definedName>
    <definedName name="CREATE_FOLDER_FLAG">AddNewItems!$C$3</definedName>
    <definedName name="dataurl">Reference!$N$48</definedName>
    <definedName name="FOLDER_COLUMN_LINK">Folders!$H:$H</definedName>
    <definedName name="FOLDERS_COLUMNS">Folders!$A$2:$I$181</definedName>
    <definedName name="FORMAT_HEADER">Reference!#REF!</definedName>
    <definedName name="GROUP_IDS">Reference!$V$2:$V$109</definedName>
    <definedName name="GROUP_NAMES">Reference!$U$2:$U$109</definedName>
    <definedName name="INPUT">#REF!</definedName>
    <definedName name="INPUT_DATE">#REF!</definedName>
    <definedName name="INPUT_FOLDER">#REF!</definedName>
    <definedName name="INPUT_GDRIVE">#REF!</definedName>
    <definedName name="INPUT_OPENFLAG">#REF!</definedName>
    <definedName name="INPUT_TIME">#REF!</definedName>
    <definedName name="INPUT_USER">#REF!</definedName>
    <definedName name="ITEM_GROUP_NAMES">Reference!$Y$2:$Y$1592</definedName>
    <definedName name="ITEM_ITEMIDS">Reference!$AA$2:$AA$1592</definedName>
    <definedName name="ITEM_NAMES">Reference!$Z$2:$Z$1592</definedName>
    <definedName name="ITEMID_COLUMN">Folders!$I:$I</definedName>
    <definedName name="MONDAY_PREFIX">#REF!</definedName>
    <definedName name="MONDAY_SUFFIX">#REF!</definedName>
    <definedName name="NEWITEM_ADDEDITEMFOLDER">AddNewItems!$C$26:$C$26</definedName>
    <definedName name="NEWITEM_ADDEDITEMID">AddNewItems!$C$23:$C$23</definedName>
    <definedName name="NEWITEM_ADDEDITEMURL">AddNewItems!$C$25:$C$25</definedName>
    <definedName name="NEWITEM_ADDEDSUBITEMID">AddNewItems!$C$24</definedName>
    <definedName name="NEWITEM_BOARD_ID">AddNewItems!$C$6:$C$6</definedName>
    <definedName name="NEWITEM_DATA">AddNewItems!$C$4:$C$17</definedName>
    <definedName name="NEWITEM_GROUP_ID">AddNewItems!$C$7:$C$7</definedName>
    <definedName name="NEWITEM_ITEM_NAME">AddNewItems!$C$8:$C$8</definedName>
    <definedName name="NEWITEM_ITEMID">AddNewItems!$C$9:$C$9</definedName>
    <definedName name="NEWITEM_NEWITEM_NAME">AddNewItems!$C$10:$C$10</definedName>
    <definedName name="NEWITEM_NEWITEM_UPDATE">AddNewItems!$C$13:$C$13</definedName>
    <definedName name="NEWITEM_OWNER">AddNewItems!$C$17:$C$17</definedName>
    <definedName name="NEWITEM_STATUS">AddNewItems!$C$15:$C$15</definedName>
    <definedName name="NEWITEM_TAG">AddNewItems!$C$19:$C$19</definedName>
    <definedName name="NEWITEM_TAG2">AddNewItems!$C$20</definedName>
    <definedName name="NEWSUBITEM_NEWSUBITEM_NAME">AddNewItems!$C$12:$C$12</definedName>
    <definedName name="NEWSUBITEM_NEWSUBITEM_UPDATE">AddNewItems!$C$14</definedName>
    <definedName name="NEWSUBITEM_OWNER">AddNewItems!$C$18</definedName>
    <definedName name="NEWSUBITEM_STATUS">AddNewItems!$C$16</definedName>
    <definedName name="NEWSUBITEM_TAG">AddNewItems!$C$21</definedName>
    <definedName name="NEWSUBITEM_TAG2">AddNewItems!$C$22</definedName>
    <definedName name="ONOFF">#REF!</definedName>
    <definedName name="OUTPUT_FOLDER">#REF!</definedName>
    <definedName name="OUTPUT_FOLDER_SHEET">#REF!</definedName>
    <definedName name="OWNERID">AddNewItems!$A$17</definedName>
    <definedName name="persistdata">Persist!$A$1:$B$16</definedName>
    <definedName name="REFRESH_FOLDER_FLAG">#REF!</definedName>
    <definedName name="REFRESH_UPDATE_FLAG">#REF!</definedName>
    <definedName name="refreshdata__groupsval">Persist!$B$4</definedName>
    <definedName name="refreshdata__itemsval">Persist!$B$5</definedName>
    <definedName name="refreshdata__mvreportval">Persist!$B$6</definedName>
    <definedName name="refreshdata__tagsval">Persist!$B$3</definedName>
    <definedName name="refreshdata__usersval">Persist!$B$2</definedName>
    <definedName name="REFSHEET">Reference!$AE$2</definedName>
    <definedName name="REFSHEET_DIR">Reference!$AE$1</definedName>
    <definedName name="ribbonpointerval">Persist!$B$9</definedName>
    <definedName name="SEARCH_TEXT_COLUMN">Reference!$M$21</definedName>
    <definedName name="SEARCH_TEXT_COLUMN_INDEX">Reference!$N$21</definedName>
    <definedName name="searchby__nameval">Persist!$B$7</definedName>
    <definedName name="SELECT_BOARD">AddNewItems!$I$4</definedName>
    <definedName name="SELECT_GROUP">AddNewItems!$Q$4</definedName>
    <definedName name="SELECT_GROUP_NAMES" localSheetId="0">AddNewItems!$J$5:$J$24</definedName>
    <definedName name="SELECT_ITEM_NAMES" localSheetId="0">AddNewItems!$R$5:$R$240</definedName>
    <definedName name="SELECT_ITEMS">AddNewItems!$T$4</definedName>
    <definedName name="SELECT_SUBITEM_NAMES" localSheetId="3">AddNewItems!$U$5:$U$240</definedName>
    <definedName name="SELECT_SUBITEM_NAMES">AddNewItems!$U$5:$U$240</definedName>
    <definedName name="SELECTED_GDRIVE">#REF!</definedName>
    <definedName name="SELECTED_INPUT_FOLDER">#REF!</definedName>
    <definedName name="SELECTED_OUTPUT_FOLDER">#REF!</definedName>
    <definedName name="STATUS_DATA">Reference!$M$57:$N$59</definedName>
    <definedName name="STATUS_ENUM">AddNewItems!$A$15</definedName>
    <definedName name="STATUS_LABELS">Reference!$AV$2:$AV$6</definedName>
    <definedName name="SUBITEM_ITEMNAMES">Reference!$AI$2:$AI$1139</definedName>
    <definedName name="SUBITEM_SUBITEMIDS">Reference!$AK$2:$AK$1139</definedName>
    <definedName name="SUBITEM_SUBITEMNAMES">Reference!$AJ$2:$AJ$1139</definedName>
    <definedName name="SUBITEMOWNERID">AddNewItems!$A$18</definedName>
    <definedName name="TAGS_DATA">Reference!$AP$2:$AQ$117</definedName>
    <definedName name="TAGS_ID">Reference!$AP$2:$AP$130</definedName>
    <definedName name="TAGS_NAMES">Reference!$AQ$2:$AQ$130</definedName>
    <definedName name="USERS_ID">Reference!$AS$2:$AS$13</definedName>
    <definedName name="USERS_NAMES">Reference!$AT$2:$AT$13</definedName>
    <definedName name="VIEWER_COLUMN">Reference!$B$2:$B$43</definedName>
    <definedName name="VIEWER_COLUMN_FILTER_INPUT">Reference!$G$2:$G$43</definedName>
    <definedName name="VIEWER_COLUMN_FORMAT">Reference!$C$2:$C$43</definedName>
    <definedName name="VIEWER_COLUMN_HEADER_FORMAT">Reference!$H$2:$H$43</definedName>
    <definedName name="VIEWER_COLUMN_NAMES">Reference!$A$2:$A$43</definedName>
    <definedName name="VIEWER_COLUMN_TYPE">Reference!$F$2:$F$43</definedName>
    <definedName name="VIEWER_COLUMN_VISIBLE">Reference!$E$2:$E$43</definedName>
    <definedName name="VIEWER_COLUMN_WIDTH">Reference!$D$2:$D$43</definedName>
    <definedName name="VIEWER_DATA_BOARDID">Reference!$M$2:$M$6</definedName>
    <definedName name="VIEWER_DATA_BOARDNAMES">Reference!$N$2:$N$6</definedName>
    <definedName name="VIEWER_VALUE_COLUMN">Reference!$N$9:$N$11</definedName>
    <definedName name="VIEWER_VALUE_NAMES">Reference!$M$9:$M$11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5" i="8" l="1"/>
  <c r="C26" i="8"/>
  <c r="A22" i="8" l="1"/>
  <c r="A21" i="8"/>
  <c r="A20" i="8"/>
  <c r="A18" i="8"/>
  <c r="A16" i="8"/>
  <c r="R5" i="8" a="1"/>
  <c r="R5" i="8" s="1"/>
  <c r="A4" i="8" a="1"/>
  <c r="A4" i="8" s="1"/>
  <c r="A19" i="8" a="1"/>
  <c r="A19" i="8" s="1"/>
  <c r="A17" i="8" a="1"/>
  <c r="A17" i="8" s="1"/>
  <c r="A15" i="8" a="1"/>
  <c r="A15" i="8" s="1"/>
  <c r="A8" i="8" l="1" a="1"/>
  <c r="A8" i="8" s="1"/>
  <c r="B8" i="8"/>
  <c r="C6" i="8"/>
  <c r="C9" i="8"/>
  <c r="C7" i="8"/>
  <c r="A5" i="8" s="1" a="1"/>
  <c r="A5" i="8" s="1"/>
  <c r="V5" i="8" l="1" a="1"/>
  <c r="V5" i="8" s="1"/>
  <c r="U5" i="8" l="1" a="1"/>
  <c r="U5" i="8" s="1"/>
  <c r="B11" i="8" s="1"/>
  <c r="X5" i="8" l="1" a="1"/>
  <c r="X5" i="8" s="1"/>
  <c r="W5" i="8" a="1"/>
  <c r="W5" i="8" s="1"/>
  <c r="J5" i="8" a="1"/>
  <c r="J5" i="8" s="1"/>
  <c r="B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tc={3BFF0474-7E58-4010-8412-CD2C94888678}</author>
    <author>tc={D470466E-416F-4CBB-88BA-C0565888151B}</author>
    <author>tc={5DFEB50C-0BEC-4690-95D0-4507635AF32E}</author>
    <author>tc={E96137DA-FF13-4643-8597-257B18EE3DDC}</author>
    <author>tc={B928A03A-FBE2-49F1-A48F-7CF12AA36FEE}</author>
  </authors>
  <commentList>
    <comment ref="C1" authorId="0" shapeId="0" xr:uid="{3BFF0474-7E58-4010-8412-CD2C94888678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will use whatever font color and borders are used</t>
      </text>
    </comment>
    <comment ref="F1" authorId="1" shapeId="0" xr:uid="{D470466E-416F-4CBB-88BA-C0565888151B}">
      <text>
        <t>[Threaded comment]
Your version of Excel allows you to read this threaded comment; however, any edits to it will get removed if the file is opened in a newer version of Excel. Learn more: https://go.microsoft.com/fwlink/?linkid=870924
Comment:
    @ is a string, -1 is just use the default</t>
      </text>
    </comment>
    <comment ref="H1" authorId="2" shapeId="0" xr:uid="{5DFEB50C-0BEC-4690-95D0-4507635AF32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format of the header</t>
      </text>
    </comment>
    <comment ref="I1" authorId="3" shapeId="0" xr:uid="{E96137DA-FF13-4643-8597-257B18EE3DDC}">
      <text>
        <t>[Threaded comment]
Your version of Excel allows you to read this threaded comment; however, any edits to it will get removed if the file is opened in a newer version of Excel. Learn more: https://go.microsoft.com/fwlink/?linkid=870924
Comment:
    if not -1 will use this as default value in every cell</t>
      </text>
    </comment>
    <comment ref="N1" authorId="4" shapeId="0" xr:uid="{B928A03A-FBE2-49F1-A48F-7CF12AA36FE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name you want to use for the board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<sst xmlns="http://schemas.openxmlformats.org/spreadsheetml/2006/main" count="8830" uniqueCount="5779">
  <si>
    <t>BOARD_ID</t>
  </si>
  <si>
    <t>BOARD_NAME</t>
  </si>
  <si>
    <t>ENDIDX</t>
  </si>
  <si>
    <t>Website</t>
  </si>
  <si>
    <t>Not Started</t>
  </si>
  <si>
    <t>USe Cases</t>
  </si>
  <si>
    <t>Servicing existing prospects</t>
  </si>
  <si>
    <t>Existing Clients</t>
  </si>
  <si>
    <t>Reporting</t>
  </si>
  <si>
    <t>Digital Marketing</t>
  </si>
  <si>
    <t>General Marketing</t>
  </si>
  <si>
    <t>Messaging</t>
  </si>
  <si>
    <t>Chris</t>
  </si>
  <si>
    <t>Tooling</t>
  </si>
  <si>
    <t>Weekly Team Status</t>
  </si>
  <si>
    <t>Competitors</t>
  </si>
  <si>
    <t>Ross</t>
  </si>
  <si>
    <t>Ali</t>
  </si>
  <si>
    <t>Partners</t>
  </si>
  <si>
    <t>Events</t>
  </si>
  <si>
    <t>Ideas</t>
  </si>
  <si>
    <t>Memberships</t>
  </si>
  <si>
    <t>Strategy / Getting new prospects</t>
  </si>
  <si>
    <t>Account Management</t>
  </si>
  <si>
    <t>topics</t>
  </si>
  <si>
    <t>group_title</t>
  </si>
  <si>
    <t>new_group</t>
  </si>
  <si>
    <t>Management</t>
  </si>
  <si>
    <t>Group Title</t>
  </si>
  <si>
    <t>Finances</t>
  </si>
  <si>
    <t>new_group26414</t>
  </si>
  <si>
    <t>new_group86173</t>
  </si>
  <si>
    <t>My Items</t>
  </si>
  <si>
    <t>Sales</t>
  </si>
  <si>
    <t>Marketing</t>
  </si>
  <si>
    <t>duplicate_of_velox80950</t>
  </si>
  <si>
    <t>new_group40515</t>
  </si>
  <si>
    <t>new_group60889</t>
  </si>
  <si>
    <t>new_group63582</t>
  </si>
  <si>
    <t>new_group6433</t>
  </si>
  <si>
    <t>new_group11668</t>
  </si>
  <si>
    <t>new_group63656</t>
  </si>
  <si>
    <t>new_group54335</t>
  </si>
  <si>
    <t>new_group10173</t>
  </si>
  <si>
    <t>new_group28114</t>
  </si>
  <si>
    <t>new_group34943</t>
  </si>
  <si>
    <t>new_group44624</t>
  </si>
  <si>
    <t>new_group90791</t>
  </si>
  <si>
    <t>new_group40878</t>
  </si>
  <si>
    <t>new_group73603</t>
  </si>
  <si>
    <t>new_group30266</t>
  </si>
  <si>
    <t>Team Tasks</t>
  </si>
  <si>
    <t>This Week</t>
  </si>
  <si>
    <t>Next Week</t>
  </si>
  <si>
    <t>next_week</t>
  </si>
  <si>
    <t>General Admin</t>
  </si>
  <si>
    <t>velox_admin</t>
  </si>
  <si>
    <t>Emailed items</t>
  </si>
  <si>
    <t>emailed_items</t>
  </si>
  <si>
    <t>GROUP_ID</t>
  </si>
  <si>
    <t>GROUP_NAMES</t>
  </si>
  <si>
    <t>BOARD_NAMES</t>
  </si>
  <si>
    <t>ITEM_NAMES</t>
  </si>
  <si>
    <t>make urgent mods to the website</t>
  </si>
  <si>
    <t>PURESTREAM_APP_PLATFORM_10</t>
  </si>
  <si>
    <t>ULTUMUS Cosmos</t>
  </si>
  <si>
    <t>XINTHESYS_RAD_4</t>
  </si>
  <si>
    <t>COSAIC_VELOX_4</t>
  </si>
  <si>
    <t>2SIGMA_0</t>
  </si>
  <si>
    <t>TRADS_FX_ASIA_10</t>
  </si>
  <si>
    <t>CALCGUARD_DATA_10</t>
  </si>
  <si>
    <t>II</t>
  </si>
  <si>
    <t>create a deck builder / slide chooser</t>
  </si>
  <si>
    <t>FII_RFP</t>
  </si>
  <si>
    <t>BIGFOUR</t>
  </si>
  <si>
    <t>COGNIZANT_TBD_4</t>
  </si>
  <si>
    <t>Glue</t>
  </si>
  <si>
    <t>VALANTIC_BUILDFASTER_10</t>
  </si>
  <si>
    <t>MIZUHO_VELOX_10</t>
  </si>
  <si>
    <t>GHCO_MARKET_MAKING_10</t>
  </si>
  <si>
    <t>TRIDENT_VELOX_9</t>
  </si>
  <si>
    <t>TT_TBD_0</t>
  </si>
  <si>
    <t>MACQUARIE_TBD_0</t>
  </si>
  <si>
    <t>MLP_VELOX_2</t>
  </si>
  <si>
    <t>BEACON_STEALTH</t>
  </si>
  <si>
    <t>FIDELITY</t>
  </si>
  <si>
    <t>move website ownership to 3B</t>
  </si>
  <si>
    <t>Trading Technologies (TT)</t>
  </si>
  <si>
    <t>SIX</t>
  </si>
  <si>
    <t>Genesis</t>
  </si>
  <si>
    <t>valuing a prospect</t>
  </si>
  <si>
    <t>2 page brochure</t>
  </si>
  <si>
    <t>Our Clients</t>
  </si>
  <si>
    <t>ALYDATA</t>
  </si>
  <si>
    <t>ULTUMUS Ironhide</t>
  </si>
  <si>
    <t>capsule cleanup</t>
  </si>
  <si>
    <t>CHRONICLE</t>
  </si>
  <si>
    <t>ITEM_GROUP_NAMES</t>
  </si>
  <si>
    <t>Demos</t>
  </si>
  <si>
    <t>Cash Eq Single &amp; Baskets</t>
  </si>
  <si>
    <t>gartner subscription / reprint program</t>
  </si>
  <si>
    <t>CMEGROB</t>
  </si>
  <si>
    <t>OPENFIN</t>
  </si>
  <si>
    <t>VALANTIC_SOLUTIONS</t>
  </si>
  <si>
    <t>ITRS</t>
  </si>
  <si>
    <t>CREDIT AGRICOLE_EFXRFP_3</t>
  </si>
  <si>
    <t>FXAll</t>
  </si>
  <si>
    <t>sales training</t>
  </si>
  <si>
    <t>Review list from Trader Forum</t>
  </si>
  <si>
    <t>TMX</t>
  </si>
  <si>
    <t>desktop-interop</t>
  </si>
  <si>
    <t>SUBITEM_NAMES</t>
  </si>
  <si>
    <t>Neto</t>
  </si>
  <si>
    <t>new_group21141</t>
  </si>
  <si>
    <t>Funding</t>
  </si>
  <si>
    <t>new_group4509</t>
  </si>
  <si>
    <t>Compensation</t>
  </si>
  <si>
    <t>new_group2857</t>
  </si>
  <si>
    <t>ETFS Capital</t>
  </si>
  <si>
    <t>new_group15585</t>
  </si>
  <si>
    <t>Sales Strategy</t>
  </si>
  <si>
    <t>new_group42045</t>
  </si>
  <si>
    <t>NEW_ITEM</t>
  </si>
  <si>
    <t>ansgar browser tech science risks</t>
  </si>
  <si>
    <t>cleaned up handout pdfs</t>
  </si>
  <si>
    <t>draw up the 350 apps use case with the hero</t>
  </si>
  <si>
    <t>fast pivotting grid</t>
  </si>
  <si>
    <t>Announce the Velox Client Portal</t>
  </si>
  <si>
    <t>Developers have been brainwashed by agile practices</t>
  </si>
  <si>
    <t>client job title targets'</t>
  </si>
  <si>
    <t>MM - Developer Productivity</t>
  </si>
  <si>
    <t>100 devs</t>
  </si>
  <si>
    <t>use reruiters to get access to the heads of trading tech a different firsm</t>
  </si>
  <si>
    <t>letter header</t>
  </si>
  <si>
    <t>send out 10 senior JB network prospect emails every dau</t>
  </si>
  <si>
    <t>get domain names for emails</t>
  </si>
  <si>
    <t>try to track cold call reactions when we didnt get to stage 3</t>
  </si>
  <si>
    <t>developer accellerator comparison slide</t>
  </si>
  <si>
    <t>pitch ULTUMUS on CR symphony/cosaic integration</t>
  </si>
  <si>
    <t>add primary contact dept to capsule</t>
  </si>
  <si>
    <t>get training on demo'ing TradMatch</t>
  </si>
  <si>
    <t>add primary contact role to capsule</t>
  </si>
  <si>
    <t>Announce Velox 5 years old</t>
  </si>
  <si>
    <t>VALANTIC case study lite</t>
  </si>
  <si>
    <t>bonaguro support at Citi</t>
  </si>
  <si>
    <t>desktop and server interop</t>
  </si>
  <si>
    <t>Buy vs Build</t>
  </si>
  <si>
    <t>Quotes and testimonials</t>
  </si>
  <si>
    <t>deck for neto</t>
  </si>
  <si>
    <t>new sales process</t>
  </si>
  <si>
    <t>cleaning up the capsule historical meta data</t>
  </si>
  <si>
    <t>JB general computer meltdown</t>
  </si>
  <si>
    <t>greyspark report that compares velox to other dev accelerators</t>
  </si>
  <si>
    <t>centralize partsn needed for drawing flow diagrams</t>
  </si>
  <si>
    <t>Review all Completed/done Monday tasks</t>
  </si>
  <si>
    <t>document high level news feed process</t>
  </si>
  <si>
    <t>setup feedly search terms and coordinate w/team</t>
  </si>
  <si>
    <t>setup google alerts and coordinate w/team</t>
  </si>
  <si>
    <t>buy vs build - there is a better option</t>
  </si>
  <si>
    <t>get a quote from 3B on integrating support tools into website</t>
  </si>
  <si>
    <t>general partner stuff</t>
  </si>
  <si>
    <t>chris to get a pro feedly license</t>
  </si>
  <si>
    <t>Clean up post ideas in Monday</t>
  </si>
  <si>
    <t>setup sales@veloxfintech.com</t>
  </si>
  <si>
    <t>Add a partner section</t>
  </si>
  <si>
    <t>Build vs. buy paradox</t>
  </si>
  <si>
    <t>Put hero page .ai files in central location</t>
  </si>
  <si>
    <t>what is the marketing strategy for STreamBAse/MAterialize/3Forge</t>
  </si>
  <si>
    <t>TIBCO StreamBase</t>
  </si>
  <si>
    <t>sales cheat sheet - agree on core message 1 pager</t>
  </si>
  <si>
    <t>comment/like potential 100 client activity in LI each month</t>
  </si>
  <si>
    <t>tech trends for cap mkts (article 3 w/MM)</t>
  </si>
  <si>
    <t>collate all historical slides into above categories</t>
  </si>
  <si>
    <t>irreducible complexity</t>
  </si>
  <si>
    <t>plot of land; gas, power, cable</t>
  </si>
  <si>
    <t>what are the skill bottlenecks in the sales process</t>
  </si>
  <si>
    <t>buy the core &amp; build the value</t>
  </si>
  <si>
    <t>tradetech</t>
  </si>
  <si>
    <t>brand and solution/product offering for MM campaign</t>
  </si>
  <si>
    <t>velox is the framework for solving business problems</t>
  </si>
  <si>
    <t>talent exodus crap work env for engineers</t>
  </si>
  <si>
    <t>you lose what you dont use - change org l;ike cells</t>
  </si>
  <si>
    <t>why-outsystems-ruined-my-dev-job</t>
  </si>
  <si>
    <t>Work out what we need/want from MMG</t>
  </si>
  <si>
    <t>30 years of technology in cap mkts</t>
  </si>
  <si>
    <t>why the enterprise struggles with low-code</t>
  </si>
  <si>
    <t>specialization, generalization and perseverance</t>
  </si>
  <si>
    <t>data is trapped in the enterpise</t>
  </si>
  <si>
    <t>nokia in 2007</t>
  </si>
  <si>
    <t>next level of abstraction</t>
  </si>
  <si>
    <t>negative selection bias</t>
  </si>
  <si>
    <t>monetizing data</t>
  </si>
  <si>
    <t>maximum size and speed of change</t>
  </si>
  <si>
    <t>length of people jobs</t>
  </si>
  <si>
    <t>ifd you need to lose a lot of weight dont chop off a limb</t>
  </si>
  <si>
    <t>History of User Interfaces in Cap Mkts</t>
  </si>
  <si>
    <t>data way of life</t>
  </si>
  <si>
    <t>clients look at problems as the mirror of the solns that are provided</t>
  </si>
  <si>
    <t>CIO question</t>
  </si>
  <si>
    <t>attitude over aptitude</t>
  </si>
  <si>
    <t>should we include the valantic 1 pager as a client profile on the website</t>
  </si>
  <si>
    <t>strangler pattern</t>
  </si>
  <si>
    <t>create a 1 pager that can be sent out as a flyer</t>
  </si>
  <si>
    <t>simple architectures</t>
  </si>
  <si>
    <t>An army of citizen developers is not enough</t>
  </si>
  <si>
    <t>the woes of programming</t>
  </si>
  <si>
    <t>Ali's blog post</t>
  </si>
  <si>
    <t>5 concepts we need to a new approach</t>
  </si>
  <si>
    <t>lines of code we save</t>
  </si>
  <si>
    <t>how citizen developer lowcode and pro low code worktogether</t>
  </si>
  <si>
    <t>Give jason feedback on what changes to make in the ERP CRM</t>
  </si>
  <si>
    <t>Update website post call with Annalisa</t>
  </si>
  <si>
    <t>plan new ironhide dashboard and market data with bernie</t>
  </si>
  <si>
    <t>sort out our news reading strategy and tools</t>
  </si>
  <si>
    <t>SUBITEM_IDS</t>
  </si>
  <si>
    <t>ITEM_IDS</t>
  </si>
  <si>
    <t>NEW_SUBITEM</t>
  </si>
  <si>
    <t>ITEM_STATUS</t>
  </si>
  <si>
    <t>SUBITEM_STATUS</t>
  </si>
  <si>
    <t>ITEM_OWNER</t>
  </si>
  <si>
    <t>SUBITEM_OWNER</t>
  </si>
  <si>
    <t>Completed</t>
  </si>
  <si>
    <t>Working</t>
  </si>
  <si>
    <t>N/A</t>
  </si>
  <si>
    <t>Monday EXCEL Tools</t>
  </si>
  <si>
    <t>SYMPHONY_TBD_3</t>
  </si>
  <si>
    <t>New Item</t>
  </si>
  <si>
    <t>Miscellaneous</t>
  </si>
  <si>
    <t>Tools</t>
  </si>
  <si>
    <t>TestGroup</t>
  </si>
  <si>
    <t>Funding / Investor</t>
  </si>
  <si>
    <t>Misc</t>
  </si>
  <si>
    <t>Process</t>
  </si>
  <si>
    <t>Prospecting &amp; Lead Gen</t>
  </si>
  <si>
    <t>testitem</t>
  </si>
  <si>
    <t>Developer Productivity</t>
  </si>
  <si>
    <t>Developer Support</t>
  </si>
  <si>
    <t>Pricing</t>
  </si>
  <si>
    <t>level 0.5 deck</t>
  </si>
  <si>
    <t>set up monitoring tool</t>
  </si>
  <si>
    <t>get licence to do domain lookups</t>
  </si>
  <si>
    <t>publish description of WGS</t>
  </si>
  <si>
    <t>MSWEALTH</t>
  </si>
  <si>
    <t>Mendix</t>
  </si>
  <si>
    <t>Sales Targets</t>
  </si>
  <si>
    <t>Sales Process</t>
  </si>
  <si>
    <t>TIME TRACKING</t>
  </si>
  <si>
    <t>Admin</t>
  </si>
  <si>
    <t>Use Cases</t>
  </si>
  <si>
    <t>Legal</t>
  </si>
  <si>
    <t>Clients</t>
  </si>
  <si>
    <t>HR</t>
  </si>
  <si>
    <t>Newsletter</t>
  </si>
  <si>
    <t>Results newsletter campaign</t>
  </si>
  <si>
    <t>Work out which decks needed for which opportunity</t>
  </si>
  <si>
    <t>Maximise FIX membership</t>
  </si>
  <si>
    <t>Process creation/reviews/analsis</t>
  </si>
  <si>
    <t>Reworked Deck</t>
  </si>
  <si>
    <t>Listening to recordings</t>
  </si>
  <si>
    <t>Make list of features we would record for marketing</t>
  </si>
  <si>
    <t>Create improved email signatures</t>
  </si>
  <si>
    <t>Update LinkedIn banners</t>
  </si>
  <si>
    <t>Our clients' problem isn't unique</t>
  </si>
  <si>
    <t>create # strategy for posts</t>
  </si>
  <si>
    <t>email marketing for contacts that we have previously sent decks too</t>
  </si>
  <si>
    <t>Regularly publish my time broken down by monday task</t>
  </si>
  <si>
    <t>Complete Cyber &amp; Tech insurance renewal</t>
  </si>
  <si>
    <t>Index latest sales collateral</t>
  </si>
  <si>
    <t>Create process documents</t>
  </si>
  <si>
    <t>Glue 42</t>
  </si>
  <si>
    <t>get Velox quotes from PureStream and ULTUMUS</t>
  </si>
  <si>
    <t>setup a process for account management</t>
  </si>
  <si>
    <t>GHCO Use case</t>
  </si>
  <si>
    <t>Join | Download | Build faster</t>
  </si>
  <si>
    <t>get historical data from google analytics</t>
  </si>
  <si>
    <t>get email address of all LI contacts</t>
  </si>
  <si>
    <t>go through all JB pptx /docx on directories and make</t>
  </si>
  <si>
    <t>Create a Partnership template</t>
  </si>
  <si>
    <t>Refine Marketing Plan</t>
  </si>
  <si>
    <t>patents</t>
  </si>
  <si>
    <t>talking points on the options if you dont use velox</t>
  </si>
  <si>
    <t>JB to reach out to Jack to get an update</t>
  </si>
  <si>
    <t>Store key contact details at each client</t>
  </si>
  <si>
    <t>work out how to get an RSS feed together for the team</t>
  </si>
  <si>
    <t>genesis buy to build progress</t>
  </si>
  <si>
    <t>why would i have not bought a dev accelerator then but would now</t>
  </si>
  <si>
    <t>educate on why buy and build is ok now</t>
  </si>
  <si>
    <t>Competing Approaches</t>
  </si>
  <si>
    <t>Record and analyse client support hours</t>
  </si>
  <si>
    <t>solving the business problem</t>
  </si>
  <si>
    <t>Time for an 80% solution to lowcode</t>
  </si>
  <si>
    <t>are we a database no, are we a messaging system</t>
  </si>
  <si>
    <t>Cap MKts Warts and All</t>
  </si>
  <si>
    <t>what movies tell us about technology in cap mkts</t>
  </si>
  <si>
    <t>Why dont we have a universal understanding of what good lucks like ?</t>
  </si>
  <si>
    <t>Low code is really a play on APIs</t>
  </si>
  <si>
    <t>Gartners IT spend forecast for 2022 shows CIOs ready to take risks</t>
  </si>
  <si>
    <t>streaming lamdas</t>
  </si>
  <si>
    <t>covid 19 recovery will be digital</t>
  </si>
  <si>
    <t>the power of the business imperative</t>
  </si>
  <si>
    <t>less obvious reasons why projects fail</t>
  </si>
  <si>
    <t>velox quantunm og acceleratiopn</t>
  </si>
  <si>
    <t>mitigate against tech vendoir risk</t>
  </si>
  <si>
    <t>TECH VENDORS TO THE RESCUE</t>
  </si>
  <si>
    <t>defining todays biggest dev challenges</t>
  </si>
  <si>
    <t>modernize your way to next gen</t>
  </si>
  <si>
    <t>how front office might look in 10 years</t>
  </si>
  <si>
    <t>could be a series on relating movie quotes to tech</t>
  </si>
  <si>
    <t>what do sales traders really need</t>
  </si>
  <si>
    <t>The Solutions to Our Problems are Rooted in Our Past</t>
  </si>
  <si>
    <t>Twenty years ago, top technologists were queuing to join banks</t>
  </si>
  <si>
    <t>Low code makes it easy to create debt</t>
  </si>
  <si>
    <t>General info on multi data sources</t>
  </si>
  <si>
    <t>no-code cons</t>
  </si>
  <si>
    <t>fabric vs mesh</t>
  </si>
  <si>
    <t>does Lowcode automates roles that should not exist</t>
  </si>
  <si>
    <t>Origin of the blinking cursor</t>
  </si>
  <si>
    <t>QWERTY was to slow things down</t>
  </si>
  <si>
    <t>the sunk cost fallacy</t>
  </si>
  <si>
    <t>tech debt what is</t>
  </si>
  <si>
    <t>what is fast data ?</t>
  </si>
  <si>
    <t>3 of gartner top 12</t>
  </si>
  <si>
    <t>the real cost of low code</t>
  </si>
  <si>
    <t>low code apps cant see impact of change</t>
  </si>
  <si>
    <t>dig tran is everywhere so sware is everywhere</t>
  </si>
  <si>
    <t>interesting trade off - vote ?</t>
  </si>
  <si>
    <t>what is shadow it</t>
  </si>
  <si>
    <t>how low can it go</t>
  </si>
  <si>
    <t>finger snap</t>
  </si>
  <si>
    <t>why so much tech bet</t>
  </si>
  <si>
    <t>right data analytcis</t>
  </si>
  <si>
    <t>what is a data fabroic</t>
  </si>
  <si>
    <t>data centricity in cap mkts</t>
  </si>
  <si>
    <t>what is a DIH</t>
  </si>
  <si>
    <t>History of low code</t>
  </si>
  <si>
    <t>Citizen devs do more</t>
  </si>
  <si>
    <t>Data is the new coal</t>
  </si>
  <si>
    <t>How did data get trapped in the enterprise</t>
  </si>
  <si>
    <t>What should the vendor of the future look like ?</t>
  </si>
  <si>
    <t>Building data centric apps with a reative relational databasse</t>
  </si>
  <si>
    <t>what is reacive programming ?</t>
  </si>
  <si>
    <t>Combining data and workflows</t>
  </si>
  <si>
    <t>Generally promote whats happening with other dev acceleration companies making progress in cap mkts</t>
  </si>
  <si>
    <t>general client use cases stuff</t>
  </si>
  <si>
    <t>Sacred cows</t>
  </si>
  <si>
    <t>how have developer tools evolved in the last 20 yeatrs</t>
  </si>
  <si>
    <t>Demystifying data transformation term</t>
  </si>
  <si>
    <t>Datafabrics in banking</t>
  </si>
  <si>
    <t>What is Enterprise tech</t>
  </si>
  <si>
    <t>Fintechs need to,solve the data problem</t>
  </si>
  <si>
    <t>How much of your devs effort gets put into differentiating features</t>
  </si>
  <si>
    <t>nearly a third of all enterprise applications are considered legacy apps</t>
  </si>
  <si>
    <t>Developer forward</t>
  </si>
  <si>
    <t>Developer shortage</t>
  </si>
  <si>
    <t>unused data in the enterrise</t>
  </si>
  <si>
    <t>Tech talent shortage</t>
  </si>
  <si>
    <t>Software bloat 100M</t>
  </si>
  <si>
    <t>going faster</t>
  </si>
  <si>
    <t>build a filter which will tell us whats a good enough post</t>
  </si>
  <si>
    <t>calibrate filter with historical posty success</t>
  </si>
  <si>
    <t>apply the filter to 100 ideas</t>
  </si>
  <si>
    <t>Agree and Budget for events for H2 2022 &amp; 2023</t>
  </si>
  <si>
    <t>Adaptive</t>
  </si>
  <si>
    <t>Use 'The Financial Technologist'?</t>
  </si>
  <si>
    <t>review caplin</t>
  </si>
  <si>
    <t>Get CalcGuard announcment when time is right</t>
  </si>
  <si>
    <t>Decide on further product names</t>
  </si>
  <si>
    <t>Process for onboarding and retaining (junior) staff</t>
  </si>
  <si>
    <t>Document process for client onboarding</t>
  </si>
  <si>
    <t>look at Materialize as a competitor</t>
  </si>
  <si>
    <t>Use case summary</t>
  </si>
  <si>
    <t>Differentiator / USP</t>
  </si>
  <si>
    <t>competitor analysis</t>
  </si>
  <si>
    <t>Get endorsement from John Tumulty when time right</t>
  </si>
  <si>
    <t>Product</t>
  </si>
  <si>
    <t>Key Design Choices</t>
  </si>
  <si>
    <t>create JB key connections lead list in LI</t>
  </si>
  <si>
    <t>Start End Dividers</t>
  </si>
  <si>
    <t>Benefits</t>
  </si>
  <si>
    <t>About Us</t>
  </si>
  <si>
    <t>Partnerships</t>
  </si>
  <si>
    <t>Founder</t>
  </si>
  <si>
    <t>Flow Diagram</t>
  </si>
  <si>
    <t>Latest Deck</t>
  </si>
  <si>
    <t>Desktop Interop Stepchart</t>
  </si>
  <si>
    <t>Competitions</t>
  </si>
  <si>
    <t>Building Apps</t>
  </si>
  <si>
    <t>Desktop Arch</t>
  </si>
  <si>
    <t>Lowcode Comparison</t>
  </si>
  <si>
    <t>Go To Market</t>
  </si>
  <si>
    <t>Aggregate Analyse Act</t>
  </si>
  <si>
    <t>Technical</t>
  </si>
  <si>
    <t>Data Fragmentation</t>
  </si>
  <si>
    <t>move across excel VBA tools</t>
  </si>
  <si>
    <t>use purestream to talk to sapient</t>
  </si>
  <si>
    <t>Need formality around sharing sales, internally &amp; with valantic</t>
  </si>
  <si>
    <t>JB speak to Bernie re intro to Ultumus client list</t>
  </si>
  <si>
    <t>Create marketing campaign with Rapid/Tradition (&amp; Asia)</t>
  </si>
  <si>
    <t>See if any merit in talking to existing Ultumus &amp; valantic clients</t>
  </si>
  <si>
    <t>FBNY</t>
  </si>
  <si>
    <t>MARKETAXXESS</t>
  </si>
  <si>
    <t>AMEX</t>
  </si>
  <si>
    <t>COINBASE</t>
  </si>
  <si>
    <t>Should we build a campaign around talking to firms that have legacy Java Swing clients</t>
  </si>
  <si>
    <t>consider starting a workstream to replicate data usecase as per Crux</t>
  </si>
  <si>
    <t>Contact Kirat (Beacon) re BMO trading system build</t>
  </si>
  <si>
    <t>Follow up with Virtu</t>
  </si>
  <si>
    <t>create JB lead list of target connectins</t>
  </si>
  <si>
    <t>JB to call Antonio (ex-BMO)</t>
  </si>
  <si>
    <t>Website ideas (add doc/links as sub items)</t>
  </si>
  <si>
    <t>talk to SIX about bundled SDK for allowing their clients to analyse/act on their data</t>
  </si>
  <si>
    <t>Create process for social media</t>
  </si>
  <si>
    <t>Get our a SEO strategy in place</t>
  </si>
  <si>
    <t>Explainer video - automate hero diagram</t>
  </si>
  <si>
    <t>Investigate Capsule- Mail Chimp connectivity and tiering for prospects</t>
  </si>
  <si>
    <t>Video format to consider - Ali sent demo from AIR summit</t>
  </si>
  <si>
    <t>start a sales channel to smaller firms - maybe ultumus clients as start ?</t>
  </si>
  <si>
    <t>come up with a playbook of how to select articles and how to share/comment on posys</t>
  </si>
  <si>
    <t>PPT Template</t>
  </si>
  <si>
    <t>Problem definition</t>
  </si>
  <si>
    <t>Desktop Interop and Enterprise Interop Report</t>
  </si>
  <si>
    <t>Documentation ideas (add docs/links as sub items)</t>
  </si>
  <si>
    <t>make sure all videos are uploaded</t>
  </si>
  <si>
    <t>valantic client case study</t>
  </si>
  <si>
    <t>how much does materialize / linkedin  marketing cost/work</t>
  </si>
  <si>
    <t>Elwood.io</t>
  </si>
  <si>
    <t>create a Core brand document</t>
  </si>
  <si>
    <t>purestream case study</t>
  </si>
  <si>
    <t>what should our client quotes say ?</t>
  </si>
  <si>
    <t>pull together JB previous technical velox sripts into one folder</t>
  </si>
  <si>
    <t>Check out https://retool.com/?_</t>
  </si>
  <si>
    <t>Need to work out how to build domain specificity quickly e.g. for new developers</t>
  </si>
  <si>
    <t>Join venture beat</t>
  </si>
  <si>
    <t>do a social media post of our brand reveal</t>
  </si>
  <si>
    <t>a-team press</t>
  </si>
  <si>
    <t>TextPad++ shoutout</t>
  </si>
  <si>
    <t>Find articles that we can comment on going faster</t>
  </si>
  <si>
    <t>do a proper video recording of the latest FIMD low code build</t>
  </si>
  <si>
    <t>Post on MS bug even MS get caught out by Maxint issues</t>
  </si>
  <si>
    <t>process the data 2022 outlook article</t>
  </si>
  <si>
    <t>low code demo video</t>
  </si>
  <si>
    <t>demo of subpanels</t>
  </si>
  <si>
    <t>create a simple one screen demo and video in lowcode</t>
  </si>
  <si>
    <t>new era for electronic bond trading</t>
  </si>
  <si>
    <t>A sensible article on low code</t>
  </si>
  <si>
    <t>APIS are only part of the story</t>
  </si>
  <si>
    <t>google CME partnership</t>
  </si>
  <si>
    <t>create a 1 pager that reflects the valanrtic / velox use case</t>
  </si>
  <si>
    <t>think about how to make use of the how velox enables the integrated desktop</t>
  </si>
  <si>
    <t>velox is built to enable Jason to rapidly deliver to luigi on the fly</t>
  </si>
  <si>
    <t>Document our 'ideal customer'</t>
  </si>
  <si>
    <t>find out how hazelcast does marketing</t>
  </si>
  <si>
    <t>Check out walnut</t>
  </si>
  <si>
    <t>Use the video as a way to gain traction internally with diagrams</t>
  </si>
  <si>
    <t>Do we want to so something like outsytems</t>
  </si>
  <si>
    <t>look into MVVM for marketing</t>
  </si>
  <si>
    <t>add non data driven app flow to flow diagram</t>
  </si>
  <si>
    <t>create a flow diagram for state engine flows</t>
  </si>
  <si>
    <t>Go through sales navigator for each of our organizations and find contacts</t>
  </si>
  <si>
    <t>Launch Fidessa client sales campaign</t>
  </si>
  <si>
    <t>Strategy with Rapid?</t>
  </si>
  <si>
    <t>download velox video tradinign content</t>
  </si>
  <si>
    <t>Create an Account Management process</t>
  </si>
  <si>
    <t>SNB</t>
  </si>
  <si>
    <t>FPL/FIX membership?</t>
  </si>
  <si>
    <t>JPMC</t>
  </si>
  <si>
    <t>Start inviting connections to expand network</t>
  </si>
  <si>
    <t>create a template for Meeting Minutes</t>
  </si>
  <si>
    <t>Catch up with Jon</t>
  </si>
  <si>
    <t>alison/jon catchups (timetrack)</t>
  </si>
  <si>
    <t>update with latest videos and posts</t>
  </si>
  <si>
    <t>Centralize illustrator elements for Chris</t>
  </si>
  <si>
    <t>Updating / reconciling finances (time track)</t>
  </si>
  <si>
    <t>Use Sales Nav to farm more followers</t>
  </si>
  <si>
    <t>Introdcution Mo</t>
  </si>
  <si>
    <t>Sort out #hashtags and tagging</t>
  </si>
  <si>
    <t>Prepare published LI posts for website</t>
  </si>
  <si>
    <t>setting up visual studio</t>
  </si>
  <si>
    <t>Remove 'fake' employees from Velox Linked In profile</t>
  </si>
  <si>
    <t>Sales Strategy Daily (timetracking)</t>
  </si>
  <si>
    <t>Invoicing &amp; Billing (time tracking)</t>
  </si>
  <si>
    <t>Reading collateral (timetracking)</t>
  </si>
  <si>
    <t>Give all the last SteerCo's to AH</t>
  </si>
  <si>
    <t>ING_VALANTIC</t>
  </si>
  <si>
    <t>JEFFERIES_LOWCODE</t>
  </si>
  <si>
    <t>DANSKE_VALANTIC</t>
  </si>
  <si>
    <t>BNP_VALANTIC</t>
  </si>
  <si>
    <t>NORDEA_SALESTRADERGO</t>
  </si>
  <si>
    <t>CRD_BUILDFASTER</t>
  </si>
  <si>
    <t>BNY_PT_FROM_SPENCER</t>
  </si>
  <si>
    <t>STIFEL_10</t>
  </si>
  <si>
    <t>CRD</t>
  </si>
  <si>
    <t>TD</t>
  </si>
  <si>
    <t>SAPIENT</t>
  </si>
  <si>
    <t>CANTOR</t>
  </si>
  <si>
    <t>JEFFERIES_FIDESSA_3</t>
  </si>
  <si>
    <t>BNPEXANE_VALANTIC</t>
  </si>
  <si>
    <t>BNP_EXANE</t>
  </si>
  <si>
    <t>OBJECTIVITY</t>
  </si>
  <si>
    <t>SMBC Nikko</t>
  </si>
  <si>
    <t>CRUX</t>
  </si>
  <si>
    <t>SSGM</t>
  </si>
  <si>
    <t>CM.T and BornTec</t>
  </si>
  <si>
    <t>Nasdaq</t>
  </si>
  <si>
    <t>Camex</t>
  </si>
  <si>
    <t>GENESISTRADING_RAD_-1</t>
  </si>
  <si>
    <t>CITI_TTS</t>
  </si>
  <si>
    <t>OPTIONSIT</t>
  </si>
  <si>
    <t>OSL</t>
  </si>
  <si>
    <t>AMBER</t>
  </si>
  <si>
    <t>BAIRD</t>
  </si>
  <si>
    <t>HANDELSBANKEN</t>
  </si>
  <si>
    <t>BNY MELLON BOND STW</t>
  </si>
  <si>
    <t>BCS</t>
  </si>
  <si>
    <t>high level flow diagram</t>
  </si>
  <si>
    <t>IRESS</t>
  </si>
  <si>
    <t>EXEGY_TBD_0</t>
  </si>
  <si>
    <t>MFS</t>
  </si>
  <si>
    <t>CREATIVE_MINDS</t>
  </si>
  <si>
    <t>Rapid Addition</t>
  </si>
  <si>
    <t>CS_TBD_0</t>
  </si>
  <si>
    <t>SFOX</t>
  </si>
  <si>
    <t>TROWE_BUILDFASTER_4</t>
  </si>
  <si>
    <t>LLOYDS_BUILDFASTER_1</t>
  </si>
  <si>
    <t>BMOCAPMKTS_VELOX_0</t>
  </si>
  <si>
    <t>FINEQIA_TBD_2</t>
  </si>
  <si>
    <t>Ititivit</t>
  </si>
  <si>
    <t>SocGeb</t>
  </si>
  <si>
    <t>REGNOLOGY_BROWSER_4</t>
  </si>
  <si>
    <t>ALPHACREST_1</t>
  </si>
  <si>
    <t>SSGA</t>
  </si>
  <si>
    <t>CITI</t>
  </si>
  <si>
    <t>SEB</t>
  </si>
  <si>
    <t>LIME</t>
  </si>
  <si>
    <t>Lloyds - RFP - Due Nov 24, 12noon (GMT)</t>
  </si>
  <si>
    <t>DELTA BLOCK</t>
  </si>
  <si>
    <t>EMPERYEUM</t>
  </si>
  <si>
    <t>LLOYDS_VALANTIC</t>
  </si>
  <si>
    <t>BLACKROCK</t>
  </si>
  <si>
    <t>ANGELO GORDON</t>
  </si>
  <si>
    <t>ALJAZIRA</t>
  </si>
  <si>
    <t>FTV</t>
  </si>
  <si>
    <t>Create Monthly Sales Pipeline report</t>
  </si>
  <si>
    <t>Review sales cycle milestones in Capsule</t>
  </si>
  <si>
    <t>JB to review latest new section deck that 3B are implementing</t>
  </si>
  <si>
    <t>add a social media panel to the webpae</t>
  </si>
  <si>
    <t>do a new markets media article</t>
  </si>
  <si>
    <t>plan for LinkedIn commentary</t>
  </si>
  <si>
    <t>Take DY through Louise's questions (13/07)</t>
  </si>
  <si>
    <t>work out how we reference '10x' in pitch</t>
  </si>
  <si>
    <t>Add the Trademark notice</t>
  </si>
  <si>
    <t>review with Ali the email search requirements</t>
  </si>
  <si>
    <t>Review T&amp;M rates</t>
  </si>
  <si>
    <t>Review pricing method</t>
  </si>
  <si>
    <t>Review Capsule functionality &amp; Email sequencing tool?</t>
  </si>
  <si>
    <t>upgrade the email sig to include 100 devs</t>
  </si>
  <si>
    <t>outlook templae</t>
  </si>
  <si>
    <t>Archive all completed/done Monday folders</t>
  </si>
  <si>
    <t>create emails for Portal</t>
  </si>
  <si>
    <t>Engage Ian Salmon to write initial usecases</t>
  </si>
  <si>
    <t>update capsule with my new linked in contacts</t>
  </si>
  <si>
    <t>reach out to CTO at Tradition</t>
  </si>
  <si>
    <t>Articulate the velox vision</t>
  </si>
  <si>
    <t>send out 250 linkedin follower requests each month</t>
  </si>
  <si>
    <t>upload ali &amp; neto networks to capsule</t>
  </si>
  <si>
    <t>upload neto contacxts</t>
  </si>
  <si>
    <t>Content creation for LI (time track)</t>
  </si>
  <si>
    <t>Fineqia</t>
  </si>
  <si>
    <t>Understand how firms evaluate velox (security, speed, scalability, data etc)</t>
  </si>
  <si>
    <t>Check Capsule X LinkedIn followers for LinkedIn invitation</t>
  </si>
  <si>
    <t>add alison to meeting minutes\</t>
  </si>
  <si>
    <t>setup reena call for ali/ross/chris</t>
  </si>
  <si>
    <t>get the ETF related content to Ross</t>
  </si>
  <si>
    <t>two-weekly status updates</t>
  </si>
  <si>
    <t>Review monthly analytics (via 3B web)</t>
  </si>
  <si>
    <t>Look to include Cookies statement (via 3B web)</t>
  </si>
  <si>
    <t>Build Ross slide deck</t>
  </si>
  <si>
    <t>fix JB laptop</t>
  </si>
  <si>
    <t>Create New Starter Checklist</t>
  </si>
  <si>
    <t>JB to show AH &amp; CS how to run Monday report</t>
  </si>
  <si>
    <t>List events/conferences we might attend</t>
  </si>
  <si>
    <t>Prep brand reveal Q&amp;A for MMA</t>
  </si>
  <si>
    <t>Take another turn on Xav brand reveal</t>
  </si>
  <si>
    <t>Business card - design and source</t>
  </si>
  <si>
    <t>Manage RL's June execution plan</t>
  </si>
  <si>
    <t>Review new website content</t>
  </si>
  <si>
    <t>Draft Employee Privacy policy</t>
  </si>
  <si>
    <t>Build a customer journey</t>
  </si>
  <si>
    <t>List of agenda topics for sales meeting</t>
  </si>
  <si>
    <t>Draft Anti Trafficking policy</t>
  </si>
  <si>
    <t>Draft Anti Bribery &amp; Corruption policy</t>
  </si>
  <si>
    <t>chris needs elevated permissions for linkedin</t>
  </si>
  <si>
    <t>discuss with chris about pointing 3B to me so he can focus on DigMkt off line</t>
  </si>
  <si>
    <t>Ali prep for AIR</t>
  </si>
  <si>
    <t>JB London meetings</t>
  </si>
  <si>
    <t>Propose which apps to use for what</t>
  </si>
  <si>
    <t>All to add leave to central spreadsheet</t>
  </si>
  <si>
    <t>Desktop vs Server Interop talking points</t>
  </si>
  <si>
    <t>Quickbooks to SCB connection not working</t>
  </si>
  <si>
    <t>Add CS to info@veloxfintech.com</t>
  </si>
  <si>
    <t>Q3 invoicing</t>
  </si>
  <si>
    <t>Send Andrew Delaney a bottle of wine</t>
  </si>
  <si>
    <t>find out what itiviti are doing with glue</t>
  </si>
  <si>
    <t>Miscellaneous Admin (like emails/monday) (timetrack)</t>
  </si>
  <si>
    <t>prep for Eric (magic.dev) tech overview</t>
  </si>
  <si>
    <t>Document the US payroll process</t>
  </si>
  <si>
    <t>timebooking</t>
  </si>
  <si>
    <t>show the dashboard issues to xinchao - timeseries stuff</t>
  </si>
  <si>
    <t>Formalise team meeting agenda</t>
  </si>
  <si>
    <t>Update Options Impact data</t>
  </si>
  <si>
    <t>Create use case library</t>
  </si>
  <si>
    <t>give ali templates so he can upload to capsule</t>
  </si>
  <si>
    <t>record a demo of cash eq</t>
  </si>
  <si>
    <t>save the latest salestradergo config</t>
  </si>
  <si>
    <t>save the latest straight demo config</t>
  </si>
  <si>
    <t>complete spec for valantic contract</t>
  </si>
  <si>
    <t>prep for GT ETFS convo 6 pm Sun 050122</t>
  </si>
  <si>
    <t>respond to graham</t>
  </si>
  <si>
    <t>Bill valantic for balance of 2021 $300k</t>
  </si>
  <si>
    <t>get mccarter to amend valantic SAFE agreement</t>
  </si>
  <si>
    <t>prepare for hiring plan review with ETFSC</t>
  </si>
  <si>
    <t>add Ali's contacts to Capsule</t>
  </si>
  <si>
    <t>Update capsule with latest set of linkedin new contacts</t>
  </si>
  <si>
    <t>add new insight to the website</t>
  </si>
  <si>
    <t>put latest blog post onto website</t>
  </si>
  <si>
    <t>prepare draft software license for II</t>
  </si>
  <si>
    <t>review final valantic contracts</t>
  </si>
  <si>
    <t>valantic 2021 statement of work for pro services</t>
  </si>
  <si>
    <t>ETFSC response to funding proposal</t>
  </si>
  <si>
    <t>Create a sales Proposal template</t>
  </si>
  <si>
    <t>Conversation with Reena about G42 Credit Suisse deal</t>
  </si>
  <si>
    <t>Complete data gathering for valuation</t>
  </si>
  <si>
    <t>Contract Management Process</t>
  </si>
  <si>
    <t>create a more formal process internal to velox for agreeing &amp; changing decks, messaging, website</t>
  </si>
  <si>
    <t>make a final decision on the CORE product name</t>
  </si>
  <si>
    <t>Get access to the valantic training recordings</t>
  </si>
  <si>
    <t>get an estimate from shokubai to make fixes/enhancements to the existing site</t>
  </si>
  <si>
    <t>complete email cards for everyone</t>
  </si>
  <si>
    <t>Talk to Ali about LinkedIn Premium</t>
  </si>
  <si>
    <t>get email signatures made</t>
  </si>
  <si>
    <t>AH to get access to Chase accounts</t>
  </si>
  <si>
    <t>Summarise competitor info from meeting 31 may</t>
  </si>
  <si>
    <t>do an analysis on 3forge as a competitor</t>
  </si>
  <si>
    <t>Beacon.io</t>
  </si>
  <si>
    <t>Review 3B proposal</t>
  </si>
  <si>
    <t>Check why Chris' expenses not yet paid via Remote</t>
  </si>
  <si>
    <t>Collate list of velox and valantic sales collateral</t>
  </si>
  <si>
    <t>enhanced tech flow diagram</t>
  </si>
  <si>
    <t>create proper template for the flow diagrams</t>
  </si>
  <si>
    <t>sort out google analytics</t>
  </si>
  <si>
    <t>for liquifity venues</t>
  </si>
  <si>
    <t>Follow up with Joachim re Greyspark Low-Code article</t>
  </si>
  <si>
    <t>A plan for Chris</t>
  </si>
  <si>
    <t>Update PPT master and example slides for chris</t>
  </si>
  <si>
    <t>Redo core pitch based on hiring exercise</t>
  </si>
  <si>
    <t>lowcode prep for Timo/valantic</t>
  </si>
  <si>
    <t>Create plan for Markets Media between velox &amp; valantic</t>
  </si>
  <si>
    <t>prep for waters with josephine</t>
  </si>
  <si>
    <t>valantic client followups</t>
  </si>
  <si>
    <t>client followups</t>
  </si>
  <si>
    <t>resolve JB LI issues</t>
  </si>
  <si>
    <t>give feedback to nadine on upcoming MMG campaign</t>
  </si>
  <si>
    <t>Create Justworks login for AH</t>
  </si>
  <si>
    <t>data gathering for DY US tax</t>
  </si>
  <si>
    <t>Purchase Insurance (D&amp;O, P&amp;E Liability)</t>
  </si>
  <si>
    <t>Networking (time track)</t>
  </si>
  <si>
    <t>Get VAT cheque re-sent</t>
  </si>
  <si>
    <t>tell ETFSC how we would deal with clients that need DD</t>
  </si>
  <si>
    <t>add ali and alison to illustrator license</t>
  </si>
  <si>
    <t>catchup with chris(time track)</t>
  </si>
  <si>
    <t>steve weekly (time track)</t>
  </si>
  <si>
    <t>prepare velox version of the valantic press release</t>
  </si>
  <si>
    <t>press release for valantic / claudia requests</t>
  </si>
  <si>
    <t>create a grid for ali to show how to think about best opportunities</t>
  </si>
  <si>
    <t>Understand 'trial balance'</t>
  </si>
  <si>
    <t>update capsule report to use the new milestones</t>
  </si>
  <si>
    <t>Prep financials for US tax</t>
  </si>
  <si>
    <t>Xiaolu's contract</t>
  </si>
  <si>
    <t>give Xav/shok an update on what we need from them</t>
  </si>
  <si>
    <t>slides for ross comparing velox with other relevant low code providers</t>
  </si>
  <si>
    <t>Session to close out Kruze spreadsheet</t>
  </si>
  <si>
    <t>Update NDA template - new branding and general purpose section</t>
  </si>
  <si>
    <t>create a folder in Monday for all the content ideas</t>
  </si>
  <si>
    <t>clean up the bullseye</t>
  </si>
  <si>
    <t>add fixes / enhancements to the cash eq demo</t>
  </si>
  <si>
    <t>fix colors on the hero</t>
  </si>
  <si>
    <t>go through Ali's asks for capsule data entry</t>
  </si>
  <si>
    <t>compose response toTRADS ops document</t>
  </si>
  <si>
    <t>move articles that people should read to sharepoint</t>
  </si>
  <si>
    <t>Agree sales approach with valantic</t>
  </si>
  <si>
    <t>did jason write down the training script for india</t>
  </si>
  <si>
    <t>check out ag-grid - where did we get to</t>
  </si>
  <si>
    <t>share how to get access to sharepoint</t>
  </si>
  <si>
    <t>find out how to add connections to slack</t>
  </si>
  <si>
    <t>Appointment of director rules in US</t>
  </si>
  <si>
    <t>Find accountants/book keepers for US &amp; UK</t>
  </si>
  <si>
    <t>add a new section for news and media to the website</t>
  </si>
  <si>
    <t>prep for FintechTV</t>
  </si>
  <si>
    <t>complete cancellation of project manager</t>
  </si>
  <si>
    <t>Cancel Dragon software</t>
  </si>
  <si>
    <t>wordsmith valantic PR</t>
  </si>
  <si>
    <t>Option Impact: renew our subscription by filling in details</t>
  </si>
  <si>
    <t>Prep ETFS March 2022 update</t>
  </si>
  <si>
    <t>Get advice from Mark Underwood on sound track for video</t>
  </si>
  <si>
    <t>Create inter co IP agreement</t>
  </si>
  <si>
    <t>can we use UK USD account to pay SG?</t>
  </si>
  <si>
    <t>Create new starter checklist</t>
  </si>
  <si>
    <t>update NDA log with Ali's new NDAs &amp; note expiry dates</t>
  </si>
  <si>
    <t>Create policy docs for UK entitiy</t>
  </si>
  <si>
    <t>ali client questions</t>
  </si>
  <si>
    <t>Review Goals &amp; Objectives progress (time track)</t>
  </si>
  <si>
    <t>Renew employers liability insurance for UK</t>
  </si>
  <si>
    <t>create a folder for digital assets</t>
  </si>
  <si>
    <t>give Ali access to the NDA folder</t>
  </si>
  <si>
    <t>Finish off Russell's emails</t>
  </si>
  <si>
    <t>followup on wise paym,ent</t>
  </si>
  <si>
    <t>HR stuff (time tracking)</t>
  </si>
  <si>
    <t>Legal/contracts (timetracking)</t>
  </si>
  <si>
    <t>ETFS reports (timetracking)</t>
  </si>
  <si>
    <t>valantic contracts</t>
  </si>
  <si>
    <t>Talk to Foot Antsey about Canada</t>
  </si>
  <si>
    <t>Speak to Janet about escrow for Ultumus</t>
  </si>
  <si>
    <t>User erp tool to create cashflow projections</t>
  </si>
  <si>
    <t>Evolve the velox story</t>
  </si>
  <si>
    <t>Use sales strategy to create SMART objectives and KSIs</t>
  </si>
  <si>
    <t>insurance details for UK and US entities</t>
  </si>
  <si>
    <t>give missing contract info to FA</t>
  </si>
  <si>
    <t>invoice ultumus for Q1 2022</t>
  </si>
  <si>
    <t>Testimonial for Harrington Starr</t>
  </si>
  <si>
    <t>Send Ross use cases and packs</t>
  </si>
  <si>
    <t>Recruiting (timetrack)</t>
  </si>
  <si>
    <t>Ali daily catchups (time track)</t>
  </si>
  <si>
    <t>Prospecting / Sales Prep / Capsule (time track)</t>
  </si>
  <si>
    <t>create a directory for all demos and videos</t>
  </si>
  <si>
    <t>Recruiting (time tracking)</t>
  </si>
  <si>
    <t>work with Shokubai to create a new word for platform/framework/library</t>
  </si>
  <si>
    <t>create job description for Chris</t>
  </si>
  <si>
    <t>close out Kruze financials for 2021</t>
  </si>
  <si>
    <t>andrew comp comparisons</t>
  </si>
  <si>
    <t>talk to Kruze about deffered accounting and accruals</t>
  </si>
  <si>
    <t>fix govnd name on the company house docs</t>
  </si>
  <si>
    <t>LOwrey</t>
  </si>
  <si>
    <t>Bank Account access</t>
  </si>
  <si>
    <t>Draft risk register</t>
  </si>
  <si>
    <t>Is there a Monday.com Capsule interface?</t>
  </si>
  <si>
    <t>set up gdrive  account</t>
  </si>
  <si>
    <t>prepare for Fidelity next session</t>
  </si>
  <si>
    <t>Review the Valantic pitch deck</t>
  </si>
  <si>
    <t>JB give feeedback on AH Q3 ETFS notes / ideas</t>
  </si>
  <si>
    <t>Speak to Mark Weeks re short term funding fall back if our series A is delayed</t>
  </si>
  <si>
    <t>need to figure out how to get emails attached to opporutnities in capsulre</t>
  </si>
  <si>
    <t>Set up monthly f2f with Mark Weeks</t>
  </si>
  <si>
    <t>Foot Antsey healthcheck review to ensure they are up to speed</t>
  </si>
  <si>
    <t>Pay legal bills</t>
  </si>
  <si>
    <t>Eric meeting in 2nd 3rd week of jan to talk about Ironhide functionalitu</t>
  </si>
  <si>
    <t>Glue42 test environmenty</t>
  </si>
  <si>
    <t>get feedback from Limina</t>
  </si>
  <si>
    <t>addi into QB XZ, G and intern paymens</t>
  </si>
  <si>
    <t>AH Contract agreement by 28 May</t>
  </si>
  <si>
    <t>Iron Mountain bill</t>
  </si>
  <si>
    <t>Add invoices to quickbooks for items 60 &amp; 61 on Kruze sheet</t>
  </si>
  <si>
    <t>Reconcile Social Tree payments</t>
  </si>
  <si>
    <t>Create a new clean shared drive (G:)</t>
  </si>
  <si>
    <t>FW: 131242/00001 Yan/McDade May Invoice</t>
  </si>
  <si>
    <t>FW: Payment Inquiry - Saggezza Invoice for Velox</t>
  </si>
  <si>
    <t>send andy the IM</t>
  </si>
  <si>
    <t>Review Velox pro-form for ETFSC</t>
  </si>
  <si>
    <t>Create Q2 ETFSC update deck</t>
  </si>
  <si>
    <t>Arrange 'wash up' meeting with Louise</t>
  </si>
  <si>
    <t>need a process to make sure that custom fields are always filled out on capsule</t>
  </si>
  <si>
    <t>Prep the UK lawyers to get ready for the valantic contract negotiation</t>
  </si>
  <si>
    <t>Create velox zoom backdrop</t>
  </si>
  <si>
    <t>Send term sheet &amp; software license agreement to Foot Antsey</t>
  </si>
  <si>
    <t>go through each of russells leads one by one</t>
  </si>
  <si>
    <t>Discuss tax return with Kruze</t>
  </si>
  <si>
    <t>Prepare for ETFS meeting in Jan</t>
  </si>
  <si>
    <t>get Mizuho 40k from Ultumus</t>
  </si>
  <si>
    <t>Prep for Tradition demo</t>
  </si>
  <si>
    <t>Creating a shared calendar , as a minimum so the team can see my availability but ideally that we could all see al</t>
  </si>
  <si>
    <t>Delta One Software Suite (Nancy!)</t>
  </si>
  <si>
    <t>Arrange call with Jeffries</t>
  </si>
  <si>
    <t>Get Alison full access to quickbooks</t>
  </si>
  <si>
    <t>Review recording of BBVA friday meetign to get minutes</t>
  </si>
  <si>
    <t>Meet with Chloe/ETFSC with AH to go through contract</t>
  </si>
  <si>
    <t>Give Alison details of the UK bank account</t>
  </si>
  <si>
    <t>Find a UK lawyer that can draw up valantic contracts in UK law</t>
  </si>
  <si>
    <t>Process for recording and paying bills</t>
  </si>
  <si>
    <t>Find out how to expand Quickbooks to cover UK entity</t>
  </si>
  <si>
    <t>Complete Foot Anstey health check</t>
  </si>
  <si>
    <t>Check Seggazza contract</t>
  </si>
  <si>
    <t>Create paragraph on velox over 3Forge</t>
  </si>
  <si>
    <t>Check Ultumus master agreement</t>
  </si>
  <si>
    <t>set up SVB Euro account</t>
  </si>
  <si>
    <t>chase GHCOL for Q2 payment</t>
  </si>
  <si>
    <t>Do draft of presso for Weeks</t>
  </si>
  <si>
    <t>Blumberg cap table</t>
  </si>
  <si>
    <t>Natwest response on questions</t>
  </si>
  <si>
    <t>alison start date ?</t>
  </si>
  <si>
    <t>review handbook</t>
  </si>
  <si>
    <t>Upcoming payments?</t>
  </si>
  <si>
    <t>Send minutes and next agenda for 5/24/21 BBVA SteerCo</t>
  </si>
  <si>
    <t>Charles River NDA : SP 23639 Evaluation Agreement template please review kind reminder</t>
  </si>
  <si>
    <t>Review AH 100 day plan</t>
  </si>
  <si>
    <t>pay social tree</t>
  </si>
  <si>
    <t>work with Bob on contract</t>
  </si>
  <si>
    <t>ask weeks about board seat</t>
  </si>
  <si>
    <t>Get an eval agrreement for Charles River from Bob</t>
  </si>
  <si>
    <t>figure out if 3k is correct for STG</t>
  </si>
  <si>
    <t>Pay rest of Shokubai</t>
  </si>
  <si>
    <t>Pay for FintechTV</t>
  </si>
  <si>
    <t>figure out if i need to add bills or not</t>
  </si>
  <si>
    <t>pay andrew again</t>
  </si>
  <si>
    <t>Client invoicing schedule</t>
  </si>
  <si>
    <t>Permission AH &amp; RB for info@veloxfintech.com</t>
  </si>
  <si>
    <t>Create a process to deal with invoices in and out</t>
  </si>
  <si>
    <t>Check office addresses on .ppt</t>
  </si>
  <si>
    <t>Get company laptops for Alison and Russell</t>
  </si>
  <si>
    <t>BILL Velox &lt;&gt; Shokubai | Golden Circle / Brand Key Model Workshop</t>
  </si>
  <si>
    <t>Follow-up meeting with Govind on team slide</t>
  </si>
  <si>
    <t>Joachim latest investor deck</t>
  </si>
  <si>
    <t>do Glue update</t>
  </si>
  <si>
    <t>Define finance apps features</t>
  </si>
  <si>
    <t>ETFS Capital about whether Pete can co-locate</t>
  </si>
  <si>
    <t>Get back to Nadine on additional mods for the website</t>
  </si>
  <si>
    <t>Talk to Ian about migrating sales trader worflow demo to other asset classes</t>
  </si>
  <si>
    <t>NDA for RBC</t>
  </si>
  <si>
    <t>FW: velox | LinkedIn Assets</t>
  </si>
  <si>
    <t>Prepare demo for BNY Mellon</t>
  </si>
  <si>
    <t>merge capsule persons data into mein XLS</t>
  </si>
  <si>
    <t>Add AH as director of UK entitiy</t>
  </si>
  <si>
    <t>Move the BMLL meeting</t>
  </si>
  <si>
    <t>need to validate new clients added to capsule as looks like we are getting duplicated</t>
  </si>
  <si>
    <t>Permission Russell for G-Drive</t>
  </si>
  <si>
    <t>Agree approach to valantic contract - see Foot Antsey email</t>
  </si>
  <si>
    <t>Capsule terminology</t>
  </si>
  <si>
    <t>Revise NDA for BMLL</t>
  </si>
  <si>
    <t>Complete the mandate for SVB</t>
  </si>
  <si>
    <t>create zoom backdrops</t>
  </si>
  <si>
    <t>use case for Natasha</t>
  </si>
  <si>
    <t>CASEIS prep for demo</t>
  </si>
  <si>
    <t>make lowcode demo more reliable</t>
  </si>
  <si>
    <t>Update website team page to reflect Russell</t>
  </si>
  <si>
    <t>Look into setting up USD account in SVB</t>
  </si>
  <si>
    <t>write up the BMLL and RAPID calls</t>
  </si>
  <si>
    <t>AH to interview Arthur</t>
  </si>
  <si>
    <t>find out how to permission calendars</t>
  </si>
  <si>
    <t>get back to valantic with biggest issues on redlines</t>
  </si>
  <si>
    <t>chase PURESTREAM</t>
  </si>
  <si>
    <t>Setup Iron Mountain</t>
  </si>
  <si>
    <t>prepare invoice for 25k annual for delta neutral</t>
  </si>
  <si>
    <t>get back to CR</t>
  </si>
  <si>
    <t>G Drive</t>
  </si>
  <si>
    <t>Monday</t>
  </si>
  <si>
    <t>Document current operating model canvas</t>
  </si>
  <si>
    <t>Add a slack channel as article repository - if best place to do</t>
  </si>
  <si>
    <t>Update sales process doc with new milestones</t>
  </si>
  <si>
    <t>teaser for six</t>
  </si>
  <si>
    <t>Transfer cash to SVB</t>
  </si>
  <si>
    <t>Decide what to do about UK office space/address</t>
  </si>
  <si>
    <t>Check Kruse deduct tax charges from Oct bill</t>
  </si>
  <si>
    <t>send examples of solutions to andy</t>
  </si>
  <si>
    <t>Pay Foot Antsey bill</t>
  </si>
  <si>
    <t>transfer cash to UK bank account</t>
  </si>
  <si>
    <t>Create deck for T Rowe Price</t>
  </si>
  <si>
    <t>Ultumus: Chase final payments</t>
  </si>
  <si>
    <t>Speak to Chloe B about Amsterdam Co that could replace Kruze and look after UK too</t>
  </si>
  <si>
    <t>Send Purestream invoice</t>
  </si>
  <si>
    <t>Prep for new investor call on Wed</t>
  </si>
  <si>
    <t>Find out how to email contacts in Capsule by category (milestone?)</t>
  </si>
  <si>
    <t>Draft RA contract</t>
  </si>
  <si>
    <t>FIX Ultumus ACE bug</t>
  </si>
  <si>
    <t>Create November Investor Meeting pack</t>
  </si>
  <si>
    <t>Pay revenue cheque into SVB</t>
  </si>
  <si>
    <t>prep for thur session with CFGlobal</t>
  </si>
  <si>
    <t>review LodeBot for CFGlobal commercials</t>
  </si>
  <si>
    <t>right down conditional formatting issues and filterting</t>
  </si>
  <si>
    <t>give roxanne a paragraph on partnership</t>
  </si>
  <si>
    <t>SIGMA proposal today</t>
  </si>
  <si>
    <t>setup call with timo re: source code rights</t>
  </si>
  <si>
    <t>job description to northstar</t>
  </si>
  <si>
    <t>get input from martyun james on latest plan for valantic term sheet</t>
  </si>
  <si>
    <t>check with Pete on office space (need address for post)</t>
  </si>
  <si>
    <t>introduce alison to chris and send learning docs</t>
  </si>
  <si>
    <t>email gerald with why they need to pay us</t>
  </si>
  <si>
    <t>Read Rapid's Statement of Services</t>
  </si>
  <si>
    <t>Draft contract for Ali and take up references</t>
  </si>
  <si>
    <t>Set up Foot Antsey Portal</t>
  </si>
  <si>
    <t>prepare for Ali's onboarding</t>
  </si>
  <si>
    <t>Subscribe to tech crunch</t>
  </si>
  <si>
    <t>Update capsule data so that its ready for Ali</t>
  </si>
  <si>
    <t>Get new hire info ready for Ali</t>
  </si>
  <si>
    <t>send Xav and Nad the use cases</t>
  </si>
  <si>
    <t>Press/Marketing (timetrack)</t>
  </si>
  <si>
    <t>kruze/financials (time track)</t>
  </si>
  <si>
    <t>social media (time track)</t>
  </si>
  <si>
    <t>Jason daily updates (timetrack)</t>
  </si>
  <si>
    <t>tech support (ultumus etc) (time track)</t>
  </si>
  <si>
    <t>capsule sales prep (time track)</t>
  </si>
  <si>
    <t>Reading (time track)</t>
  </si>
  <si>
    <t>Planning (time recording)</t>
  </si>
  <si>
    <t>prepare for next ETFSC meeting on funding</t>
  </si>
  <si>
    <t>update with Jim</t>
  </si>
  <si>
    <t>talk to pete about going after kepler</t>
  </si>
  <si>
    <t>fx enhancement / mizuhi change and other enhancements for bernie</t>
  </si>
  <si>
    <t>What to do with Escrow</t>
  </si>
  <si>
    <t>Explain Glue/Velox relationship toAH</t>
  </si>
  <si>
    <t>Prepare an update on the solutions business for DPE on Fri Jul 5th</t>
  </si>
  <si>
    <t>Prep. for BMO meeting</t>
  </si>
  <si>
    <t>need to get the components visual laid out</t>
  </si>
  <si>
    <t>Create baseline cashflow</t>
  </si>
  <si>
    <t>Reconcile Saggezza invoices to bank account</t>
  </si>
  <si>
    <t>Review and consolidate Monday tags</t>
  </si>
  <si>
    <t>Move to Outlook</t>
  </si>
  <si>
    <t>Start 2022 planning &amp; budget process</t>
  </si>
  <si>
    <t>whats the LinkedIn charges</t>
  </si>
  <si>
    <t>Q321 update to ETFS C</t>
  </si>
  <si>
    <t>catch up on ultumus invoices</t>
  </si>
  <si>
    <t>demo enhancements</t>
  </si>
  <si>
    <t>Barclays stress test question</t>
  </si>
  <si>
    <t>chase GHCO for Q3 payment</t>
  </si>
  <si>
    <t>Set up meeting with Joseph Daniels for Jason</t>
  </si>
  <si>
    <t>Get Greg's offer letter</t>
  </si>
  <si>
    <t>respond to blumberg</t>
  </si>
  <si>
    <t>Pay Steve more</t>
  </si>
  <si>
    <t>dates next week for holga</t>
  </si>
  <si>
    <t>Capsule  tutorial</t>
  </si>
  <si>
    <t>Discuss with AH about how to leverage LSE to re-ignite Refinitive FXALL</t>
  </si>
  <si>
    <t>Give Alison contracts for input into finance app</t>
  </si>
  <si>
    <t>Find out what the IronMountain escrow process is</t>
  </si>
  <si>
    <t>get the cubes diagram so i can buildd things</t>
  </si>
  <si>
    <t>joachim and andy end of sep for legal stuff</t>
  </si>
  <si>
    <t>Pay Tax</t>
  </si>
  <si>
    <t>REview Expenses in Quickbooks</t>
  </si>
  <si>
    <t>Complete UK bank account</t>
  </si>
  <si>
    <t>Need to document a pricing strategy</t>
  </si>
  <si>
    <t>Set up new Monday Board for chasing other's actions?</t>
  </si>
  <si>
    <t>Check in with NatWest markets</t>
  </si>
  <si>
    <t>get xinchao to figure out how to do these heatmaps</t>
  </si>
  <si>
    <t>Bios for RB &amp; AH plus new photo of Andrew B</t>
  </si>
  <si>
    <t>followups for UBS Principal Investments call</t>
  </si>
  <si>
    <t>Company Secretary duties - what are they?</t>
  </si>
  <si>
    <t>Pay Ken Oliver Invoice</t>
  </si>
  <si>
    <t>Create strategic objectives for 2022</t>
  </si>
  <si>
    <t>Fidelity investment followup</t>
  </si>
  <si>
    <t>Contract Charles River</t>
  </si>
  <si>
    <t>FW: Velox &lt;&gt; Shokubai | Golden Circle / Brand Key Model Workshop</t>
  </si>
  <si>
    <t>figure out if jon ip address has a bad sender reputation</t>
  </si>
  <si>
    <t>add ops use case to the main deck</t>
  </si>
  <si>
    <t>Tidy up Investment memo for general use e.g. UBS</t>
  </si>
  <si>
    <t>US corporate insurance</t>
  </si>
  <si>
    <t>permission AH for  Finance@velox for HMRC &amp; Co House</t>
  </si>
  <si>
    <t>Justworks funds wire - follow up with JB - see email</t>
  </si>
  <si>
    <t>introduce pete and alison</t>
  </si>
  <si>
    <t>VAT reclaim</t>
  </si>
  <si>
    <t>put in place process to track my time</t>
  </si>
  <si>
    <t>create a monday export script so we can sumarise and share tasjs</t>
  </si>
  <si>
    <t>Create cashflow scenarios for Series A planning</t>
  </si>
  <si>
    <t>stop contact form junk</t>
  </si>
  <si>
    <t>Restructure of Ultumus contract</t>
  </si>
  <si>
    <t>BBVA SteerCo minutes and actions</t>
  </si>
  <si>
    <t>Follow up on Tradition opportunity (via RA)</t>
  </si>
  <si>
    <t>Follow up with CR to continue demos</t>
  </si>
  <si>
    <t>Add payments to finance sheet to track what has and has.m not been paid</t>
  </si>
  <si>
    <t>AH Contact Martyn James</t>
  </si>
  <si>
    <t>get cost of NExtStage 6 seats until end of yeat</t>
  </si>
  <si>
    <t>Which policies do we have in place?</t>
  </si>
  <si>
    <t>Change the company registered address when we lose 55 basinghall Street</t>
  </si>
  <si>
    <t>Contact Silicon Valley re adding AH &amp; also for Swift No. for invoices</t>
  </si>
  <si>
    <t>Submit &amp; Pay Q4 VAT</t>
  </si>
  <si>
    <t>steve extra pay</t>
  </si>
  <si>
    <t>get pete and andy feedback on ALi</t>
  </si>
  <si>
    <t>Complete JB migration to G Drive</t>
  </si>
  <si>
    <t>Update all bills onto new G drive</t>
  </si>
  <si>
    <t>McCarter English</t>
  </si>
  <si>
    <t>VAT registration requirements</t>
  </si>
  <si>
    <t>Draft Ali offer email for Lee</t>
  </si>
  <si>
    <t>Complete Hiring burn for budget</t>
  </si>
  <si>
    <t>additional followups</t>
  </si>
  <si>
    <t>Find advice on how to maximise LinkedIn - Sales Navigator?</t>
  </si>
  <si>
    <t>Agree with Jason on core pitch being this we are same as low code - data ?</t>
  </si>
  <si>
    <t>Create Marketing roadmap</t>
  </si>
  <si>
    <t>confirm markets media cost split with Joachim/Andy</t>
  </si>
  <si>
    <t>Create use cases/ elevator pitches</t>
  </si>
  <si>
    <t>get 'insights' into the new website</t>
  </si>
  <si>
    <t>Add Frankfurt address to website</t>
  </si>
  <si>
    <t>Create velox YouTube account</t>
  </si>
  <si>
    <t>Respond to Nadine</t>
  </si>
  <si>
    <t>Market analysis of podcasts</t>
  </si>
  <si>
    <t>Contact form opt-in - US legal requirement</t>
  </si>
  <si>
    <t>use Steve's content map to create blog titles</t>
  </si>
  <si>
    <t>create an FI version of the SalesTraderGO</t>
  </si>
  <si>
    <t>What's timeframe/next steps for Shokubai?</t>
  </si>
  <si>
    <t>Create the velox version of the valantic deck for Shokubai to reformat</t>
  </si>
  <si>
    <t>Create a short version of the tech script</t>
  </si>
  <si>
    <t>Extract Use cases from sales opps (eg Barclays) to add to collateral</t>
  </si>
  <si>
    <t>create a hero page for fidessa / sales trader GO</t>
  </si>
  <si>
    <t>Create a 'regulations' use case</t>
  </si>
  <si>
    <t>build out auditability and data lieage use case</t>
  </si>
  <si>
    <t>give giles different pipeline for ETF trading - use BNY mellon</t>
  </si>
  <si>
    <t>promote Glue video</t>
  </si>
  <si>
    <t>right up our sales &amp; distribution process</t>
  </si>
  <si>
    <t>build out column and row use case permisioning example</t>
  </si>
  <si>
    <t>Agree headshots for SG, RB and AH</t>
  </si>
  <si>
    <t>FW: can you like my post</t>
  </si>
  <si>
    <t>convert investor deck to new brand</t>
  </si>
  <si>
    <t>Change Linked in to velox (not ve10x)</t>
  </si>
  <si>
    <t>get 1st draft of nov presso to casper</t>
  </si>
  <si>
    <t>casper quarterly update</t>
  </si>
  <si>
    <t>Confirm whether we want to build ourselves or wether 3800 EUR from Nadine is better</t>
  </si>
  <si>
    <t>Find a graphic designer to do a proper version of the cubes</t>
  </si>
  <si>
    <t>take caspar through where we are with the website</t>
  </si>
  <si>
    <t>kates - tell grob + send info + roundtable</t>
  </si>
  <si>
    <t>building out the websiter</t>
  </si>
  <si>
    <t>Complete wording on vision page for website</t>
  </si>
  <si>
    <t>Deck for Standard and Chartered</t>
  </si>
  <si>
    <t>get version of logo for dark mode / theme</t>
  </si>
  <si>
    <t>Get a dark theme view of new logo and UX</t>
  </si>
  <si>
    <t>Make improvements to insights sections</t>
  </si>
  <si>
    <t>send ipop what the front page will look like</t>
  </si>
  <si>
    <t>promote latest video from toby</t>
  </si>
  <si>
    <t>prep for RBC ultumus</t>
  </si>
  <si>
    <t>fix the links on the website</t>
  </si>
  <si>
    <t>share Unqork</t>
  </si>
  <si>
    <t>november</t>
  </si>
  <si>
    <t>jenga diagram</t>
  </si>
  <si>
    <t>outline for nov</t>
  </si>
  <si>
    <t>add this weeks new contatcs</t>
  </si>
  <si>
    <t>change capsulecrm python to extract emails and notes</t>
  </si>
  <si>
    <t>send out emails to connections based on andrew convo</t>
  </si>
  <si>
    <t>get back to George Al on the new video</t>
  </si>
  <si>
    <t>resend the modernization article</t>
  </si>
  <si>
    <t>use investor deck narrative as next markets media story</t>
  </si>
  <si>
    <t>give Nadine final sign off of logo stuff</t>
  </si>
  <si>
    <t>2 pager for Andrew</t>
  </si>
  <si>
    <t>Complete Cubes designs for Jonny</t>
  </si>
  <si>
    <t>Bio and Photo for Waters</t>
  </si>
  <si>
    <t>Prepare for George Geddes interview</t>
  </si>
  <si>
    <t>Update Steve on TABB</t>
  </si>
  <si>
    <t>adverts</t>
  </si>
  <si>
    <t>iPOp</t>
  </si>
  <si>
    <t>review terry's submission</t>
  </si>
  <si>
    <t>respond to teresa about low/no code</t>
  </si>
  <si>
    <t>send website stuff to xav</t>
  </si>
  <si>
    <t>RBC_EQ</t>
  </si>
  <si>
    <t>BLACKSTONE</t>
  </si>
  <si>
    <t>Nikolai</t>
  </si>
  <si>
    <t>Posting/Marketing</t>
  </si>
  <si>
    <t>Temp / Misc</t>
  </si>
  <si>
    <t>Campaigns Misc</t>
  </si>
  <si>
    <t>Hiring</t>
  </si>
  <si>
    <t>India Team</t>
  </si>
  <si>
    <t>COSMOS</t>
  </si>
  <si>
    <t>Jon</t>
  </si>
  <si>
    <t>Targeted linkedin/phone/email</t>
  </si>
  <si>
    <t>General Tasks</t>
  </si>
  <si>
    <t>Creating a Solutions Business</t>
  </si>
  <si>
    <t>Alison</t>
  </si>
  <si>
    <t>LSEG_VICKY</t>
  </si>
  <si>
    <t>Add Nikolai's target list to Capsule campaign</t>
  </si>
  <si>
    <t>Neil PAwar</t>
  </si>
  <si>
    <t>International Derivatives Expo</t>
  </si>
  <si>
    <t>REDBURN</t>
  </si>
  <si>
    <t>automate generation of meeting minutes</t>
  </si>
  <si>
    <t>quick opener tool to make it easy to find common docs</t>
  </si>
  <si>
    <t>tidy up time analysis tool</t>
  </si>
  <si>
    <t>slides for nikolai</t>
  </si>
  <si>
    <t>Set Nikolai and Fi up with Slack</t>
  </si>
  <si>
    <t>vCore diagram with systems we can accelerate</t>
  </si>
  <si>
    <t>MIsc</t>
  </si>
  <si>
    <t>check the emails he sent to prospects</t>
  </si>
  <si>
    <t>mike at derivs conference</t>
  </si>
  <si>
    <t>Start sponsorship process for UK visa apps</t>
  </si>
  <si>
    <t>Create July 2023 pack</t>
  </si>
  <si>
    <t>Create Q3 2022 Update pack</t>
  </si>
  <si>
    <t>Create business cards for Mike W</t>
  </si>
  <si>
    <t>CRO search</t>
  </si>
  <si>
    <t>make docs page pop up warning if not using chrome</t>
  </si>
  <si>
    <t>create campaign dashboard for GTM meetings</t>
  </si>
  <si>
    <t>go through campaign plan w/jason</t>
  </si>
  <si>
    <t>add a link to watch full video n youtube</t>
  </si>
  <si>
    <t>PERPETUA</t>
  </si>
  <si>
    <t>Hertschten Group</t>
  </si>
  <si>
    <t>Aredea</t>
  </si>
  <si>
    <t>take a checkpoint on the website - do we need to invest?</t>
  </si>
  <si>
    <t>Medium content - inventory and recommendations</t>
  </si>
  <si>
    <t>fix docs page so need to double click is more obvious</t>
  </si>
  <si>
    <t>Prep for Nikolai kickoff</t>
  </si>
  <si>
    <t>re-emphase point of campaigns</t>
  </si>
  <si>
    <t>reconfigure bi-weekly team meeting</t>
  </si>
  <si>
    <t>10 things to consider when building an OMS</t>
  </si>
  <si>
    <t>Update team page</t>
  </si>
  <si>
    <t>tech debt impact on developer productivity</t>
  </si>
  <si>
    <t>fix docs page to not autoplay videos</t>
  </si>
  <si>
    <t>Complete Formation Documents</t>
  </si>
  <si>
    <t>Engage India legal</t>
  </si>
  <si>
    <t>improve job title matching script</t>
  </si>
  <si>
    <t>Tower</t>
  </si>
  <si>
    <t>Create a sales calendar</t>
  </si>
  <si>
    <t>Cognizant</t>
  </si>
  <si>
    <t>Identify TAM</t>
  </si>
  <si>
    <t>detailed use-case summary for Fi and Nicolai</t>
  </si>
  <si>
    <t>Sign up for FPL Membership</t>
  </si>
  <si>
    <t>Get Mike up-to-speed with his onboarding doc</t>
  </si>
  <si>
    <t>Mike daily update</t>
  </si>
  <si>
    <t>Schedule meetings for upcoming London trip</t>
  </si>
  <si>
    <t>Ample Markets</t>
  </si>
  <si>
    <t>QUANTUM_PARTNERSHIP</t>
  </si>
  <si>
    <t>LinkedIn</t>
  </si>
  <si>
    <t>Update the docs page with new videos</t>
  </si>
  <si>
    <t>plan JB days in London - 2nd week of JUly</t>
  </si>
  <si>
    <t>velox bringing the power of the platforms to front office</t>
  </si>
  <si>
    <t>Security Questions</t>
  </si>
  <si>
    <t>Carnegie</t>
  </si>
  <si>
    <t>ATHENS_EXCHANGE</t>
  </si>
  <si>
    <t>Hiring process for new starters</t>
  </si>
  <si>
    <t>Set up new US bank account</t>
  </si>
  <si>
    <t>upload mikes contacts to capsule</t>
  </si>
  <si>
    <t>Catch up wth Mike</t>
  </si>
  <si>
    <t>Catch up with Mike</t>
  </si>
  <si>
    <t>Investor</t>
  </si>
  <si>
    <t>campaign overview</t>
  </si>
  <si>
    <t>what drives developer productivity</t>
  </si>
  <si>
    <t>cash eq tech themes</t>
  </si>
  <si>
    <t>What to do with MMG now valantic not doing joint plan?</t>
  </si>
  <si>
    <t>pricing strategy</t>
  </si>
  <si>
    <t>create a tool that can easilly search all word docs and pdfs</t>
  </si>
  <si>
    <t>Social media tracking</t>
  </si>
  <si>
    <t>monthly capsulecrm pipeline purge</t>
  </si>
  <si>
    <t>Create pricing framework</t>
  </si>
  <si>
    <t>crypto startups - leveraging mikes network</t>
  </si>
  <si>
    <t>JOSOOR</t>
  </si>
  <si>
    <t>Catch up with Jason</t>
  </si>
  <si>
    <t>Catch up with Alison</t>
  </si>
  <si>
    <t>ROI Calculator on website</t>
  </si>
  <si>
    <t>Finish Mike strategy document</t>
  </si>
  <si>
    <t>investigate Beacon strategy for complex value prop</t>
  </si>
  <si>
    <t>investigate Mikes idea about tool that can provide pptx dist/tracking</t>
  </si>
  <si>
    <t>US R&amp;D tax credit</t>
  </si>
  <si>
    <t>pitching to ALL the heads of equities tech/cash equities tech</t>
  </si>
  <si>
    <t>EXEGY_MO</t>
  </si>
  <si>
    <t>BJB</t>
  </si>
  <si>
    <t>Announce MIke</t>
  </si>
  <si>
    <t>Steve Savides non-capmkts lead gen plan</t>
  </si>
  <si>
    <t>The expanding role of FIX in automating fixed-income markets</t>
  </si>
  <si>
    <t>ironhide and ultumus</t>
  </si>
  <si>
    <t>Update Options Impact data - quarterly</t>
  </si>
  <si>
    <t>Announce Jon FIX Panel FIX NY Regional</t>
  </si>
  <si>
    <t>make sure we have email addresses added for all previous prospect engagements</t>
  </si>
  <si>
    <t>PPC/PPV on LI - Plan and execute</t>
  </si>
  <si>
    <t>Next newsletter</t>
  </si>
  <si>
    <t>put the long form videos onto veloxfintech/docs</t>
  </si>
  <si>
    <t>use the scotia email template as a catalyst to start targetting banks</t>
  </si>
  <si>
    <t>create a generic org chart that we can match high priority targets at each firm too</t>
  </si>
  <si>
    <t>map out 2 example accounts</t>
  </si>
  <si>
    <t>evaluate AmpleMarkets</t>
  </si>
  <si>
    <t>evaluate Avoma</t>
  </si>
  <si>
    <t>FRBNY</t>
  </si>
  <si>
    <t>put thj</t>
  </si>
  <si>
    <t>review steve savides proposal and make a decisions</t>
  </si>
  <si>
    <t>t+1 and velox ability to help solve (w/Cognizant)</t>
  </si>
  <si>
    <t>PWC</t>
  </si>
  <si>
    <t>Pull together everything in excel</t>
  </si>
  <si>
    <t>Announce Mo FIX London</t>
  </si>
  <si>
    <t>Update social media content to webpage</t>
  </si>
  <si>
    <t>sort out how parts of webpage are viewed on mobile</t>
  </si>
  <si>
    <t>DELOITTE</t>
  </si>
  <si>
    <t>TK INVEST</t>
  </si>
  <si>
    <t>WAMID</t>
  </si>
  <si>
    <t>SIMCORP</t>
  </si>
  <si>
    <t>TIGER_GLOBAL</t>
  </si>
  <si>
    <t>STEFAN_NEWCO</t>
  </si>
  <si>
    <t>Prep March 2023 pack</t>
  </si>
  <si>
    <t>Formally issues shares to Greg, Steve &amp; Alison</t>
  </si>
  <si>
    <t>Review Options Impact data for leadership team reward structure</t>
  </si>
  <si>
    <t>Review insurance coverage gaps with Marsh</t>
  </si>
  <si>
    <t>Interviewing candidates</t>
  </si>
  <si>
    <t>short recording of demos</t>
  </si>
  <si>
    <t>Reconciling conflicting 'developer headlines</t>
  </si>
  <si>
    <t>Complete Q1 revenue forecast</t>
  </si>
  <si>
    <t>UK Insurance renewal</t>
  </si>
  <si>
    <t>Leadership pay review</t>
  </si>
  <si>
    <t>Annual policy review - March</t>
  </si>
  <si>
    <t>Monthly MI pack</t>
  </si>
  <si>
    <t>Prep for MLP insurance convo</t>
  </si>
  <si>
    <t>Renew Tech and Cyber Insurance</t>
  </si>
  <si>
    <t>Create goals &amp; objectives for 2023</t>
  </si>
  <si>
    <t>Onboard Shridhar</t>
  </si>
  <si>
    <t>Announce Shridhar</t>
  </si>
  <si>
    <t>Pitch Specific</t>
  </si>
  <si>
    <t>symphony demo</t>
  </si>
  <si>
    <t>presenting the plan to sales</t>
  </si>
  <si>
    <t>add state management use case to handout pdfs</t>
  </si>
  <si>
    <t>UK Graduates</t>
  </si>
  <si>
    <t>Develop ecosystem idea</t>
  </si>
  <si>
    <t>JB historical expenses</t>
  </si>
  <si>
    <t>Travel &amp; Entertainment process</t>
  </si>
  <si>
    <t>Alison Q4 22 review</t>
  </si>
  <si>
    <t>a good design wont survive a bad implementation</t>
  </si>
  <si>
    <t>Sort Permanent Establishment position in France</t>
  </si>
  <si>
    <t>trends velox saw in 2022</t>
  </si>
  <si>
    <t>Q422 performance review</t>
  </si>
  <si>
    <t>Q422 perf review</t>
  </si>
  <si>
    <t>Agree marketing budget for H2 2022</t>
  </si>
  <si>
    <t>next 3 months sales strategy from dec</t>
  </si>
  <si>
    <t>deck for rishi</t>
  </si>
  <si>
    <t>Uk bank account depositor protection - speak to FA</t>
  </si>
  <si>
    <t>Resource plan</t>
  </si>
  <si>
    <t>distill out key talking points of our decks</t>
  </si>
  <si>
    <t>prep for graham on sales strategy</t>
  </si>
  <si>
    <t>Create 2023 Budget</t>
  </si>
  <si>
    <t>Sort German tax rebate</t>
  </si>
  <si>
    <t>renegotiate terms with Steve Grob</t>
  </si>
  <si>
    <t>MO recruitment</t>
  </si>
  <si>
    <t>get talking points on credibility of options-impact data</t>
  </si>
  <si>
    <t>put together talking points on why our sales compensation plan is competitive</t>
  </si>
  <si>
    <t>Work with Dyke yaxley to get US tax done</t>
  </si>
  <si>
    <t>sales process analysis</t>
  </si>
  <si>
    <t>Contract creation Process</t>
  </si>
  <si>
    <t>Agree strategy around website</t>
  </si>
  <si>
    <t>Neto recruitment</t>
  </si>
  <si>
    <t>US TAX - Foreign Owner 5472 forms</t>
  </si>
  <si>
    <t>Intro for SIX for Bernie</t>
  </si>
  <si>
    <t>setup a template for creating web version of posts</t>
  </si>
  <si>
    <t>something to do with frogs</t>
  </si>
  <si>
    <t>can low code principles be applied to the enterprise</t>
  </si>
  <si>
    <t>why are trading floors stacked with screens</t>
  </si>
  <si>
    <t>is_low_code_the_next_front_office_revol</t>
  </si>
  <si>
    <t>turbo charging innvoation</t>
  </si>
  <si>
    <t>reimagine front office tech</t>
  </si>
  <si>
    <t>why do systems become legacy</t>
  </si>
  <si>
    <t>software had eaten the world</t>
  </si>
  <si>
    <t>Review Ali's pipeline</t>
  </si>
  <si>
    <t>go around F &amp; F to get co-operation on posts</t>
  </si>
  <si>
    <t>Employee spotlight</t>
  </si>
  <si>
    <t>inter-meeting email update on sales pipeline for mark</t>
  </si>
  <si>
    <t>speak to lawyer/tax adviser about stock issuance</t>
  </si>
  <si>
    <t>Create a business plan</t>
  </si>
  <si>
    <t>define role for Chris</t>
  </si>
  <si>
    <t>List everyone's birthday</t>
  </si>
  <si>
    <t>Transcribe sell-side app build video</t>
  </si>
  <si>
    <t>setup sales pipeline reviews</t>
  </si>
  <si>
    <t>Review Vision57 role at end of year</t>
  </si>
  <si>
    <t>add management board to alison / jon repoirt</t>
  </si>
  <si>
    <t>Monthly sales meeting</t>
  </si>
  <si>
    <t>ETFS competitor analysis</t>
  </si>
  <si>
    <t>Generate July sales data from Capsule</t>
  </si>
  <si>
    <t>Need legal entity management strategy</t>
  </si>
  <si>
    <t>is app dev a people problem</t>
  </si>
  <si>
    <t>even MS gets caught out by MAXINT</t>
  </si>
  <si>
    <t>ping strategic investment teams at big banks</t>
  </si>
  <si>
    <t>what is a data fabric</t>
  </si>
  <si>
    <t>connect jason and jons demos together</t>
  </si>
  <si>
    <t>building a worldclass UI</t>
  </si>
  <si>
    <t>ny solstice when the stars align</t>
  </si>
  <si>
    <t>add new slide showing that we solve the full stack soln as a venn</t>
  </si>
  <si>
    <t>Benefits of browser tech</t>
  </si>
  <si>
    <t>JB</t>
  </si>
  <si>
    <t>put together a strategy doc for chris to follow and refine</t>
  </si>
  <si>
    <t>decide on a date when he takes on formal job role (digital marketing?)</t>
  </si>
  <si>
    <t>Background checks on Remote staff</t>
  </si>
  <si>
    <t>Work out expected cash flow from CG, II &amp; T</t>
  </si>
  <si>
    <t>Prep ETFS July Update (19th)</t>
  </si>
  <si>
    <t>prepare sales plan/timelines/budget for ETFSC update in JUly</t>
  </si>
  <si>
    <t>Confirm whether DY can do Stock Option reporting</t>
  </si>
  <si>
    <t>Sort out NEST pension payments</t>
  </si>
  <si>
    <t>Desktop Interop vs Server Interop</t>
  </si>
  <si>
    <t>Monthly review of Goals and Objectives</t>
  </si>
  <si>
    <t>get ali to properly qualify all his ops in Capsule</t>
  </si>
  <si>
    <t>Cross entity charges</t>
  </si>
  <si>
    <t>confirm in the UK that we can exit for performance</t>
  </si>
  <si>
    <t>andy how we think about sales comp</t>
  </si>
  <si>
    <t>Explain CORE to all at team meeting</t>
  </si>
  <si>
    <t>velox eyes ETF trading</t>
  </si>
  <si>
    <t>valantic press release</t>
  </si>
  <si>
    <t>etherner innevntor dies</t>
  </si>
  <si>
    <t>Progress commission plan</t>
  </si>
  <si>
    <t>Contract management process</t>
  </si>
  <si>
    <t>Chris to London - decision required</t>
  </si>
  <si>
    <t>Change Co address to Dyke Yaxley</t>
  </si>
  <si>
    <t>work on getting a backlog of articles</t>
  </si>
  <si>
    <t>work on getting reading news into a routine</t>
  </si>
  <si>
    <t>keep track of everything we post so we can reuse good language</t>
  </si>
  <si>
    <t>Look at DY questions re US transactions</t>
  </si>
  <si>
    <t>make sure sharepoint permissions work properly in the leadership directory</t>
  </si>
  <si>
    <t>Understand what Dyke Yaxley are doing and when</t>
  </si>
  <si>
    <t>Try to get AH access to the Chase bank accounts</t>
  </si>
  <si>
    <t>dont try to do too many things at the same time</t>
  </si>
  <si>
    <t>snippets from the latest FinTechTV</t>
  </si>
  <si>
    <t>marketing videos e.g. ETF/ Ultumus</t>
  </si>
  <si>
    <t>Create Luigi management dashboard video</t>
  </si>
  <si>
    <t>finalize valantic press release</t>
  </si>
  <si>
    <t>Nasdaq investment</t>
  </si>
  <si>
    <t>2665003350</t>
  </si>
  <si>
    <t>pricing</t>
  </si>
  <si>
    <t>foo</t>
  </si>
  <si>
    <t>New Group</t>
  </si>
  <si>
    <t>new_group45400</t>
  </si>
  <si>
    <t>new_group65204</t>
  </si>
  <si>
    <t>new_group83715</t>
  </si>
  <si>
    <t>new_group31770</t>
  </si>
  <si>
    <t>new_group84509</t>
  </si>
  <si>
    <t>new_group30892</t>
  </si>
  <si>
    <t>new_group86005</t>
  </si>
  <si>
    <t>new_group36331</t>
  </si>
  <si>
    <t>new_group94492</t>
  </si>
  <si>
    <t>new_group81466</t>
  </si>
  <si>
    <t>campaigns_misc</t>
  </si>
  <si>
    <t>new_group22516</t>
  </si>
  <si>
    <t>new_group23556</t>
  </si>
  <si>
    <t>new_group36970</t>
  </si>
  <si>
    <t>new_group51334</t>
  </si>
  <si>
    <t>new_group52767</t>
  </si>
  <si>
    <t>new_group15793</t>
  </si>
  <si>
    <t>new_group11818</t>
  </si>
  <si>
    <t>new_group70453</t>
  </si>
  <si>
    <t>new_group10536</t>
  </si>
  <si>
    <t>new_group77836</t>
  </si>
  <si>
    <t>new_group68425</t>
  </si>
  <si>
    <t>new_group48700</t>
  </si>
  <si>
    <t>new_group92939</t>
  </si>
  <si>
    <t>new_group73661</t>
  </si>
  <si>
    <t>Marketing Objectives and Key Results</t>
  </si>
  <si>
    <t>Formalize use cases to reinforce Velox platform capabilities by campaign stream</t>
  </si>
  <si>
    <t>Update our website to reflect growth, generate demand and support e2e sales cycle</t>
  </si>
  <si>
    <t>Use media partners to tell &amp; amplify our story</t>
  </si>
  <si>
    <t>stay visible through consistent social posting and newsletter distribution</t>
  </si>
  <si>
    <t>new_group47056</t>
  </si>
  <si>
    <t>Raise awareness by expanding participation at industry events</t>
  </si>
  <si>
    <t>new_group71877</t>
  </si>
  <si>
    <t>new_group94230</t>
  </si>
  <si>
    <t>new_group24916</t>
  </si>
  <si>
    <t>Membership &amp; Events</t>
  </si>
  <si>
    <t>Placeholder for Events Budget Work</t>
  </si>
  <si>
    <t>FIA Expo</t>
  </si>
  <si>
    <t>short WP on use-cases and boiler plate</t>
  </si>
  <si>
    <t>Valantic contract review</t>
  </si>
  <si>
    <t>Refresh company bylaws</t>
  </si>
  <si>
    <t>Sales Report</t>
  </si>
  <si>
    <t>do a code scan for BNP audit</t>
  </si>
  <si>
    <t>Set up HSBC bank accounts</t>
  </si>
  <si>
    <t>FIX</t>
  </si>
  <si>
    <t>SANTANDER_JOSELUIS</t>
  </si>
  <si>
    <t>Create job spec</t>
  </si>
  <si>
    <t>Barclays set up</t>
  </si>
  <si>
    <t>create  demo video of the Ladder for Futures First</t>
  </si>
  <si>
    <t>upload latest jobtitle parse results to capsule 0725</t>
  </si>
  <si>
    <t>add auto format/filterer to campaign viewer</t>
  </si>
  <si>
    <t>Performance</t>
  </si>
  <si>
    <t>CSuite</t>
  </si>
  <si>
    <t>JB to process any followups from the london trip</t>
  </si>
  <si>
    <t>Pay India team from US until entity set up</t>
  </si>
  <si>
    <t>Senior Sales Advisors</t>
  </si>
  <si>
    <t>Complete US trademark registration</t>
  </si>
  <si>
    <t>License Xero for finances (QB not available in India)</t>
  </si>
  <si>
    <t>Create a monthly all-hands update email</t>
  </si>
  <si>
    <t>mike to send out meeting minutes from london trip</t>
  </si>
  <si>
    <t>PER_WIDSTROM</t>
  </si>
  <si>
    <t>Create COSMOS use case slide of BNP</t>
  </si>
  <si>
    <t>Event Evaluation Checklist</t>
  </si>
  <si>
    <t>also i think we should do a review of all the different desk slides we have so that they are in one place and we can pick which ones we want to promote to the website</t>
  </si>
  <si>
    <t>NORDEA</t>
  </si>
  <si>
    <t>2024 event and association budget</t>
  </si>
  <si>
    <t>Curating Messaging/Collateral</t>
  </si>
  <si>
    <t>demos</t>
  </si>
  <si>
    <t>Curating Content for Posting</t>
  </si>
  <si>
    <t>Managing Website</t>
  </si>
  <si>
    <t>Building General Collateral</t>
  </si>
  <si>
    <t>Building Pitch Decks</t>
  </si>
  <si>
    <t>Servicing Existing Prospects</t>
  </si>
  <si>
    <t>servicing_existing_prospects</t>
  </si>
  <si>
    <t>Managing Clients/Partners</t>
  </si>
  <si>
    <t>Publishing Content</t>
  </si>
  <si>
    <t>Generating Leads/Prospects</t>
  </si>
  <si>
    <t>temp___misc</t>
  </si>
  <si>
    <t>Running the Business</t>
  </si>
  <si>
    <t>weekly_team_status</t>
  </si>
  <si>
    <t>General Admin Test</t>
  </si>
  <si>
    <t>new_group35202</t>
  </si>
  <si>
    <t>new_group57649</t>
  </si>
  <si>
    <t>Test 2</t>
  </si>
  <si>
    <t>Preparing for Presentations</t>
  </si>
  <si>
    <t>Meeting followups</t>
  </si>
  <si>
    <t>new_group3276</t>
  </si>
  <si>
    <t>Preparing for PoC</t>
  </si>
  <si>
    <t>new_group91674</t>
  </si>
  <si>
    <t>Washing up after Presentation</t>
  </si>
  <si>
    <t>new_group43732</t>
  </si>
  <si>
    <t>Scheduling Followups</t>
  </si>
  <si>
    <t>new_group2448</t>
  </si>
  <si>
    <t>Client support</t>
  </si>
  <si>
    <t>0818</t>
  </si>
  <si>
    <t>DONE in th emiddle of being able to add status and owner to new items; got it working in playground</t>
  </si>
  <si>
    <t>DONE got in working in CreateMondayItem and also added Tags</t>
  </si>
  <si>
    <t>DONEand also update add sub item function</t>
  </si>
  <si>
    <t>Software&amp;Services</t>
  </si>
  <si>
    <t>Ultumus</t>
  </si>
  <si>
    <t>MarComms</t>
  </si>
  <si>
    <t>Invoices</t>
  </si>
  <si>
    <t>valantic</t>
  </si>
  <si>
    <t>ma</t>
  </si>
  <si>
    <t>Decks</t>
  </si>
  <si>
    <t>Demo</t>
  </si>
  <si>
    <t>MIzuho</t>
  </si>
  <si>
    <t>ukentity</t>
  </si>
  <si>
    <t>JB/AHGeneral</t>
  </si>
  <si>
    <t>FinanceActions</t>
  </si>
  <si>
    <t>Krux</t>
  </si>
  <si>
    <t>partners</t>
  </si>
  <si>
    <t>Gue42</t>
  </si>
  <si>
    <t>Glue42</t>
  </si>
  <si>
    <t>Tradition</t>
  </si>
  <si>
    <t>CharlesRiver</t>
  </si>
  <si>
    <t>mccarter</t>
  </si>
  <si>
    <t>Refinitiv</t>
  </si>
  <si>
    <t>Stifel</t>
  </si>
  <si>
    <t>Fidelity</t>
  </si>
  <si>
    <t>marketsmedia</t>
  </si>
  <si>
    <t>pitchdeck</t>
  </si>
  <si>
    <t>crux</t>
  </si>
  <si>
    <t>prospects</t>
  </si>
  <si>
    <t>UBS</t>
  </si>
  <si>
    <t>contracts</t>
  </si>
  <si>
    <t>RBC</t>
  </si>
  <si>
    <t>process</t>
  </si>
  <si>
    <t>Office</t>
  </si>
  <si>
    <t>SalesSupport</t>
  </si>
  <si>
    <t>Bills</t>
  </si>
  <si>
    <t>ReachOut</t>
  </si>
  <si>
    <t>TIMETRACKING</t>
  </si>
  <si>
    <t>expenses</t>
  </si>
  <si>
    <t>content</t>
  </si>
  <si>
    <t>press</t>
  </si>
  <si>
    <t>socialmedia</t>
  </si>
  <si>
    <t>capsulecrm</t>
  </si>
  <si>
    <t>monday</t>
  </si>
  <si>
    <t>strategy</t>
  </si>
  <si>
    <t>usecases</t>
  </si>
  <si>
    <t>linkedin</t>
  </si>
  <si>
    <t>webinar</t>
  </si>
  <si>
    <t>CustomerSupport</t>
  </si>
  <si>
    <t>Reading</t>
  </si>
  <si>
    <t>nda</t>
  </si>
  <si>
    <t>training&amp;development</t>
  </si>
  <si>
    <t>MeetingNotes</t>
  </si>
  <si>
    <t>collateral</t>
  </si>
  <si>
    <t>contacts</t>
  </si>
  <si>
    <t>crd</t>
  </si>
  <si>
    <t>research</t>
  </si>
  <si>
    <t>clientfollowup</t>
  </si>
  <si>
    <t>Campaign</t>
  </si>
  <si>
    <t>UseCase</t>
  </si>
  <si>
    <t>RiskManagement</t>
  </si>
  <si>
    <t>ETFSCapital</t>
  </si>
  <si>
    <t>chris</t>
  </si>
  <si>
    <t>product</t>
  </si>
  <si>
    <t>buy-vs-build</t>
  </si>
  <si>
    <t>data-siloes</t>
  </si>
  <si>
    <t>modernization</t>
  </si>
  <si>
    <t>OKR</t>
  </si>
  <si>
    <t>campaigns</t>
  </si>
  <si>
    <t>industry</t>
  </si>
  <si>
    <t>technical</t>
  </si>
  <si>
    <t>thought_leadership</t>
  </si>
  <si>
    <t>video</t>
  </si>
  <si>
    <t>news</t>
  </si>
  <si>
    <t>velox_news</t>
  </si>
  <si>
    <t>misc</t>
  </si>
  <si>
    <t>external</t>
  </si>
  <si>
    <t>velox_pitch</t>
  </si>
  <si>
    <t>video_demo</t>
  </si>
  <si>
    <t>teasers</t>
  </si>
  <si>
    <t>Commentary</t>
  </si>
  <si>
    <t>Leadership</t>
  </si>
  <si>
    <t>casheq_campaign</t>
  </si>
  <si>
    <t>cosmos_campaign</t>
  </si>
  <si>
    <t>exchange_campaign</t>
  </si>
  <si>
    <t>mo_network_campaign</t>
  </si>
  <si>
    <t>hooooo</t>
  </si>
  <si>
    <t>listed_derivs_campaign</t>
  </si>
  <si>
    <t>ateam_event</t>
  </si>
  <si>
    <t>fix_event</t>
  </si>
  <si>
    <t>csuite_campaign</t>
  </si>
  <si>
    <t>arvhived</t>
  </si>
  <si>
    <t>archived</t>
  </si>
  <si>
    <t>ongoing</t>
  </si>
  <si>
    <t>ongong</t>
  </si>
  <si>
    <t>ongojng</t>
  </si>
  <si>
    <t>for_2023</t>
  </si>
  <si>
    <t>Barclays_credit1</t>
  </si>
  <si>
    <t>mlp_velox</t>
  </si>
  <si>
    <t>london_sep23</t>
  </si>
  <si>
    <t>fiserv_tbd</t>
  </si>
  <si>
    <t xml:space="preserve">DONE needd to add into AddItems worksheet </t>
  </si>
  <si>
    <t>COSMOS Use Case #1</t>
  </si>
  <si>
    <t>Generating target lists</t>
  </si>
  <si>
    <t>Send out meeting minutes from 08/14</t>
  </si>
  <si>
    <t>Upload video and deck to SalesCycle folder</t>
  </si>
  <si>
    <t>Create video snippets of exellent Govind answers</t>
  </si>
  <si>
    <t>send Steffen deck from 0814</t>
  </si>
  <si>
    <t>FIX Americas Trading Conference - 18 October</t>
  </si>
  <si>
    <t>A-Team Event</t>
  </si>
  <si>
    <t>send Steffen latest email on Barclays procurement</t>
  </si>
  <si>
    <t>Create a 2-page flyer</t>
  </si>
  <si>
    <t>Need a slide on the velox-valantic partnership</t>
  </si>
  <si>
    <t>Ensure vel and val websites link to each others</t>
  </si>
  <si>
    <t>Confirm .ppt templates need Shokubai to create</t>
  </si>
  <si>
    <t>Publish : Why its hard to share software ?</t>
  </si>
  <si>
    <t>Publish : the problems associated with not being able to measure developer productivity</t>
  </si>
  <si>
    <t>Publish : Employee spotlight Alison</t>
  </si>
  <si>
    <t>Publish : Employee spotlight Jon</t>
  </si>
  <si>
    <t>Publish : Employee spotlight Neto</t>
  </si>
  <si>
    <t>Publish : Employee spotlight Jason</t>
  </si>
  <si>
    <t>Publish : Employee spotlight Govind</t>
  </si>
  <si>
    <t>alison announcement</t>
  </si>
  <si>
    <t>valantic announcement</t>
  </si>
  <si>
    <t>get steve up and running on iPad version of Jeff demo</t>
  </si>
  <si>
    <t>3B initial changes</t>
  </si>
  <si>
    <t>automate hero</t>
  </si>
  <si>
    <t>get 3Bweb to help us put website docs benhind a contact form</t>
  </si>
  <si>
    <t>classify website content</t>
  </si>
  <si>
    <t>main pitch deck</t>
  </si>
  <si>
    <t>implementing ross' changes to the website</t>
  </si>
  <si>
    <t>mm article on developer produictivty</t>
  </si>
  <si>
    <t>Hard Intros</t>
  </si>
  <si>
    <t>General Admin Test Item</t>
  </si>
  <si>
    <t>Re-org Monday boards &amp; groups</t>
  </si>
  <si>
    <t>Proposal Overview Deck</t>
  </si>
  <si>
    <t>Neto repaper</t>
  </si>
  <si>
    <t>Publish : Employee spotlight Ali</t>
  </si>
  <si>
    <t>Could we have a vCore lite?</t>
  </si>
  <si>
    <t>Work out how we would price a solutions deal</t>
  </si>
  <si>
    <t>TestItem</t>
  </si>
  <si>
    <t>Steve calls (time track)</t>
  </si>
  <si>
    <t>BARCLAYS_CREDIT1</t>
  </si>
  <si>
    <t>talk to him about needing to deliver on sales to become CRO</t>
  </si>
  <si>
    <t>raise an invoice for 50k helios</t>
  </si>
  <si>
    <t>Neto Velox activity review</t>
  </si>
  <si>
    <t>Speaking spot at NYC FIX Global Event</t>
  </si>
  <si>
    <t>begin slow burn search for pre-sales</t>
  </si>
  <si>
    <t>send out 250 new connection requests each month</t>
  </si>
  <si>
    <t>follow up with ross on his opinions now he has seen jon/jason doing more tech bit</t>
  </si>
  <si>
    <t>show ross some of law suit docs so that he is comfortable no big deal</t>
  </si>
  <si>
    <t>use ross to get to richard ring to see what it is symphony is looking for</t>
  </si>
  <si>
    <t>get him to figure out what they are looking for before we send email on Fri</t>
  </si>
  <si>
    <t>Create standard partner agreement</t>
  </si>
  <si>
    <t>Bill payment (time-tracking)</t>
  </si>
  <si>
    <t>Operationalise the sales plan</t>
  </si>
  <si>
    <t>Prepare for valantic + velox MMG campaign</t>
  </si>
  <si>
    <t>JB/AH to talk through strategy canvass etc</t>
  </si>
  <si>
    <t>take ross through SalesTraderGO campaign</t>
  </si>
  <si>
    <t>Get Linked In Premium for Chris</t>
  </si>
  <si>
    <t>asking more questions</t>
  </si>
  <si>
    <t>training on how to use slack and/or sort out comms</t>
  </si>
  <si>
    <t>how much of your time is on marketing</t>
  </si>
  <si>
    <t>Look at possibility of creating a CORE lite</t>
  </si>
  <si>
    <t>Create T&amp;E budget for sales guys</t>
  </si>
  <si>
    <t>ETF Strategy</t>
  </si>
  <si>
    <t>using Monday and the Monday folders</t>
  </si>
  <si>
    <t>Jon's London Itinerary</t>
  </si>
  <si>
    <t>Review categories on harvey ball slide</t>
  </si>
  <si>
    <t>summarise key followups and takeaways from todays marketing meeting</t>
  </si>
  <si>
    <t>Complete a STEEPLE/PESTLE analysis</t>
  </si>
  <si>
    <t>Strategy session JB/SG/AH in July - Product/Pricing/People</t>
  </si>
  <si>
    <t>write up gartner</t>
  </si>
  <si>
    <t>Ali intro to Glue</t>
  </si>
  <si>
    <t>topics for terry and last MM article</t>
  </si>
  <si>
    <t>Ross daily updates (time track)</t>
  </si>
  <si>
    <t>purestream flow diagram for ross</t>
  </si>
  <si>
    <t>updated velox bio / boilerplate</t>
  </si>
  <si>
    <t>Twitter tweet container</t>
  </si>
  <si>
    <t>Create contract (or schedulde) for Cosmos</t>
  </si>
  <si>
    <t>get ali setup with low code builder</t>
  </si>
  <si>
    <t>Complete valantc / velox press release</t>
  </si>
  <si>
    <t>Get credit card for Ali</t>
  </si>
  <si>
    <t>talk to markman and berryman about dev recruiting</t>
  </si>
  <si>
    <t>Create Ironhide release process</t>
  </si>
  <si>
    <t>ali announcemtn</t>
  </si>
  <si>
    <t>followup with roxanne / GHCO press release</t>
  </si>
  <si>
    <t>Get email alerts on articles and news so i can use Lookeen for searching</t>
  </si>
  <si>
    <t>Get articles scheduled with marketsmedia</t>
  </si>
  <si>
    <t>check out licensing for ag-Grid</t>
  </si>
  <si>
    <t>Permission AH for stackoverflow &amp; jira</t>
  </si>
  <si>
    <t>Prepare year end consolidated financial reports</t>
  </si>
  <si>
    <t>Consolidate research material for funding</t>
  </si>
  <si>
    <t>Talk to Markman about Canada</t>
  </si>
  <si>
    <t>create velox ecosystem heat map</t>
  </si>
  <si>
    <t>Requirements for ERP tool to run velox</t>
  </si>
  <si>
    <t>Update website to reflect Russell</t>
  </si>
  <si>
    <t>Write job spec for 2nd sales role</t>
  </si>
  <si>
    <t>give Alison access to stackoverflow</t>
  </si>
  <si>
    <t>Create candidate pack (based on Magdeborg slides)</t>
  </si>
  <si>
    <t>Finalise the overview deck with Nadine</t>
  </si>
  <si>
    <t>markman and recruiting</t>
  </si>
  <si>
    <t>Should we pay Govind from UK entity - tax implications?</t>
  </si>
  <si>
    <t>Set up  wire transfer mechanism from UK to US</t>
  </si>
  <si>
    <t>Create a monthly dashboard in capsule data to start trend analysis</t>
  </si>
  <si>
    <t>Create long list of VCs</t>
  </si>
  <si>
    <t>AH to take on payroll from next tax year (April 2022) - need to include pension admin too</t>
  </si>
  <si>
    <t>Create new YouTube account for velox</t>
  </si>
  <si>
    <t>put together a contract for rapid addition. for the tradition work</t>
  </si>
  <si>
    <t>Identify people for video podcasts</t>
  </si>
  <si>
    <t>add use cases to CS and all decks and put in TOC</t>
  </si>
  <si>
    <t>can we merge in the X asset code</t>
  </si>
  <si>
    <t>Plan video podcasts</t>
  </si>
  <si>
    <t>figure out which market hazelcast is trying to sell into</t>
  </si>
  <si>
    <t>Do we want to upgrade to Miro Teams (mind-mapping software)</t>
  </si>
  <si>
    <t>https://www.openfin.co/blog/transforming-the-oms-ems-space/?utm_source=General%20Distribution&amp;utm_campaign=ea9d6d00e3-EMAIL_CAMPAIGN_2021_08_19_02_21&amp;utm_medium=email&amp;utm_term=0_1e14abc14d-ea9d6d00e3-121454729&amp;mc_cid=ea9d6d00e3&amp;mc_eid=74356b484d</t>
  </si>
  <si>
    <t>Weekly review of press articles</t>
  </si>
  <si>
    <t>bernie fidessa use case docs</t>
  </si>
  <si>
    <t>user session tracking</t>
  </si>
  <si>
    <t>get professional writer to smooth out the text of stcack</t>
  </si>
  <si>
    <t>go through teams and convert to stackoverflow</t>
  </si>
  <si>
    <t>take slack support questions and curate and put onto stackoverflow</t>
  </si>
  <si>
    <t>Create plan and timetable for Blumberg</t>
  </si>
  <si>
    <t>JB webinar planning</t>
  </si>
  <si>
    <t>start doing 30 LI connects each day manually</t>
  </si>
  <si>
    <t>emails from linkedin ids</t>
  </si>
  <si>
    <t>lowcode add words</t>
  </si>
  <si>
    <t>should we have shokubai clean up the investor deck</t>
  </si>
  <si>
    <t>Get access to Fidessa's FIX specs as per Reena's email</t>
  </si>
  <si>
    <t>Workout content types we will need for powerpoint template</t>
  </si>
  <si>
    <t>Arrange a session with Mark Weeks to strategise (?) the Create Redeem product</t>
  </si>
  <si>
    <t>Create a script for the hero graphic automation</t>
  </si>
  <si>
    <t>2nd version of hero diagram with Fixed Income tags</t>
  </si>
  <si>
    <t>Create boiler-plate text for marketing material</t>
  </si>
  <si>
    <t>Talk to Xinchao about CMS</t>
  </si>
  <si>
    <t>Register ve10x as a trade mark?</t>
  </si>
  <si>
    <t>Is JB's personal Linked In linked to Velox, do we need a process to review JB's hits?</t>
  </si>
  <si>
    <t>leadership team photos</t>
  </si>
  <si>
    <t>do a linkedin post on be faster to launch new look and feel of website</t>
  </si>
  <si>
    <t>give updated investment memo to xav</t>
  </si>
  <si>
    <t>Draft press release for AH &amp; RB joining velox</t>
  </si>
  <si>
    <t>Decide whether we want to use hubspot and Spitfire</t>
  </si>
  <si>
    <t>Webinar - panelists</t>
  </si>
  <si>
    <t>Remind Erik at Fidelity to make intros to Finbourne</t>
  </si>
  <si>
    <t>Publish Markets Media article early Sep</t>
  </si>
  <si>
    <t>Chase Reb on an intro to her boss - Tony</t>
  </si>
  <si>
    <t>Read latest article by Reb (Waters)</t>
  </si>
  <si>
    <t>create a summary of valantic solutions deck to explain relationship to investors</t>
  </si>
  <si>
    <t>FW: velox | Release 2 | Insights</t>
  </si>
  <si>
    <t>get logins for ian</t>
  </si>
  <si>
    <t>Update new deck with full data pivot story and send to Reb</t>
  </si>
  <si>
    <t>intro</t>
  </si>
  <si>
    <t>workout our runway</t>
  </si>
  <si>
    <t>FW: Citi Reshuffles Equities Leadership; UBS Targets Women-Only Hedge Funds; Gensler Warns of Fake Stocks on Blockchains</t>
  </si>
  <si>
    <t>Website phase 2</t>
  </si>
  <si>
    <t>FW: Overview and Migration capabilities</t>
  </si>
  <si>
    <t>Talk to Ultumus about shared office space post 155 Basinghall St</t>
  </si>
  <si>
    <t>merge steves IM with mine</t>
  </si>
  <si>
    <t>Figure out if if we can access the FIdesa API ourselves</t>
  </si>
  <si>
    <t>Contact Charlotte Crosswell</t>
  </si>
  <si>
    <t>review Motifpartners.com ahead of an SG intro to Peter Hoim</t>
  </si>
  <si>
    <t>Create a 'mark-to-market' term sheet</t>
  </si>
  <si>
    <t>Work with SG to create a webinar, for Q3</t>
  </si>
  <si>
    <t>Check with ETFSC about Pete and valantic sales using office space</t>
  </si>
  <si>
    <t>Fix bugs in DEMO where buttons and charts are not correct</t>
  </si>
  <si>
    <t>Think about ESG agenda and where we can fit</t>
  </si>
  <si>
    <t>Update Competitor analysis page</t>
  </si>
  <si>
    <t>Find way to automate accounts receivable chasers in Qbs</t>
  </si>
  <si>
    <t>AH Follow up with James from 3Gi post meeting on 9 June</t>
  </si>
  <si>
    <t>do we want to use hubspoit ?</t>
  </si>
  <si>
    <t>How would we integrate HubSpot with new website ?</t>
  </si>
  <si>
    <t>use salesforce ?</t>
  </si>
  <si>
    <t>get GS to give us leads</t>
  </si>
  <si>
    <t>Hazelcast comparison</t>
  </si>
  <si>
    <t>we should attend these - and we need something similar FW: Adaptive's Hydra &amp; OpenFin Accelerate Back-End Delivery</t>
  </si>
  <si>
    <t>Formally engage McCarter as our corporate lawyer</t>
  </si>
  <si>
    <t>get  steve working on marketing events - webinars etc with</t>
  </si>
  <si>
    <t>60 minute training session for RB/AH</t>
  </si>
  <si>
    <t>Arrange meeting with Simon - web designer</t>
  </si>
  <si>
    <t>Send strategy/ budget/ planning docs to AH</t>
  </si>
  <si>
    <t>JB to send Compensation Philosophy report</t>
  </si>
  <si>
    <t>Upcoming invoices?</t>
  </si>
  <si>
    <t>How to shadow JB</t>
  </si>
  <si>
    <t>Insurance policies?</t>
  </si>
  <si>
    <t>setup separate meeting on different resourcing options</t>
  </si>
  <si>
    <t>give clearer narrative to terry</t>
  </si>
  <si>
    <t>promote top influencial firms</t>
  </si>
  <si>
    <t>aite? need to follow up with Grob to see what next steps are</t>
  </si>
  <si>
    <t>Get info on prime brokerage portofilio risk</t>
  </si>
  <si>
    <t>Steves stock</t>
  </si>
  <si>
    <t>cancel nuance</t>
  </si>
  <si>
    <t>overview dfor sagezza</t>
  </si>
  <si>
    <t>work on financial proposal for kamba -</t>
  </si>
  <si>
    <t>check out us sales service with Mike Rude at Crux</t>
  </si>
  <si>
    <t>get back to iPushPull</t>
  </si>
  <si>
    <t>rest of formation and any other legal docs to mccarter</t>
  </si>
  <si>
    <t>venn diagram - burning platform in middle then modernize cheaply</t>
  </si>
  <si>
    <t>Get costing from Joseph Daniel rates</t>
  </si>
  <si>
    <t>RE: NY Registration - Velox Financial Technology [Monday]</t>
  </si>
  <si>
    <t>TABB use them for lead gen</t>
  </si>
  <si>
    <t>0819</t>
  </si>
  <si>
    <t>DONE added lookup for status</t>
  </si>
  <si>
    <t>DONE adding subitems with new scheme does wortk</t>
  </si>
  <si>
    <t>DONE adding tags from subitems is not working though</t>
  </si>
  <si>
    <t xml:space="preserve"> </t>
  </si>
  <si>
    <t>DONE showing URL of added items</t>
  </si>
  <si>
    <t>Create Folder</t>
  </si>
  <si>
    <t>0820</t>
  </si>
  <si>
    <t>DONE automatically create a folder in Monday</t>
  </si>
  <si>
    <t>0821</t>
  </si>
  <si>
    <t>add items doesn’t get status correct or add owner to sub item</t>
  </si>
  <si>
    <t>need to be able to add a different owner for a subitem</t>
  </si>
  <si>
    <t>Send out meeting minutes from FiServ</t>
  </si>
  <si>
    <t>Send out meeting minutes from 08/16 w/Marvin</t>
  </si>
  <si>
    <t>meet Andrew during sep 23 trip</t>
  </si>
  <si>
    <t>get a breif spec from Andrew. Setup tech deepdive</t>
  </si>
  <si>
    <t>5011880921</t>
  </si>
  <si>
    <t>Add ability to reset ALL FILTERS from the uber search filter</t>
  </si>
  <si>
    <t>Preparing for Commercials</t>
  </si>
  <si>
    <t>new_group43458</t>
  </si>
  <si>
    <t>Chasing</t>
  </si>
  <si>
    <t>new_group18661</t>
  </si>
  <si>
    <t>hertshten_velox</t>
  </si>
  <si>
    <t>ultumus_ironhide</t>
  </si>
  <si>
    <t>nordea_im_consolidation</t>
  </si>
  <si>
    <t>foofoof</t>
  </si>
  <si>
    <t>foof</t>
  </si>
  <si>
    <t>hsbc_exec_services</t>
  </si>
  <si>
    <t>hsbc_exec_services2</t>
  </si>
  <si>
    <t>4909340597</t>
  </si>
  <si>
    <t>4987391909</t>
  </si>
  <si>
    <t>4987393074</t>
  </si>
  <si>
    <t>4987403253</t>
  </si>
  <si>
    <t>5009668176</t>
  </si>
  <si>
    <t>5009667315</t>
  </si>
  <si>
    <t>5008520333</t>
  </si>
  <si>
    <t>5008507454</t>
  </si>
  <si>
    <t>4574061084</t>
  </si>
  <si>
    <t>3037602632</t>
  </si>
  <si>
    <t>4714824371</t>
  </si>
  <si>
    <t>4990163992</t>
  </si>
  <si>
    <t>4908325243</t>
  </si>
  <si>
    <t>3469387586</t>
  </si>
  <si>
    <t>4987395592</t>
  </si>
  <si>
    <t>4987398781</t>
  </si>
  <si>
    <t>2431410583</t>
  </si>
  <si>
    <t>3984198417</t>
  </si>
  <si>
    <t>4063688230</t>
  </si>
  <si>
    <t>4137079580</t>
  </si>
  <si>
    <t>4137079638</t>
  </si>
  <si>
    <t>4171955838</t>
  </si>
  <si>
    <t>4214947620</t>
  </si>
  <si>
    <t>2198039112</t>
  </si>
  <si>
    <t>2198075331</t>
  </si>
  <si>
    <t>2198113262</t>
  </si>
  <si>
    <t>2198131294</t>
  </si>
  <si>
    <t>2201484661</t>
  </si>
  <si>
    <t>2203503779</t>
  </si>
  <si>
    <t>2218291302</t>
  </si>
  <si>
    <t>2218297267</t>
  </si>
  <si>
    <t>2218300738</t>
  </si>
  <si>
    <t>2218301320</t>
  </si>
  <si>
    <t>2218316544</t>
  </si>
  <si>
    <t>2218316630</t>
  </si>
  <si>
    <t>2218316821</t>
  </si>
  <si>
    <t>2246149658</t>
  </si>
  <si>
    <t>2251908898</t>
  </si>
  <si>
    <t>2251911737</t>
  </si>
  <si>
    <t>2268283527</t>
  </si>
  <si>
    <t>2290184681</t>
  </si>
  <si>
    <t>2290304067</t>
  </si>
  <si>
    <t>2294349799</t>
  </si>
  <si>
    <t>2380157402</t>
  </si>
  <si>
    <t>2380158183</t>
  </si>
  <si>
    <t>2420452856</t>
  </si>
  <si>
    <t>2475726868</t>
  </si>
  <si>
    <t>2527112974</t>
  </si>
  <si>
    <t>2552075342</t>
  </si>
  <si>
    <t>2567837084</t>
  </si>
  <si>
    <t>2578264342</t>
  </si>
  <si>
    <t>2629463689</t>
  </si>
  <si>
    <t>2631871036</t>
  </si>
  <si>
    <t>2643867201</t>
  </si>
  <si>
    <t>2643875811</t>
  </si>
  <si>
    <t>2652825603</t>
  </si>
  <si>
    <t>2653694065</t>
  </si>
  <si>
    <t>2660288929</t>
  </si>
  <si>
    <t>2662196865</t>
  </si>
  <si>
    <t>2708548138</t>
  </si>
  <si>
    <t>2718644671</t>
  </si>
  <si>
    <t>2718689609</t>
  </si>
  <si>
    <t>2754896202</t>
  </si>
  <si>
    <t>2784118521</t>
  </si>
  <si>
    <t>2791002964</t>
  </si>
  <si>
    <t>2791010352</t>
  </si>
  <si>
    <t>2805523544</t>
  </si>
  <si>
    <t>2824064215</t>
  </si>
  <si>
    <t>2832245599</t>
  </si>
  <si>
    <t>2857168355</t>
  </si>
  <si>
    <t>2882948873</t>
  </si>
  <si>
    <t>2919071711</t>
  </si>
  <si>
    <t>2919076903</t>
  </si>
  <si>
    <t>2938567121</t>
  </si>
  <si>
    <t>2967265419</t>
  </si>
  <si>
    <t>2967291276</t>
  </si>
  <si>
    <t>2973664095</t>
  </si>
  <si>
    <t>2980492275</t>
  </si>
  <si>
    <t>2996981849</t>
  </si>
  <si>
    <t>2997008753</t>
  </si>
  <si>
    <t>3019840358</t>
  </si>
  <si>
    <t>3034479910</t>
  </si>
  <si>
    <t>3037554526</t>
  </si>
  <si>
    <t>3044488085</t>
  </si>
  <si>
    <t>3045902864</t>
  </si>
  <si>
    <t>3079724900</t>
  </si>
  <si>
    <t>3111665690</t>
  </si>
  <si>
    <t>3235042579</t>
  </si>
  <si>
    <t>3271250609</t>
  </si>
  <si>
    <t>3343909576</t>
  </si>
  <si>
    <t>3389038006</t>
  </si>
  <si>
    <t>3439599343</t>
  </si>
  <si>
    <t>3443380362</t>
  </si>
  <si>
    <t>3444853342</t>
  </si>
  <si>
    <t>3487698316</t>
  </si>
  <si>
    <t>3506827396</t>
  </si>
  <si>
    <t>3529967830</t>
  </si>
  <si>
    <t>3534412432</t>
  </si>
  <si>
    <t>3545350235</t>
  </si>
  <si>
    <t>3549713975</t>
  </si>
  <si>
    <t>3586803698</t>
  </si>
  <si>
    <t>3691281738</t>
  </si>
  <si>
    <t>3737511733</t>
  </si>
  <si>
    <t>3738081948</t>
  </si>
  <si>
    <t>3757497686</t>
  </si>
  <si>
    <t>3766350359</t>
  </si>
  <si>
    <t>3769167782</t>
  </si>
  <si>
    <t>3897191078</t>
  </si>
  <si>
    <t>3944756058</t>
  </si>
  <si>
    <t>3984198626</t>
  </si>
  <si>
    <t>3984370764</t>
  </si>
  <si>
    <t>3984381455</t>
  </si>
  <si>
    <t>4191837183</t>
  </si>
  <si>
    <t>4208399631</t>
  </si>
  <si>
    <t>4272911322</t>
  </si>
  <si>
    <t>4413703442</t>
  </si>
  <si>
    <t>4455960853</t>
  </si>
  <si>
    <t>4487455175</t>
  </si>
  <si>
    <t>4503325543</t>
  </si>
  <si>
    <t>4513587964</t>
  </si>
  <si>
    <t>4574006708</t>
  </si>
  <si>
    <t>4631214368</t>
  </si>
  <si>
    <t>4689646718</t>
  </si>
  <si>
    <t>4698023434</t>
  </si>
  <si>
    <t>4698906581</t>
  </si>
  <si>
    <t>4720113227</t>
  </si>
  <si>
    <t>4732860797</t>
  </si>
  <si>
    <t>4896676217</t>
  </si>
  <si>
    <t>4250386844</t>
  </si>
  <si>
    <t>2193345642</t>
  </si>
  <si>
    <t>4974013379</t>
  </si>
  <si>
    <t>3969481029</t>
  </si>
  <si>
    <t>3971832374</t>
  </si>
  <si>
    <t>4974013265</t>
  </si>
  <si>
    <t>4673065069</t>
  </si>
  <si>
    <t>1359732850</t>
  </si>
  <si>
    <t>1605338501</t>
  </si>
  <si>
    <t>668151617</t>
  </si>
  <si>
    <t>1552874426</t>
  </si>
  <si>
    <t>2201399606</t>
  </si>
  <si>
    <t>2354069356</t>
  </si>
  <si>
    <t>2573080138</t>
  </si>
  <si>
    <t>2729308587</t>
  </si>
  <si>
    <t>4781807882</t>
  </si>
  <si>
    <t>1551599334</t>
  </si>
  <si>
    <t>1803773061</t>
  </si>
  <si>
    <t>2094804576</t>
  </si>
  <si>
    <t>1536916255</t>
  </si>
  <si>
    <t>2321568983</t>
  </si>
  <si>
    <t>3045195266</t>
  </si>
  <si>
    <t>4974012758</t>
  </si>
  <si>
    <t>4974012784</t>
  </si>
  <si>
    <t>4974012800</t>
  </si>
  <si>
    <t>4974012813</t>
  </si>
  <si>
    <t>4974012834</t>
  </si>
  <si>
    <t>4974012876</t>
  </si>
  <si>
    <t>4974012919</t>
  </si>
  <si>
    <t>4974012938</t>
  </si>
  <si>
    <t>4974012742</t>
  </si>
  <si>
    <t>4974012956</t>
  </si>
  <si>
    <t>4974013135</t>
  </si>
  <si>
    <t>4974013186</t>
  </si>
  <si>
    <t>4974013197</t>
  </si>
  <si>
    <t>4974013213</t>
  </si>
  <si>
    <t>4974013228</t>
  </si>
  <si>
    <t>4974013240</t>
  </si>
  <si>
    <t>4974013030</t>
  </si>
  <si>
    <t>4974013254</t>
  </si>
  <si>
    <t>4974013263</t>
  </si>
  <si>
    <t>4974013281</t>
  </si>
  <si>
    <t>4974013302</t>
  </si>
  <si>
    <t>4974013324</t>
  </si>
  <si>
    <t>4974013294</t>
  </si>
  <si>
    <t>4974013343</t>
  </si>
  <si>
    <t>4974013409</t>
  </si>
  <si>
    <t>4974013485</t>
  </si>
  <si>
    <t>4974013504</t>
  </si>
  <si>
    <t>4974013625</t>
  </si>
  <si>
    <t>4974013645</t>
  </si>
  <si>
    <t>4974013661</t>
  </si>
  <si>
    <t>4974013673</t>
  </si>
  <si>
    <t>4974013771</t>
  </si>
  <si>
    <t>4974013789</t>
  </si>
  <si>
    <t>4974013799</t>
  </si>
  <si>
    <t>4974013823</t>
  </si>
  <si>
    <t>4974013974</t>
  </si>
  <si>
    <t>4974013881</t>
  </si>
  <si>
    <t>4974013989</t>
  </si>
  <si>
    <t>4974014022</t>
  </si>
  <si>
    <t>4974014029</t>
  </si>
  <si>
    <t>4974014010</t>
  </si>
  <si>
    <t>4974014050</t>
  </si>
  <si>
    <t>2858827282</t>
  </si>
  <si>
    <t>3045165420</t>
  </si>
  <si>
    <t>4522018751</t>
  </si>
  <si>
    <t>2828822731</t>
  </si>
  <si>
    <t>2875289405</t>
  </si>
  <si>
    <t>3094984050</t>
  </si>
  <si>
    <t>4162046103</t>
  </si>
  <si>
    <t>4587847210</t>
  </si>
  <si>
    <t>4661118548</t>
  </si>
  <si>
    <t>4802439244</t>
  </si>
  <si>
    <t>4803040948</t>
  </si>
  <si>
    <t>2193345636</t>
  </si>
  <si>
    <t>2193345640</t>
  </si>
  <si>
    <t>2211699767</t>
  </si>
  <si>
    <t>2218294171</t>
  </si>
  <si>
    <t>2287807727</t>
  </si>
  <si>
    <t>2287823437</t>
  </si>
  <si>
    <t>2464403229</t>
  </si>
  <si>
    <t>2530348664</t>
  </si>
  <si>
    <t>2769906597</t>
  </si>
  <si>
    <t>2851079164</t>
  </si>
  <si>
    <t>2895583867</t>
  </si>
  <si>
    <t>2982883300</t>
  </si>
  <si>
    <t>3549713015</t>
  </si>
  <si>
    <t>3769158152</t>
  </si>
  <si>
    <t>2769603733</t>
  </si>
  <si>
    <t>3186482854</t>
  </si>
  <si>
    <t>3933791510</t>
  </si>
  <si>
    <t>1506701839</t>
  </si>
  <si>
    <t>1510066750</t>
  </si>
  <si>
    <t>1521440445</t>
  </si>
  <si>
    <t>1534023488</t>
  </si>
  <si>
    <t>1641661718</t>
  </si>
  <si>
    <t>1641672405</t>
  </si>
  <si>
    <t>1641676251</t>
  </si>
  <si>
    <t>1686205038</t>
  </si>
  <si>
    <t>1912167306</t>
  </si>
  <si>
    <t>2099465538</t>
  </si>
  <si>
    <t>2108463175</t>
  </si>
  <si>
    <t>2192778972</t>
  </si>
  <si>
    <t>2193367091</t>
  </si>
  <si>
    <t>2199741878</t>
  </si>
  <si>
    <t>2199747299</t>
  </si>
  <si>
    <t>2381985756</t>
  </si>
  <si>
    <t>2382193194</t>
  </si>
  <si>
    <t>2382361102</t>
  </si>
  <si>
    <t>2414012276</t>
  </si>
  <si>
    <t>2530385951</t>
  </si>
  <si>
    <t>2587561174</t>
  </si>
  <si>
    <t>2643862849</t>
  </si>
  <si>
    <t>2724371570</t>
  </si>
  <si>
    <t>2830865473</t>
  </si>
  <si>
    <t>2854610966</t>
  </si>
  <si>
    <t>2892222413</t>
  </si>
  <si>
    <t>2893316545</t>
  </si>
  <si>
    <t>3077126703</t>
  </si>
  <si>
    <t>3204006305</t>
  </si>
  <si>
    <t>3822205679</t>
  </si>
  <si>
    <t>3829239171</t>
  </si>
  <si>
    <t>3882780759</t>
  </si>
  <si>
    <t>3884410150</t>
  </si>
  <si>
    <t>3911147615</t>
  </si>
  <si>
    <t>4224303425</t>
  </si>
  <si>
    <t>4356622757</t>
  </si>
  <si>
    <t>4432267270</t>
  </si>
  <si>
    <t>4432271339</t>
  </si>
  <si>
    <t>4498338296</t>
  </si>
  <si>
    <t>4503356982</t>
  </si>
  <si>
    <t>4503358427</t>
  </si>
  <si>
    <t>4971372190</t>
  </si>
  <si>
    <t>2788675947</t>
  </si>
  <si>
    <t>3407888134</t>
  </si>
  <si>
    <t>3408253454</t>
  </si>
  <si>
    <t>3806719217</t>
  </si>
  <si>
    <t>4042205339</t>
  </si>
  <si>
    <t>4665000344</t>
  </si>
  <si>
    <t>4974012767</t>
  </si>
  <si>
    <t>2496479234</t>
  </si>
  <si>
    <t>2007354764</t>
  </si>
  <si>
    <t>2209984634</t>
  </si>
  <si>
    <t>2231264199</t>
  </si>
  <si>
    <t>2232930481</t>
  </si>
  <si>
    <t>2239178403</t>
  </si>
  <si>
    <t>2240643291</t>
  </si>
  <si>
    <t>2240654237</t>
  </si>
  <si>
    <t>2281889113</t>
  </si>
  <si>
    <t>2283582123</t>
  </si>
  <si>
    <t>2285153194</t>
  </si>
  <si>
    <t>2288968321</t>
  </si>
  <si>
    <t>2301642384</t>
  </si>
  <si>
    <t>2333015368</t>
  </si>
  <si>
    <t>2340701558</t>
  </si>
  <si>
    <t>2385435526</t>
  </si>
  <si>
    <t>2411009652</t>
  </si>
  <si>
    <t>2531076987</t>
  </si>
  <si>
    <t>2615319326</t>
  </si>
  <si>
    <t>2617980161</t>
  </si>
  <si>
    <t>2729560360</t>
  </si>
  <si>
    <t>2776767384</t>
  </si>
  <si>
    <t>2780121179</t>
  </si>
  <si>
    <t>2810593634</t>
  </si>
  <si>
    <t>4835959217</t>
  </si>
  <si>
    <t>4973845823</t>
  </si>
  <si>
    <t>4974470698</t>
  </si>
  <si>
    <t>4974421213</t>
  </si>
  <si>
    <t>4973856626</t>
  </si>
  <si>
    <t>4644882569</t>
  </si>
  <si>
    <t>4973836357</t>
  </si>
  <si>
    <t>4974012999</t>
  </si>
  <si>
    <t>4974013015</t>
  </si>
  <si>
    <t>4974013044</t>
  </si>
  <si>
    <t>4974013092</t>
  </si>
  <si>
    <t>4974013317</t>
  </si>
  <si>
    <t>4974013376</t>
  </si>
  <si>
    <t>4974013519</t>
  </si>
  <si>
    <t>4974013778</t>
  </si>
  <si>
    <t>4974013870</t>
  </si>
  <si>
    <t>4974012746</t>
  </si>
  <si>
    <t>4974012858</t>
  </si>
  <si>
    <t>4974012912</t>
  </si>
  <si>
    <t>4974012914</t>
  </si>
  <si>
    <t>4974012944</t>
  </si>
  <si>
    <t>4974013583</t>
  </si>
  <si>
    <t>4974013571</t>
  </si>
  <si>
    <t>4974013791</t>
  </si>
  <si>
    <t>4974013818</t>
  </si>
  <si>
    <t>4974013082</t>
  </si>
  <si>
    <t>4974013885</t>
  </si>
  <si>
    <t>4974014086</t>
  </si>
  <si>
    <t>4974012726</t>
  </si>
  <si>
    <t>4974012728</t>
  </si>
  <si>
    <t>4974012743</t>
  </si>
  <si>
    <t>4974012747</t>
  </si>
  <si>
    <t>4974012760</t>
  </si>
  <si>
    <t>4974012765</t>
  </si>
  <si>
    <t>4974012738</t>
  </si>
  <si>
    <t>4974012745</t>
  </si>
  <si>
    <t>4974012783</t>
  </si>
  <si>
    <t>4974012782</t>
  </si>
  <si>
    <t>4974012795</t>
  </si>
  <si>
    <t>4974012797</t>
  </si>
  <si>
    <t>4974012798</t>
  </si>
  <si>
    <t>4974012772</t>
  </si>
  <si>
    <t>4974012808</t>
  </si>
  <si>
    <t>4974012811</t>
  </si>
  <si>
    <t>4974012810</t>
  </si>
  <si>
    <t>4974012812</t>
  </si>
  <si>
    <t>4974012756</t>
  </si>
  <si>
    <t>4974012750</t>
  </si>
  <si>
    <t>4974012736</t>
  </si>
  <si>
    <t>4974012829</t>
  </si>
  <si>
    <t>4974012826</t>
  </si>
  <si>
    <t>4974012833</t>
  </si>
  <si>
    <t>4974012850</t>
  </si>
  <si>
    <t>4974012851</t>
  </si>
  <si>
    <t>4974012835</t>
  </si>
  <si>
    <t>4974012859</t>
  </si>
  <si>
    <t>4974012860</t>
  </si>
  <si>
    <t>4974012843</t>
  </si>
  <si>
    <t>4974012866</t>
  </si>
  <si>
    <t>4974012776</t>
  </si>
  <si>
    <t>4974012867</t>
  </si>
  <si>
    <t>4974012739</t>
  </si>
  <si>
    <t>4974012872</t>
  </si>
  <si>
    <t>4974012845</t>
  </si>
  <si>
    <t>4974012875</t>
  </si>
  <si>
    <t>4974012885</t>
  </si>
  <si>
    <t>4974012887</t>
  </si>
  <si>
    <t>4974012888</t>
  </si>
  <si>
    <t>4974012910</t>
  </si>
  <si>
    <t>4974012853</t>
  </si>
  <si>
    <t>4974012916</t>
  </si>
  <si>
    <t>4974012921</t>
  </si>
  <si>
    <t>4974012764</t>
  </si>
  <si>
    <t>4974012934</t>
  </si>
  <si>
    <t>4974012932</t>
  </si>
  <si>
    <t>4974012939</t>
  </si>
  <si>
    <t>4974012911</t>
  </si>
  <si>
    <t>4974012941</t>
  </si>
  <si>
    <t>4974012949</t>
  </si>
  <si>
    <t>4974012950</t>
  </si>
  <si>
    <t>4974012954</t>
  </si>
  <si>
    <t>4974012964</t>
  </si>
  <si>
    <t>4974012969</t>
  </si>
  <si>
    <t>4974012886</t>
  </si>
  <si>
    <t>4974012978</t>
  </si>
  <si>
    <t>4974012979</t>
  </si>
  <si>
    <t>4974012882</t>
  </si>
  <si>
    <t>4974012974</t>
  </si>
  <si>
    <t>4974012976</t>
  </si>
  <si>
    <t>4974012992</t>
  </si>
  <si>
    <t>4974012757</t>
  </si>
  <si>
    <t>4974012922</t>
  </si>
  <si>
    <t>4974013004</t>
  </si>
  <si>
    <t>4974013006</t>
  </si>
  <si>
    <t>4974013009</t>
  </si>
  <si>
    <t>4974013017</t>
  </si>
  <si>
    <t>4974013016</t>
  </si>
  <si>
    <t>4974012995</t>
  </si>
  <si>
    <t>4974013021</t>
  </si>
  <si>
    <t>4974012968</t>
  </si>
  <si>
    <t>4974013024</t>
  </si>
  <si>
    <t>4974013038</t>
  </si>
  <si>
    <t>4974013039</t>
  </si>
  <si>
    <t>4974013045</t>
  </si>
  <si>
    <t>4974013046</t>
  </si>
  <si>
    <t>4974012930</t>
  </si>
  <si>
    <t>4974012754</t>
  </si>
  <si>
    <t>4974012937</t>
  </si>
  <si>
    <t>4974013055</t>
  </si>
  <si>
    <t>4974013056</t>
  </si>
  <si>
    <t>4974013062</t>
  </si>
  <si>
    <t>4974013063</t>
  </si>
  <si>
    <t>4974013069</t>
  </si>
  <si>
    <t>4974013077</t>
  </si>
  <si>
    <t>4974013074</t>
  </si>
  <si>
    <t>4974013075</t>
  </si>
  <si>
    <t>4974013025</t>
  </si>
  <si>
    <t>4974012997</t>
  </si>
  <si>
    <t>4974013065</t>
  </si>
  <si>
    <t>4974013091</t>
  </si>
  <si>
    <t>4974013093</t>
  </si>
  <si>
    <t>4974013094</t>
  </si>
  <si>
    <t>4974013049</t>
  </si>
  <si>
    <t>4974013096</t>
  </si>
  <si>
    <t>4974013081</t>
  </si>
  <si>
    <t>4974013103</t>
  </si>
  <si>
    <t>4974013105</t>
  </si>
  <si>
    <t>4974013118</t>
  </si>
  <si>
    <t>4974013101</t>
  </si>
  <si>
    <t>4974013121</t>
  </si>
  <si>
    <t>4974013127</t>
  </si>
  <si>
    <t>4974012960</t>
  </si>
  <si>
    <t>4974013058</t>
  </si>
  <si>
    <t>4974013032</t>
  </si>
  <si>
    <t>4974013144</t>
  </si>
  <si>
    <t>4974013151</t>
  </si>
  <si>
    <t>4974013117</t>
  </si>
  <si>
    <t>4974013156</t>
  </si>
  <si>
    <t>4974013160</t>
  </si>
  <si>
    <t>4974013165</t>
  </si>
  <si>
    <t>4974013170</t>
  </si>
  <si>
    <t>4974013179</t>
  </si>
  <si>
    <t>4974013187</t>
  </si>
  <si>
    <t>4974013189</t>
  </si>
  <si>
    <t>4974013194</t>
  </si>
  <si>
    <t>4974013199</t>
  </si>
  <si>
    <t>4974013202</t>
  </si>
  <si>
    <t>4974013178</t>
  </si>
  <si>
    <t>4974013207</t>
  </si>
  <si>
    <t>4974013209</t>
  </si>
  <si>
    <t>4974013002</t>
  </si>
  <si>
    <t>4974013145</t>
  </si>
  <si>
    <t>4974013123</t>
  </si>
  <si>
    <t>4974013142</t>
  </si>
  <si>
    <t>4974013217</t>
  </si>
  <si>
    <t>4974013219</t>
  </si>
  <si>
    <t>4974013220</t>
  </si>
  <si>
    <t>4974013234</t>
  </si>
  <si>
    <t>4974013237</t>
  </si>
  <si>
    <t>4974013249</t>
  </si>
  <si>
    <t>4974013247</t>
  </si>
  <si>
    <t>4974013230</t>
  </si>
  <si>
    <t>4974013238</t>
  </si>
  <si>
    <t>4974013258</t>
  </si>
  <si>
    <t>4974013259</t>
  </si>
  <si>
    <t>4974013261</t>
  </si>
  <si>
    <t>4974013264</t>
  </si>
  <si>
    <t>4974013168</t>
  </si>
  <si>
    <t>4974013272</t>
  </si>
  <si>
    <t>4974013271</t>
  </si>
  <si>
    <t>4974013288</t>
  </si>
  <si>
    <t>4974013289</t>
  </si>
  <si>
    <t>4974013231</t>
  </si>
  <si>
    <t>4974013293</t>
  </si>
  <si>
    <t>4974013206</t>
  </si>
  <si>
    <t>4974013235</t>
  </si>
  <si>
    <t>4974013307</t>
  </si>
  <si>
    <t>4974013282</t>
  </si>
  <si>
    <t>4974013311</t>
  </si>
  <si>
    <t>4974013329</t>
  </si>
  <si>
    <t>4974013279</t>
  </si>
  <si>
    <t>4974013341</t>
  </si>
  <si>
    <t>4974013223</t>
  </si>
  <si>
    <t>4974013316</t>
  </si>
  <si>
    <t>4974013355</t>
  </si>
  <si>
    <t>4974013371</t>
  </si>
  <si>
    <t>4974013331</t>
  </si>
  <si>
    <t>4974013391</t>
  </si>
  <si>
    <t>4974013308</t>
  </si>
  <si>
    <t>4974013397</t>
  </si>
  <si>
    <t>4974013275</t>
  </si>
  <si>
    <t>4974013408</t>
  </si>
  <si>
    <t>4974013328</t>
  </si>
  <si>
    <t>4974013418</t>
  </si>
  <si>
    <t>4974013333</t>
  </si>
  <si>
    <t>4974013396</t>
  </si>
  <si>
    <t>4974013372</t>
  </si>
  <si>
    <t>4974013435</t>
  </si>
  <si>
    <t>4974013449</t>
  </si>
  <si>
    <t>4974013452</t>
  </si>
  <si>
    <t>4974013414</t>
  </si>
  <si>
    <t>4974013377</t>
  </si>
  <si>
    <t>4974013427</t>
  </si>
  <si>
    <t>4974013363</t>
  </si>
  <si>
    <t>4974013419</t>
  </si>
  <si>
    <t>4974013472</t>
  </si>
  <si>
    <t>4974013477</t>
  </si>
  <si>
    <t>4974013480</t>
  </si>
  <si>
    <t>4974013498</t>
  </si>
  <si>
    <t>4974013496</t>
  </si>
  <si>
    <t>4974013510</t>
  </si>
  <si>
    <t>4974013402</t>
  </si>
  <si>
    <t>4974013469</t>
  </si>
  <si>
    <t>4974013467</t>
  </si>
  <si>
    <t>4974013545</t>
  </si>
  <si>
    <t>4974013555</t>
  </si>
  <si>
    <t>4974013554</t>
  </si>
  <si>
    <t>4974013392</t>
  </si>
  <si>
    <t>4974013579</t>
  </si>
  <si>
    <t>4974013584</t>
  </si>
  <si>
    <t>4974013473</t>
  </si>
  <si>
    <t>4974013644</t>
  </si>
  <si>
    <t>4974013492</t>
  </si>
  <si>
    <t>4974013657</t>
  </si>
  <si>
    <t>4974013672</t>
  </si>
  <si>
    <t>4974013667</t>
  </si>
  <si>
    <t>4974013683</t>
  </si>
  <si>
    <t>4974013685</t>
  </si>
  <si>
    <t>4974013569</t>
  </si>
  <si>
    <t>4974013617</t>
  </si>
  <si>
    <t>4974013705</t>
  </si>
  <si>
    <t>4974013699</t>
  </si>
  <si>
    <t>4974013568</t>
  </si>
  <si>
    <t>4974013711</t>
  </si>
  <si>
    <t>4974013718</t>
  </si>
  <si>
    <t>4974013723</t>
  </si>
  <si>
    <t>4974013727</t>
  </si>
  <si>
    <t>4974013737</t>
  </si>
  <si>
    <t>4974013664</t>
  </si>
  <si>
    <t>4974013530</t>
  </si>
  <si>
    <t>4974013708</t>
  </si>
  <si>
    <t>4974013764</t>
  </si>
  <si>
    <t>4974013744</t>
  </si>
  <si>
    <t>4974013770</t>
  </si>
  <si>
    <t>4974013781</t>
  </si>
  <si>
    <t>4974013785</t>
  </si>
  <si>
    <t>4974013587</t>
  </si>
  <si>
    <t>4974013780</t>
  </si>
  <si>
    <t>4974013792</t>
  </si>
  <si>
    <t>4974013772</t>
  </si>
  <si>
    <t>4974013835</t>
  </si>
  <si>
    <t>4974013808</t>
  </si>
  <si>
    <t>4974013767</t>
  </si>
  <si>
    <t>4974013842</t>
  </si>
  <si>
    <t>4974013779</t>
  </si>
  <si>
    <t>4974013867</t>
  </si>
  <si>
    <t>4974013821</t>
  </si>
  <si>
    <t>4974013879</t>
  </si>
  <si>
    <t>4974013811</t>
  </si>
  <si>
    <t>4974013874</t>
  </si>
  <si>
    <t>4974013843</t>
  </si>
  <si>
    <t>4974013875</t>
  </si>
  <si>
    <t>4974013924</t>
  </si>
  <si>
    <t>4974013951</t>
  </si>
  <si>
    <t>4974013878</t>
  </si>
  <si>
    <t>4974013961</t>
  </si>
  <si>
    <t>4974013960</t>
  </si>
  <si>
    <t>4974013969</t>
  </si>
  <si>
    <t>4974014013</t>
  </si>
  <si>
    <t>4974013880</t>
  </si>
  <si>
    <t>4974013978</t>
  </si>
  <si>
    <t>4974014025</t>
  </si>
  <si>
    <t>4974013983</t>
  </si>
  <si>
    <t>4974014031</t>
  </si>
  <si>
    <t>4974014037</t>
  </si>
  <si>
    <t>4974014066</t>
  </si>
  <si>
    <t>4974014127</t>
  </si>
  <si>
    <t>4974014120</t>
  </si>
  <si>
    <t>4974014213</t>
  </si>
  <si>
    <t>4974014250</t>
  </si>
  <si>
    <t>4974014255</t>
  </si>
  <si>
    <t>4974014340</t>
  </si>
  <si>
    <t>4974014364</t>
  </si>
  <si>
    <t>4973822177</t>
  </si>
  <si>
    <t>2007282463</t>
  </si>
  <si>
    <t>2192757618</t>
  </si>
  <si>
    <t>2192760530</t>
  </si>
  <si>
    <t>2191952990</t>
  </si>
  <si>
    <t>2253284083</t>
  </si>
  <si>
    <t>2425842642</t>
  </si>
  <si>
    <t>2753792721</t>
  </si>
  <si>
    <t>1140657005</t>
  </si>
  <si>
    <t>2779506177</t>
  </si>
  <si>
    <t>2781179403</t>
  </si>
  <si>
    <t>2795484668</t>
  </si>
  <si>
    <t>1219779228</t>
  </si>
  <si>
    <t>1430911252</t>
  </si>
  <si>
    <t>1523025225</t>
  </si>
  <si>
    <t>1842116359</t>
  </si>
  <si>
    <t>1875028712</t>
  </si>
  <si>
    <t>1915246189</t>
  </si>
  <si>
    <t>2119280224</t>
  </si>
  <si>
    <t>2271276854</t>
  </si>
  <si>
    <t>2824717236</t>
  </si>
  <si>
    <t>2850105850</t>
  </si>
  <si>
    <t>2833165923</t>
  </si>
  <si>
    <t>2976248905</t>
  </si>
  <si>
    <t>3037716140</t>
  </si>
  <si>
    <t>4042120607</t>
  </si>
  <si>
    <t>2652849639</t>
  </si>
  <si>
    <t>2008747999</t>
  </si>
  <si>
    <t>2108560256</t>
  </si>
  <si>
    <t>1555726489</t>
  </si>
  <si>
    <t>2780121199</t>
  </si>
  <si>
    <t>2781788560</t>
  </si>
  <si>
    <t>2790655143</t>
  </si>
  <si>
    <t>2280033801</t>
  </si>
  <si>
    <t>1842124002</t>
  </si>
  <si>
    <t>2817296325</t>
  </si>
  <si>
    <t>4615190841</t>
  </si>
  <si>
    <t>1912182549</t>
  </si>
  <si>
    <t>2996829243</t>
  </si>
  <si>
    <t>3142301626</t>
  </si>
  <si>
    <t>3204045494</t>
  </si>
  <si>
    <t>3201741229</t>
  </si>
  <si>
    <t>3242232672</t>
  </si>
  <si>
    <t>3326694079</t>
  </si>
  <si>
    <t>3352680607</t>
  </si>
  <si>
    <t>3478114309</t>
  </si>
  <si>
    <t>3606975712</t>
  </si>
  <si>
    <t>3609975207</t>
  </si>
  <si>
    <t>3784867171</t>
  </si>
  <si>
    <t>3806721519</t>
  </si>
  <si>
    <t>4083830346</t>
  </si>
  <si>
    <t>4297189654</t>
  </si>
  <si>
    <t>4494585020</t>
  </si>
  <si>
    <t>4615008723</t>
  </si>
  <si>
    <t>4669887264</t>
  </si>
  <si>
    <t>4861701993</t>
  </si>
  <si>
    <t>4900636251</t>
  </si>
  <si>
    <t>4912834621</t>
  </si>
  <si>
    <t>4965747192</t>
  </si>
  <si>
    <t>1451990615</t>
  </si>
  <si>
    <t>2192769613</t>
  </si>
  <si>
    <t>2422325255</t>
  </si>
  <si>
    <t>2422340798</t>
  </si>
  <si>
    <t>2515805356</t>
  </si>
  <si>
    <t>2733321050</t>
  </si>
  <si>
    <t>3295329456</t>
  </si>
  <si>
    <t>3333342925</t>
  </si>
  <si>
    <t>4593303447</t>
  </si>
  <si>
    <t>2748601217</t>
  </si>
  <si>
    <t>3343173974</t>
  </si>
  <si>
    <t>3360321310</t>
  </si>
  <si>
    <t>4931848136</t>
  </si>
  <si>
    <t>2192762057</t>
  </si>
  <si>
    <t>2729577895</t>
  </si>
  <si>
    <t>2884755561</t>
  </si>
  <si>
    <t>2921199136</t>
  </si>
  <si>
    <t>2271634876</t>
  </si>
  <si>
    <t>2382513535</t>
  </si>
  <si>
    <t>2779719647</t>
  </si>
  <si>
    <t>3151041897</t>
  </si>
  <si>
    <t>3203950646</t>
  </si>
  <si>
    <t>1684920220</t>
  </si>
  <si>
    <t>3964320676</t>
  </si>
  <si>
    <t>4287789767</t>
  </si>
  <si>
    <t>2730751882</t>
  </si>
  <si>
    <t>4585909583</t>
  </si>
  <si>
    <t>4042107009</t>
  </si>
  <si>
    <t>4861706419</t>
  </si>
  <si>
    <t>4272915362</t>
  </si>
  <si>
    <t>4176647663</t>
  </si>
  <si>
    <t>3934512316</t>
  </si>
  <si>
    <t>4041917758</t>
  </si>
  <si>
    <t>4802553515</t>
  </si>
  <si>
    <t>4882264716</t>
  </si>
  <si>
    <t>4874949739</t>
  </si>
  <si>
    <t>4871848836</t>
  </si>
  <si>
    <t>4871840854</t>
  </si>
  <si>
    <t>4870527365</t>
  </si>
  <si>
    <t>4042057850</t>
  </si>
  <si>
    <t>2208560363</t>
  </si>
  <si>
    <t>4439786392</t>
  </si>
  <si>
    <t>4593329854</t>
  </si>
  <si>
    <t>2754711217</t>
  </si>
  <si>
    <t>4614998808</t>
  </si>
  <si>
    <t>2874922450</t>
  </si>
  <si>
    <t>4811313992</t>
  </si>
  <si>
    <t>4399063047</t>
  </si>
  <si>
    <t>4802645986</t>
  </si>
  <si>
    <t>4368021922</t>
  </si>
  <si>
    <t>4802587757</t>
  </si>
  <si>
    <t>2849485275</t>
  </si>
  <si>
    <t>4802564818</t>
  </si>
  <si>
    <t>4604330735</t>
  </si>
  <si>
    <t>2800477140</t>
  </si>
  <si>
    <t>4268926762</t>
  </si>
  <si>
    <t>4722639839</t>
  </si>
  <si>
    <t>4735698430</t>
  </si>
  <si>
    <t>4729060264</t>
  </si>
  <si>
    <t>4693387871</t>
  </si>
  <si>
    <t>4428965037</t>
  </si>
  <si>
    <t>4610874049</t>
  </si>
  <si>
    <t>4623545609</t>
  </si>
  <si>
    <t>4648396735</t>
  </si>
  <si>
    <t>3828337231</t>
  </si>
  <si>
    <t>4613026922</t>
  </si>
  <si>
    <t>4022252716</t>
  </si>
  <si>
    <t>4645682446</t>
  </si>
  <si>
    <t>4645425887</t>
  </si>
  <si>
    <t>4457454683</t>
  </si>
  <si>
    <t>4610708703</t>
  </si>
  <si>
    <t>4356612150</t>
  </si>
  <si>
    <t>4047601030</t>
  </si>
  <si>
    <t>4598423926</t>
  </si>
  <si>
    <t>4540488364</t>
  </si>
  <si>
    <t>4589367478</t>
  </si>
  <si>
    <t>3361036626</t>
  </si>
  <si>
    <t>4368018193</t>
  </si>
  <si>
    <t>4555565550</t>
  </si>
  <si>
    <t>2715593680</t>
  </si>
  <si>
    <t>2779559438</t>
  </si>
  <si>
    <t>2802629567</t>
  </si>
  <si>
    <t>4356286800</t>
  </si>
  <si>
    <t>3176432492</t>
  </si>
  <si>
    <t>1803428055</t>
  </si>
  <si>
    <t>2282228294</t>
  </si>
  <si>
    <t>4512012762</t>
  </si>
  <si>
    <t>4495338775</t>
  </si>
  <si>
    <t>4042144608</t>
  </si>
  <si>
    <t>4469147775</t>
  </si>
  <si>
    <t>4461865854</t>
  </si>
  <si>
    <t>4443614672</t>
  </si>
  <si>
    <t>4433908628</t>
  </si>
  <si>
    <t>4424786582</t>
  </si>
  <si>
    <t>4353035465</t>
  </si>
  <si>
    <t>4353037120</t>
  </si>
  <si>
    <t>4350408039</t>
  </si>
  <si>
    <t>3789214274</t>
  </si>
  <si>
    <t>4359655305</t>
  </si>
  <si>
    <t>4353034516</t>
  </si>
  <si>
    <t>4330316711</t>
  </si>
  <si>
    <t>4287791156</t>
  </si>
  <si>
    <t>4287688304</t>
  </si>
  <si>
    <t>4316357388</t>
  </si>
  <si>
    <t>2763786984</t>
  </si>
  <si>
    <t>2967192018</t>
  </si>
  <si>
    <t>3341274302</t>
  </si>
  <si>
    <t>3346747923</t>
  </si>
  <si>
    <t>4169350297</t>
  </si>
  <si>
    <t>4169350754</t>
  </si>
  <si>
    <t>3988908077</t>
  </si>
  <si>
    <t>2976415915</t>
  </si>
  <si>
    <t>4040156029</t>
  </si>
  <si>
    <t>1344083713</t>
  </si>
  <si>
    <t>4042020143</t>
  </si>
  <si>
    <t>4224290008</t>
  </si>
  <si>
    <t>4202629923</t>
  </si>
  <si>
    <t>4183978866</t>
  </si>
  <si>
    <t>4179583820</t>
  </si>
  <si>
    <t>4176656202</t>
  </si>
  <si>
    <t>4162075402</t>
  </si>
  <si>
    <t>4077921821</t>
  </si>
  <si>
    <t>1531556768</t>
  </si>
  <si>
    <t>3815334227</t>
  </si>
  <si>
    <t>3828664586</t>
  </si>
  <si>
    <t>3805440479</t>
  </si>
  <si>
    <t>2790812961</t>
  </si>
  <si>
    <t>2776762324</t>
  </si>
  <si>
    <t>3326427999</t>
  </si>
  <si>
    <t>4042180325</t>
  </si>
  <si>
    <t>2562382736</t>
  </si>
  <si>
    <t>2598955513</t>
  </si>
  <si>
    <t>3821417843</t>
  </si>
  <si>
    <t>3971936323</t>
  </si>
  <si>
    <t>3703439132</t>
  </si>
  <si>
    <t>3968721876</t>
  </si>
  <si>
    <t>2976225187</t>
  </si>
  <si>
    <t>2774186300</t>
  </si>
  <si>
    <t>3890152537</t>
  </si>
  <si>
    <t>3882459264</t>
  </si>
  <si>
    <t>3370308518</t>
  </si>
  <si>
    <t>3853594531</t>
  </si>
  <si>
    <t>2530384030</t>
  </si>
  <si>
    <t>2892209893</t>
  </si>
  <si>
    <t>3860578277</t>
  </si>
  <si>
    <t>2996898180</t>
  </si>
  <si>
    <t>3638203455</t>
  </si>
  <si>
    <t>2774182744</t>
  </si>
  <si>
    <t>3836724667</t>
  </si>
  <si>
    <t>3836719327</t>
  </si>
  <si>
    <t>3805031269</t>
  </si>
  <si>
    <t>2715383496</t>
  </si>
  <si>
    <t>3805109726</t>
  </si>
  <si>
    <t>2966017484</t>
  </si>
  <si>
    <t>2788535183</t>
  </si>
  <si>
    <t>1345385914</t>
  </si>
  <si>
    <t>1875008558</t>
  </si>
  <si>
    <t>3732210693</t>
  </si>
  <si>
    <t>2101072813</t>
  </si>
  <si>
    <t>2763562499</t>
  </si>
  <si>
    <t>3037713398</t>
  </si>
  <si>
    <t>3571994349</t>
  </si>
  <si>
    <t>3195334104</t>
  </si>
  <si>
    <t>2410610763</t>
  </si>
  <si>
    <t>3346753418</t>
  </si>
  <si>
    <t>3045944343</t>
  </si>
  <si>
    <t>3328700099</t>
  </si>
  <si>
    <t>3568015560</t>
  </si>
  <si>
    <t>1875022100</t>
  </si>
  <si>
    <t>2798942427</t>
  </si>
  <si>
    <t>3024526868</t>
  </si>
  <si>
    <t>3550653933</t>
  </si>
  <si>
    <t>2761183287</t>
  </si>
  <si>
    <t>2451067134</t>
  </si>
  <si>
    <t>3272050406</t>
  </si>
  <si>
    <t>2341063750</t>
  </si>
  <si>
    <t>2715378378</t>
  </si>
  <si>
    <t>2729554696</t>
  </si>
  <si>
    <t>2849260028</t>
  </si>
  <si>
    <t>3426484712</t>
  </si>
  <si>
    <t>3412114812</t>
  </si>
  <si>
    <t>3316157620</t>
  </si>
  <si>
    <t>3124503788</t>
  </si>
  <si>
    <t>3314577496</t>
  </si>
  <si>
    <t>3354660106</t>
  </si>
  <si>
    <t>3351164412</t>
  </si>
  <si>
    <t>3348487727</t>
  </si>
  <si>
    <t>2823606000</t>
  </si>
  <si>
    <t>3004842716</t>
  </si>
  <si>
    <t>2776705890</t>
  </si>
  <si>
    <t>2779817225</t>
  </si>
  <si>
    <t>1554173024</t>
  </si>
  <si>
    <t>1935360409</t>
  </si>
  <si>
    <t>2849078496</t>
  </si>
  <si>
    <t>3261537086</t>
  </si>
  <si>
    <t>3281459825</t>
  </si>
  <si>
    <t>3271937104</t>
  </si>
  <si>
    <t>3128785394</t>
  </si>
  <si>
    <t>2763786986</t>
  </si>
  <si>
    <t>2780118142</t>
  </si>
  <si>
    <t>2780119335</t>
  </si>
  <si>
    <t>2780561568</t>
  </si>
  <si>
    <t>2780949378</t>
  </si>
  <si>
    <t>2967184882</t>
  </si>
  <si>
    <t>2973648667</t>
  </si>
  <si>
    <t>2973649621</t>
  </si>
  <si>
    <t>3045184552</t>
  </si>
  <si>
    <t>3128793689</t>
  </si>
  <si>
    <t>3208489254</t>
  </si>
  <si>
    <t>3187154141</t>
  </si>
  <si>
    <t>1915255116</t>
  </si>
  <si>
    <t>1528596779</t>
  </si>
  <si>
    <t>2153051469</t>
  </si>
  <si>
    <t>2499291354</t>
  </si>
  <si>
    <t>3028993826</t>
  </si>
  <si>
    <t>2774158723</t>
  </si>
  <si>
    <t>2989042135</t>
  </si>
  <si>
    <t>1577315552</t>
  </si>
  <si>
    <t>2699398268</t>
  </si>
  <si>
    <t>2696451500</t>
  </si>
  <si>
    <t>2763785378</t>
  </si>
  <si>
    <t>2317143760</t>
  </si>
  <si>
    <t>2742234670</t>
  </si>
  <si>
    <t>2697002627</t>
  </si>
  <si>
    <t>2741368665</t>
  </si>
  <si>
    <t>1803920715</t>
  </si>
  <si>
    <t>3044046195</t>
  </si>
  <si>
    <t>2715584319</t>
  </si>
  <si>
    <t>2822057021</t>
  </si>
  <si>
    <t>1523026117</t>
  </si>
  <si>
    <t>2849333947</t>
  </si>
  <si>
    <t>2817307700</t>
  </si>
  <si>
    <t>2849213218</t>
  </si>
  <si>
    <t>2998529743</t>
  </si>
  <si>
    <t>3024489399</t>
  </si>
  <si>
    <t>1417272398</t>
  </si>
  <si>
    <t>2791241493</t>
  </si>
  <si>
    <t>3089232698</t>
  </si>
  <si>
    <t>3060732725</t>
  </si>
  <si>
    <t>3057272614</t>
  </si>
  <si>
    <t>2996901757</t>
  </si>
  <si>
    <t>3037714775</t>
  </si>
  <si>
    <t>3024524448</t>
  </si>
  <si>
    <t>2996884842</t>
  </si>
  <si>
    <t>2996889157</t>
  </si>
  <si>
    <t>2996893297</t>
  </si>
  <si>
    <t>1540604715</t>
  </si>
  <si>
    <t>2989040895</t>
  </si>
  <si>
    <t>2533749687</t>
  </si>
  <si>
    <t>2980795628</t>
  </si>
  <si>
    <t>2961853738</t>
  </si>
  <si>
    <t>2794124493</t>
  </si>
  <si>
    <t>2785936907</t>
  </si>
  <si>
    <t>2851074278</t>
  </si>
  <si>
    <t>2790851351</t>
  </si>
  <si>
    <t>2894084455</t>
  </si>
  <si>
    <t>2822241224</t>
  </si>
  <si>
    <t>2837724878</t>
  </si>
  <si>
    <t>1550420847</t>
  </si>
  <si>
    <t>2763780912</t>
  </si>
  <si>
    <t>2849316163</t>
  </si>
  <si>
    <t>2878753504</t>
  </si>
  <si>
    <t>2090043321</t>
  </si>
  <si>
    <t>2849468690</t>
  </si>
  <si>
    <t>2819805388</t>
  </si>
  <si>
    <t>2794468996</t>
  </si>
  <si>
    <t>2864254142</t>
  </si>
  <si>
    <t>2126633755</t>
  </si>
  <si>
    <t>2858828201</t>
  </si>
  <si>
    <t>2854612123</t>
  </si>
  <si>
    <t>2776756941</t>
  </si>
  <si>
    <t>1641665864</t>
  </si>
  <si>
    <t>2797020530</t>
  </si>
  <si>
    <t>2405787368</t>
  </si>
  <si>
    <t>2499241514</t>
  </si>
  <si>
    <t>2829060034</t>
  </si>
  <si>
    <t>1499374676</t>
  </si>
  <si>
    <t>2220473530</t>
  </si>
  <si>
    <t>2220475531</t>
  </si>
  <si>
    <t>2220475920</t>
  </si>
  <si>
    <t>2220476154</t>
  </si>
  <si>
    <t>2789334505</t>
  </si>
  <si>
    <t>2782251204</t>
  </si>
  <si>
    <t>2789352880</t>
  </si>
  <si>
    <t>2578262199</t>
  </si>
  <si>
    <t>2799886237</t>
  </si>
  <si>
    <t>1542852849</t>
  </si>
  <si>
    <t>2267501090</t>
  </si>
  <si>
    <t>1528216883</t>
  </si>
  <si>
    <t>2730692086</t>
  </si>
  <si>
    <t>2730732486</t>
  </si>
  <si>
    <t>2817697144</t>
  </si>
  <si>
    <t>2729559301</t>
  </si>
  <si>
    <t>2776715124</t>
  </si>
  <si>
    <t>2790940808</t>
  </si>
  <si>
    <t>2729587366</t>
  </si>
  <si>
    <t>2499238806</t>
  </si>
  <si>
    <t>1348709545</t>
  </si>
  <si>
    <t>2756475972</t>
  </si>
  <si>
    <t>2788621509</t>
  </si>
  <si>
    <t>2770955163</t>
  </si>
  <si>
    <t>2782195389</t>
  </si>
  <si>
    <t>1575214320</t>
  </si>
  <si>
    <t>2776709785</t>
  </si>
  <si>
    <t>2730687251</t>
  </si>
  <si>
    <t>2270934831</t>
  </si>
  <si>
    <t>2776691590</t>
  </si>
  <si>
    <t>2738596629</t>
  </si>
  <si>
    <t>2749969145</t>
  </si>
  <si>
    <t>2715359364</t>
  </si>
  <si>
    <t>2715535628</t>
  </si>
  <si>
    <t>2746848641</t>
  </si>
  <si>
    <t>2487235078</t>
  </si>
  <si>
    <t>1443102159</t>
  </si>
  <si>
    <t>1350552778</t>
  </si>
  <si>
    <t>2499196512</t>
  </si>
  <si>
    <t>2729562111</t>
  </si>
  <si>
    <t>2403840599</t>
  </si>
  <si>
    <t>2715544805</t>
  </si>
  <si>
    <t>2499294044</t>
  </si>
  <si>
    <t>2613183966</t>
  </si>
  <si>
    <t>2649589524</t>
  </si>
  <si>
    <t>2117275618</t>
  </si>
  <si>
    <t>2192764376</t>
  </si>
  <si>
    <t>2650477550</t>
  </si>
  <si>
    <t>1854566789</t>
  </si>
  <si>
    <t>2588217803</t>
  </si>
  <si>
    <t>1686101398</t>
  </si>
  <si>
    <t>1826053846</t>
  </si>
  <si>
    <t>2430424337</t>
  </si>
  <si>
    <t>2743920032</t>
  </si>
  <si>
    <t>2715382199</t>
  </si>
  <si>
    <t>2730698334</t>
  </si>
  <si>
    <t>2393703519</t>
  </si>
  <si>
    <t>2715557218</t>
  </si>
  <si>
    <t>2499239810</t>
  </si>
  <si>
    <t>2584287754</t>
  </si>
  <si>
    <t>2409141305</t>
  </si>
  <si>
    <t>2347417695</t>
  </si>
  <si>
    <t>2403869402</t>
  </si>
  <si>
    <t>2212135062</t>
  </si>
  <si>
    <t>669102552</t>
  </si>
  <si>
    <t>1935809611</t>
  </si>
  <si>
    <t>2479102885</t>
  </si>
  <si>
    <t>2482951372</t>
  </si>
  <si>
    <t>2499238335</t>
  </si>
  <si>
    <t>2530346373</t>
  </si>
  <si>
    <t>2531808650</t>
  </si>
  <si>
    <t>1592029885</t>
  </si>
  <si>
    <t>2007368633</t>
  </si>
  <si>
    <t>2491016337</t>
  </si>
  <si>
    <t>2354482444</t>
  </si>
  <si>
    <t>2244959132</t>
  </si>
  <si>
    <t>1628283257</t>
  </si>
  <si>
    <t>1664376914</t>
  </si>
  <si>
    <t>2409145489</t>
  </si>
  <si>
    <t>2317143610</t>
  </si>
  <si>
    <t>2341061634</t>
  </si>
  <si>
    <t>2220013778</t>
  </si>
  <si>
    <t>2220468251</t>
  </si>
  <si>
    <t>2201401743</t>
  </si>
  <si>
    <t>2154623084</t>
  </si>
  <si>
    <t>2103039804</t>
  </si>
  <si>
    <t>2108560315</t>
  </si>
  <si>
    <t>2042465067</t>
  </si>
  <si>
    <t>1613055691</t>
  </si>
  <si>
    <t>1551292360</t>
  </si>
  <si>
    <t>1556135316</t>
  </si>
  <si>
    <t>1541287814</t>
  </si>
  <si>
    <t>1532156496</t>
  </si>
  <si>
    <t>1447471500</t>
  </si>
  <si>
    <t>1420034663</t>
  </si>
  <si>
    <t>1397119231</t>
  </si>
  <si>
    <t>1375051637</t>
  </si>
  <si>
    <t>1625096246</t>
  </si>
  <si>
    <t>2201399849</t>
  </si>
  <si>
    <t>2201401674</t>
  </si>
  <si>
    <t>2383658944</t>
  </si>
  <si>
    <t>1815626421</t>
  </si>
  <si>
    <t>2203419581</t>
  </si>
  <si>
    <t>2275240612</t>
  </si>
  <si>
    <t>2347619932</t>
  </si>
  <si>
    <t>2487236161</t>
  </si>
  <si>
    <t>997680626</t>
  </si>
  <si>
    <t>790693152</t>
  </si>
  <si>
    <t>2468238653</t>
  </si>
  <si>
    <t>866325245</t>
  </si>
  <si>
    <t>2400654797</t>
  </si>
  <si>
    <t>2104072951</t>
  </si>
  <si>
    <t>2413971596</t>
  </si>
  <si>
    <t>2103046770</t>
  </si>
  <si>
    <t>2149355090</t>
  </si>
  <si>
    <t>2333692426</t>
  </si>
  <si>
    <t>2413991002</t>
  </si>
  <si>
    <t>1609921692</t>
  </si>
  <si>
    <t>2346657322</t>
  </si>
  <si>
    <t>2214044516</t>
  </si>
  <si>
    <t>1977113258</t>
  </si>
  <si>
    <t>1943647548</t>
  </si>
  <si>
    <t>2203419369</t>
  </si>
  <si>
    <t>1571787818</t>
  </si>
  <si>
    <t>2042465439</t>
  </si>
  <si>
    <t>1600578533</t>
  </si>
  <si>
    <t>1842129411</t>
  </si>
  <si>
    <t>1874990965</t>
  </si>
  <si>
    <t>2003915145</t>
  </si>
  <si>
    <t>2102678118</t>
  </si>
  <si>
    <t>693003642</t>
  </si>
  <si>
    <t>2243390510</t>
  </si>
  <si>
    <t>2101190328</t>
  </si>
  <si>
    <t>2333695099</t>
  </si>
  <si>
    <t>2295732901</t>
  </si>
  <si>
    <t>2272993926</t>
  </si>
  <si>
    <t>2102668626</t>
  </si>
  <si>
    <t>2282227560</t>
  </si>
  <si>
    <t>2261829215</t>
  </si>
  <si>
    <t>2262391205</t>
  </si>
  <si>
    <t>2284607377</t>
  </si>
  <si>
    <t>766171003</t>
  </si>
  <si>
    <t>789131658</t>
  </si>
  <si>
    <t>942756431</t>
  </si>
  <si>
    <t>1193940974</t>
  </si>
  <si>
    <t>1310878634</t>
  </si>
  <si>
    <t>1326141741</t>
  </si>
  <si>
    <t>1326143771</t>
  </si>
  <si>
    <t>1361395032</t>
  </si>
  <si>
    <t>1361421961</t>
  </si>
  <si>
    <t>1370929759</t>
  </si>
  <si>
    <t>1425292282</t>
  </si>
  <si>
    <t>1523052198</t>
  </si>
  <si>
    <t>1535131285</t>
  </si>
  <si>
    <t>1550409227</t>
  </si>
  <si>
    <t>2007361121</t>
  </si>
  <si>
    <t>679138293</t>
  </si>
  <si>
    <t>938719688</t>
  </si>
  <si>
    <t>1189486139</t>
  </si>
  <si>
    <t>1191168768</t>
  </si>
  <si>
    <t>1191172586</t>
  </si>
  <si>
    <t>1310855869</t>
  </si>
  <si>
    <t>1310865383</t>
  </si>
  <si>
    <t>1326109539</t>
  </si>
  <si>
    <t>1326126437</t>
  </si>
  <si>
    <t>1341725825</t>
  </si>
  <si>
    <t>1346794116</t>
  </si>
  <si>
    <t>1348306750</t>
  </si>
  <si>
    <t>1409142492</t>
  </si>
  <si>
    <t>1425247922</t>
  </si>
  <si>
    <t>1454973119</t>
  </si>
  <si>
    <t>1502196398</t>
  </si>
  <si>
    <t>1534020376</t>
  </si>
  <si>
    <t>1535019468</t>
  </si>
  <si>
    <t>1549265342</t>
  </si>
  <si>
    <t>1550370738</t>
  </si>
  <si>
    <t>1556132572</t>
  </si>
  <si>
    <t>1590844393</t>
  </si>
  <si>
    <t>1947506578</t>
  </si>
  <si>
    <t>660527280</t>
  </si>
  <si>
    <t>1186391586</t>
  </si>
  <si>
    <t>1306817042</t>
  </si>
  <si>
    <t>1311667733</t>
  </si>
  <si>
    <t>1324090637</t>
  </si>
  <si>
    <t>1341715618</t>
  </si>
  <si>
    <t>1341724884</t>
  </si>
  <si>
    <t>1345405341</t>
  </si>
  <si>
    <t>1378486860</t>
  </si>
  <si>
    <t>1381494256</t>
  </si>
  <si>
    <t>1515765636</t>
  </si>
  <si>
    <t>1528247468</t>
  </si>
  <si>
    <t>1541194343</t>
  </si>
  <si>
    <t>1582898856</t>
  </si>
  <si>
    <t>1605150018</t>
  </si>
  <si>
    <t>1609088055</t>
  </si>
  <si>
    <t>1875006342</t>
  </si>
  <si>
    <t>660527112</t>
  </si>
  <si>
    <t>814857127</t>
  </si>
  <si>
    <t>1186385546</t>
  </si>
  <si>
    <t>1186385748</t>
  </si>
  <si>
    <t>1273230803</t>
  </si>
  <si>
    <t>1300603683</t>
  </si>
  <si>
    <t>1310911176</t>
  </si>
  <si>
    <t>1341588373</t>
  </si>
  <si>
    <t>1345169850</t>
  </si>
  <si>
    <t>1345387813</t>
  </si>
  <si>
    <t>679134309</t>
  </si>
  <si>
    <t>679136503</t>
  </si>
  <si>
    <t>776891175</t>
  </si>
  <si>
    <t>790690463</t>
  </si>
  <si>
    <t>1140663537</t>
  </si>
  <si>
    <t>1186448978</t>
  </si>
  <si>
    <t>1186449233</t>
  </si>
  <si>
    <t>1194134958</t>
  </si>
  <si>
    <t>1218918742</t>
  </si>
  <si>
    <t>1311975171</t>
  </si>
  <si>
    <t>1314929913</t>
  </si>
  <si>
    <t>1314951898</t>
  </si>
  <si>
    <t>1336946338</t>
  </si>
  <si>
    <t>1342143301</t>
  </si>
  <si>
    <t>1346192772</t>
  </si>
  <si>
    <t>1348717391</t>
  </si>
  <si>
    <t>1353720168</t>
  </si>
  <si>
    <t>1357009969</t>
  </si>
  <si>
    <t>1365785185</t>
  </si>
  <si>
    <t>1381860710</t>
  </si>
  <si>
    <t>1405751020</t>
  </si>
  <si>
    <t>1416881520</t>
  </si>
  <si>
    <t>1446741678</t>
  </si>
  <si>
    <t>1453055011</t>
  </si>
  <si>
    <t>1498668688</t>
  </si>
  <si>
    <t>1499096911</t>
  </si>
  <si>
    <t>1518867901</t>
  </si>
  <si>
    <t>1542870053</t>
  </si>
  <si>
    <t>1547151568</t>
  </si>
  <si>
    <t>1557856404</t>
  </si>
  <si>
    <t>1567473170</t>
  </si>
  <si>
    <t>1591998174</t>
  </si>
  <si>
    <t>1608467601</t>
  </si>
  <si>
    <t>1609078327</t>
  </si>
  <si>
    <t>1619170740</t>
  </si>
  <si>
    <t>1640438587</t>
  </si>
  <si>
    <t>1641609513</t>
  </si>
  <si>
    <t>1658794021</t>
  </si>
  <si>
    <t>1977207519</t>
  </si>
  <si>
    <t>2008762705</t>
  </si>
  <si>
    <t>2019100478</t>
  </si>
  <si>
    <t>2102186354</t>
  </si>
  <si>
    <t>2201401716</t>
  </si>
  <si>
    <t>2232942190</t>
  </si>
  <si>
    <t>790691464</t>
  </si>
  <si>
    <t>790693123</t>
  </si>
  <si>
    <t>1200234302</t>
  </si>
  <si>
    <t>1265872850</t>
  </si>
  <si>
    <t>1310905330</t>
  </si>
  <si>
    <t>1310905419</t>
  </si>
  <si>
    <t>1399593290</t>
  </si>
  <si>
    <t>1472717677</t>
  </si>
  <si>
    <t>1600327112</t>
  </si>
  <si>
    <t>1628290200</t>
  </si>
  <si>
    <t>1664382582</t>
  </si>
  <si>
    <t>1670597121</t>
  </si>
  <si>
    <t>1680991863</t>
  </si>
  <si>
    <t>1786231288</t>
  </si>
  <si>
    <t>1803399031</t>
  </si>
  <si>
    <t>1803405868</t>
  </si>
  <si>
    <t>1803411132</t>
  </si>
  <si>
    <t>1803449671</t>
  </si>
  <si>
    <t>1803794068</t>
  </si>
  <si>
    <t>1828240613</t>
  </si>
  <si>
    <t>1828320693</t>
  </si>
  <si>
    <t>1828513891</t>
  </si>
  <si>
    <t>1845871322</t>
  </si>
  <si>
    <t>1849474938</t>
  </si>
  <si>
    <t>1854579868</t>
  </si>
  <si>
    <t>1874920127</t>
  </si>
  <si>
    <t>1875077785</t>
  </si>
  <si>
    <t>1893244202</t>
  </si>
  <si>
    <t>1895533389</t>
  </si>
  <si>
    <t>1912160182</t>
  </si>
  <si>
    <t>1912161691</t>
  </si>
  <si>
    <t>1914097066</t>
  </si>
  <si>
    <t>1914398437</t>
  </si>
  <si>
    <t>1916750765</t>
  </si>
  <si>
    <t>1916751043</t>
  </si>
  <si>
    <t>1917920598</t>
  </si>
  <si>
    <t>2210249876</t>
  </si>
  <si>
    <t>1928886696</t>
  </si>
  <si>
    <t>2007323939</t>
  </si>
  <si>
    <t>2109182549</t>
  </si>
  <si>
    <t>2110475670</t>
  </si>
  <si>
    <t>2113288068</t>
  </si>
  <si>
    <t>2192756738</t>
  </si>
  <si>
    <t>2192776521</t>
  </si>
  <si>
    <t>2192776967</t>
  </si>
  <si>
    <t>2214041654</t>
  </si>
  <si>
    <t>2251878301</t>
  </si>
  <si>
    <t>806516112</t>
  </si>
  <si>
    <t>1219779952</t>
  </si>
  <si>
    <t>1234218184</t>
  </si>
  <si>
    <t>1310870468</t>
  </si>
  <si>
    <t>1341726723</t>
  </si>
  <si>
    <t>1425253433</t>
  </si>
  <si>
    <t>1464140801</t>
  </si>
  <si>
    <t>1479223660</t>
  </si>
  <si>
    <t>1523045225</t>
  </si>
  <si>
    <t>1528231928</t>
  </si>
  <si>
    <t>1574820610</t>
  </si>
  <si>
    <t>1600524460</t>
  </si>
  <si>
    <t>1600950582</t>
  </si>
  <si>
    <t>1667409506</t>
  </si>
  <si>
    <t>949877623</t>
  </si>
  <si>
    <t>1140662778</t>
  </si>
  <si>
    <t>1396342577</t>
  </si>
  <si>
    <t>1456150265</t>
  </si>
  <si>
    <t>1510416497</t>
  </si>
  <si>
    <t>1326141004</t>
  </si>
  <si>
    <t>1381860719</t>
  </si>
  <si>
    <t>1550385446</t>
  </si>
  <si>
    <t>1381860716</t>
  </si>
  <si>
    <t>1406655667</t>
  </si>
  <si>
    <t>1424335830</t>
  </si>
  <si>
    <t>1638223384</t>
  </si>
  <si>
    <t>841229551</t>
  </si>
  <si>
    <t>881685868</t>
  </si>
  <si>
    <t>1186387087</t>
  </si>
  <si>
    <t>1300891029</t>
  </si>
  <si>
    <t>1310911557</t>
  </si>
  <si>
    <t>1310913584</t>
  </si>
  <si>
    <t>790691444</t>
  </si>
  <si>
    <t>794923349</t>
  </si>
  <si>
    <t>794924075</t>
  </si>
  <si>
    <t>1186379265</t>
  </si>
  <si>
    <t>1199108163</t>
  </si>
  <si>
    <t>1228415838</t>
  </si>
  <si>
    <t>1234217258</t>
  </si>
  <si>
    <t>1310904910</t>
  </si>
  <si>
    <t>1344229502</t>
  </si>
  <si>
    <t>1399349123</t>
  </si>
  <si>
    <t>1417310103</t>
  </si>
  <si>
    <t>1528204852</t>
  </si>
  <si>
    <t>1570234305</t>
  </si>
  <si>
    <t>1573451856</t>
  </si>
  <si>
    <t>1625099909</t>
  </si>
  <si>
    <t>1629236027</t>
  </si>
  <si>
    <t>1664363187</t>
  </si>
  <si>
    <t>1664451211</t>
  </si>
  <si>
    <t>1186379082</t>
  </si>
  <si>
    <t>1398836082</t>
  </si>
  <si>
    <t>1528180242</t>
  </si>
  <si>
    <t>1310902442</t>
  </si>
  <si>
    <t>1350539935</t>
  </si>
  <si>
    <t>1363151236</t>
  </si>
  <si>
    <t>1515365300</t>
  </si>
  <si>
    <t>1523101907</t>
  </si>
  <si>
    <t>1540472477</t>
  </si>
  <si>
    <t>1569794381</t>
  </si>
  <si>
    <t>1591934970</t>
  </si>
  <si>
    <t>1935134883</t>
  </si>
  <si>
    <t>1977107556</t>
  </si>
  <si>
    <t>1186395959</t>
  </si>
  <si>
    <t>1346192761</t>
  </si>
  <si>
    <t>1420035583</t>
  </si>
  <si>
    <t>1420036124</t>
  </si>
  <si>
    <t>1450694638</t>
  </si>
  <si>
    <t>1495867719</t>
  </si>
  <si>
    <t>1498486654</t>
  </si>
  <si>
    <t>1516385051</t>
  </si>
  <si>
    <t>1554173720</t>
  </si>
  <si>
    <t>885205122</t>
  </si>
  <si>
    <t>1520314285</t>
  </si>
  <si>
    <t>927624572</t>
  </si>
  <si>
    <t>997668189</t>
  </si>
  <si>
    <t>1216168340</t>
  </si>
  <si>
    <t>1310879783</t>
  </si>
  <si>
    <t>1336737484</t>
  </si>
  <si>
    <t>1381860711</t>
  </si>
  <si>
    <t>1405751616</t>
  </si>
  <si>
    <t>1420807694</t>
  </si>
  <si>
    <t>1421623211</t>
  </si>
  <si>
    <t>1428762997</t>
  </si>
  <si>
    <t>1453060448</t>
  </si>
  <si>
    <t>1532331237</t>
  </si>
  <si>
    <t>1550412685</t>
  </si>
  <si>
    <t>2028131094</t>
  </si>
  <si>
    <t>1310881110</t>
  </si>
  <si>
    <t>1310881672</t>
  </si>
  <si>
    <t>1336811812</t>
  </si>
  <si>
    <t>1341731635</t>
  </si>
  <si>
    <t>1341731686</t>
  </si>
  <si>
    <t>1365616696</t>
  </si>
  <si>
    <t>1396092017</t>
  </si>
  <si>
    <t>1430922229</t>
  </si>
  <si>
    <t>1507112065</t>
  </si>
  <si>
    <t>1537101694</t>
  </si>
  <si>
    <t>1540472452</t>
  </si>
  <si>
    <t>1550745340</t>
  </si>
  <si>
    <t>2101292385</t>
  </si>
  <si>
    <t>1193895019</t>
  </si>
  <si>
    <t>1507833962</t>
  </si>
  <si>
    <t>2101331660</t>
  </si>
  <si>
    <t>1412448721</t>
  </si>
  <si>
    <t>1509750426</t>
  </si>
  <si>
    <t>1591985085</t>
  </si>
  <si>
    <t>1310882659</t>
  </si>
  <si>
    <t>2102182044</t>
  </si>
  <si>
    <t>1193900543</t>
  </si>
  <si>
    <t>1337689358</t>
  </si>
  <si>
    <t>1342140926</t>
  </si>
  <si>
    <t>1396187412</t>
  </si>
  <si>
    <t>1310892876</t>
  </si>
  <si>
    <t>1510418015</t>
  </si>
  <si>
    <t>1528176608</t>
  </si>
  <si>
    <t>2007366210</t>
  </si>
  <si>
    <t>1186379938</t>
  </si>
  <si>
    <t>1420034178</t>
  </si>
  <si>
    <t>814856756</t>
  </si>
  <si>
    <t>1743743802</t>
  </si>
  <si>
    <t>2018551573</t>
  </si>
  <si>
    <t>1780972344</t>
  </si>
  <si>
    <t>1803403334</t>
  </si>
  <si>
    <t>1803500438</t>
  </si>
  <si>
    <t>1875003341</t>
  </si>
  <si>
    <t>2007336484</t>
  </si>
  <si>
    <t>1920751721</t>
  </si>
  <si>
    <t>2126516262</t>
  </si>
  <si>
    <t>2192760880</t>
  </si>
  <si>
    <t>1537921695</t>
  </si>
  <si>
    <t>1573452346</t>
  </si>
  <si>
    <t>1528241444</t>
  </si>
  <si>
    <t>1947505582</t>
  </si>
  <si>
    <t>1420040148</t>
  </si>
  <si>
    <t>1845828528</t>
  </si>
  <si>
    <t>1692450993</t>
  </si>
  <si>
    <t>1528252870</t>
  </si>
  <si>
    <t>1443182265</t>
  </si>
  <si>
    <t>1559269042</t>
  </si>
  <si>
    <t>1680711079</t>
  </si>
  <si>
    <t>1769726578</t>
  </si>
  <si>
    <t>1664382198</t>
  </si>
  <si>
    <t>1803373457</t>
  </si>
  <si>
    <t>1341727601</t>
  </si>
  <si>
    <t>1205459262</t>
  </si>
  <si>
    <t>1542850304</t>
  </si>
  <si>
    <t>1612849055</t>
  </si>
  <si>
    <t>1506215863</t>
  </si>
  <si>
    <t>1641610209</t>
  </si>
  <si>
    <t>1692955113</t>
  </si>
  <si>
    <t>1507833963</t>
  </si>
  <si>
    <t>1507840606</t>
  </si>
  <si>
    <t>1523103660</t>
  </si>
  <si>
    <t>1550492769</t>
  </si>
  <si>
    <t>1325311929</t>
  </si>
  <si>
    <t>1600971496</t>
  </si>
  <si>
    <t>1510682301</t>
  </si>
  <si>
    <t>1580981213</t>
  </si>
  <si>
    <t>1387182625</t>
  </si>
  <si>
    <t>1501681297</t>
  </si>
  <si>
    <t>1528224608</t>
  </si>
  <si>
    <t>1542863731</t>
  </si>
  <si>
    <t>1542884738</t>
  </si>
  <si>
    <t>1641716572</t>
  </si>
  <si>
    <t>1337739552</t>
  </si>
  <si>
    <t>1547136085</t>
  </si>
  <si>
    <t>1420032347</t>
  </si>
  <si>
    <t>1523120849</t>
  </si>
  <si>
    <t>1537876481</t>
  </si>
  <si>
    <t>1552876316</t>
  </si>
  <si>
    <t>1555683377</t>
  </si>
  <si>
    <t>1536480763</t>
  </si>
  <si>
    <t>1524767697</t>
  </si>
  <si>
    <t>1228413166</t>
  </si>
  <si>
    <t>1253765790</t>
  </si>
  <si>
    <t>1199098432</t>
  </si>
  <si>
    <t>796134377</t>
  </si>
  <si>
    <t>770350932</t>
  </si>
  <si>
    <t>1524756784</t>
  </si>
  <si>
    <t>1493342560</t>
  </si>
  <si>
    <t>1399126953</t>
  </si>
  <si>
    <t>1369191756</t>
  </si>
  <si>
    <t>1384300347</t>
  </si>
  <si>
    <t>1387182457</t>
  </si>
  <si>
    <t>1499371698</t>
  </si>
  <si>
    <t>797360560</t>
  </si>
  <si>
    <t>806515400</t>
  </si>
  <si>
    <t>1337598368</t>
  </si>
  <si>
    <t>1346182039</t>
  </si>
  <si>
    <t>1348811115</t>
  </si>
  <si>
    <t>1387183686</t>
  </si>
  <si>
    <t>1199609667</t>
  </si>
  <si>
    <t>1350560943</t>
  </si>
  <si>
    <t>1369176828</t>
  </si>
  <si>
    <t>1405750210</t>
  </si>
  <si>
    <t>1345404387</t>
  </si>
  <si>
    <t>1344172202</t>
  </si>
  <si>
    <t>1253764332</t>
  </si>
  <si>
    <t>660525384</t>
  </si>
  <si>
    <t>789113669</t>
  </si>
  <si>
    <t>1228414086</t>
  </si>
  <si>
    <t>1253766128</t>
  </si>
  <si>
    <t>669103413</t>
  </si>
  <si>
    <t>792403280</t>
  </si>
  <si>
    <t>796065602</t>
  </si>
  <si>
    <t>796130496</t>
  </si>
  <si>
    <t>796130830</t>
  </si>
  <si>
    <t>764788424</t>
  </si>
  <si>
    <t>764788473</t>
  </si>
  <si>
    <t>787352794</t>
  </si>
  <si>
    <t>790693905</t>
  </si>
  <si>
    <t>796065167</t>
  </si>
  <si>
    <t>1200336215</t>
  </si>
  <si>
    <t>1346170112</t>
  </si>
  <si>
    <t>668792857</t>
  </si>
  <si>
    <t>660485165</t>
  </si>
  <si>
    <t>662037440</t>
  </si>
  <si>
    <t>663877175</t>
  </si>
  <si>
    <t>668802555</t>
  </si>
  <si>
    <t>672121300</t>
  </si>
  <si>
    <t>679143787</t>
  </si>
  <si>
    <t>787354469</t>
  </si>
  <si>
    <t>787474255</t>
  </si>
  <si>
    <t>1209354259</t>
  </si>
  <si>
    <t>5000342358</t>
  </si>
  <si>
    <t>4997872851</t>
  </si>
  <si>
    <t>4990166908</t>
  </si>
  <si>
    <t>3469388370</t>
  </si>
  <si>
    <t>4185446006</t>
  </si>
  <si>
    <t>4198861788</t>
  </si>
  <si>
    <t>4395180018</t>
  </si>
  <si>
    <t>4469255034</t>
  </si>
  <si>
    <t>4495162746</t>
  </si>
  <si>
    <t>4618909227</t>
  </si>
  <si>
    <t>4644876819</t>
  </si>
  <si>
    <t>4689632989</t>
  </si>
  <si>
    <t>4689633929</t>
  </si>
  <si>
    <t>4714551349</t>
  </si>
  <si>
    <t>4943784513</t>
  </si>
  <si>
    <t>4952201165</t>
  </si>
  <si>
    <t>3934277532</t>
  </si>
  <si>
    <t>4736575696</t>
  </si>
  <si>
    <t>4682146699</t>
  </si>
  <si>
    <t>3969481240</t>
  </si>
  <si>
    <t>4974018635</t>
  </si>
  <si>
    <t>4974018713</t>
  </si>
  <si>
    <t>4974018722</t>
  </si>
  <si>
    <t>4974018732</t>
  </si>
  <si>
    <t>4974018749</t>
  </si>
  <si>
    <t>4974018759</t>
  </si>
  <si>
    <t>4974018771</t>
  </si>
  <si>
    <t>2192767942</t>
  </si>
  <si>
    <t>2410639862</t>
  </si>
  <si>
    <t>2997785081</t>
  </si>
  <si>
    <t>2997785250</t>
  </si>
  <si>
    <t>2997785326</t>
  </si>
  <si>
    <t>2997785673</t>
  </si>
  <si>
    <t>2997786437</t>
  </si>
  <si>
    <t>3012554121</t>
  </si>
  <si>
    <t>3118841225</t>
  </si>
  <si>
    <t>3119022819</t>
  </si>
  <si>
    <t>3216280462</t>
  </si>
  <si>
    <t>3217599562</t>
  </si>
  <si>
    <t>3281891679</t>
  </si>
  <si>
    <t>3333530898</t>
  </si>
  <si>
    <t>3338543571</t>
  </si>
  <si>
    <t>3344232971</t>
  </si>
  <si>
    <t>3398883814</t>
  </si>
  <si>
    <t>3410460317</t>
  </si>
  <si>
    <t>3415407083</t>
  </si>
  <si>
    <t>3428734217</t>
  </si>
  <si>
    <t>3442418650</t>
  </si>
  <si>
    <t>3774639142</t>
  </si>
  <si>
    <t>2835195331</t>
  </si>
  <si>
    <t>4673944744</t>
  </si>
  <si>
    <t>4673937446</t>
  </si>
  <si>
    <t>4961604340</t>
  </si>
  <si>
    <t>4787506639</t>
  </si>
  <si>
    <t>4787506646</t>
  </si>
  <si>
    <t>4787506616</t>
  </si>
  <si>
    <t>4787506626</t>
  </si>
  <si>
    <t>4787506633</t>
  </si>
  <si>
    <t>4787541720</t>
  </si>
  <si>
    <t>4789063364</t>
  </si>
  <si>
    <t>4932038943</t>
  </si>
  <si>
    <t>4932041448</t>
  </si>
  <si>
    <t>4932042139</t>
  </si>
  <si>
    <t>4932042815</t>
  </si>
  <si>
    <t>4932044505</t>
  </si>
  <si>
    <t>4943099107</t>
  </si>
  <si>
    <t>4957836896</t>
  </si>
  <si>
    <t>4957837731</t>
  </si>
  <si>
    <t>4504486541</t>
  </si>
  <si>
    <t>4722783867</t>
  </si>
  <si>
    <t>4534491973</t>
  </si>
  <si>
    <t>4504446554</t>
  </si>
  <si>
    <t>4504446566</t>
  </si>
  <si>
    <t>4504446573</t>
  </si>
  <si>
    <t>4504483280</t>
  </si>
  <si>
    <t>4520820425</t>
  </si>
  <si>
    <t>4522763980</t>
  </si>
  <si>
    <t>4537338313</t>
  </si>
  <si>
    <t>4591027274</t>
  </si>
  <si>
    <t>4645833061</t>
  </si>
  <si>
    <t>4909283906</t>
  </si>
  <si>
    <t>4764752489</t>
  </si>
  <si>
    <t>4764762223</t>
  </si>
  <si>
    <t>4974018931</t>
  </si>
  <si>
    <t>4974016109</t>
  </si>
  <si>
    <t>4974019014</t>
  </si>
  <si>
    <t>4974019059</t>
  </si>
  <si>
    <t>4974018902</t>
  </si>
  <si>
    <t>4974018918</t>
  </si>
  <si>
    <t>4974018942</t>
  </si>
  <si>
    <t>4974019035</t>
  </si>
  <si>
    <t>4974019050</t>
  </si>
  <si>
    <t>4974018893</t>
  </si>
  <si>
    <t>4974018672</t>
  </si>
  <si>
    <t>4974018680</t>
  </si>
  <si>
    <t>4974015835</t>
  </si>
  <si>
    <t>4974018817</t>
  </si>
  <si>
    <t>4974017849</t>
  </si>
  <si>
    <t>4974018075</t>
  </si>
  <si>
    <t>4974018204</t>
  </si>
  <si>
    <t>4974018346</t>
  </si>
  <si>
    <t>4974019123</t>
  </si>
  <si>
    <t>4974019147</t>
  </si>
  <si>
    <t>4974019171</t>
  </si>
  <si>
    <t>4974019263</t>
  </si>
  <si>
    <t>4974016123</t>
  </si>
  <si>
    <t>4974016134</t>
  </si>
  <si>
    <t>4974016189</t>
  </si>
  <si>
    <t>4974017329</t>
  </si>
  <si>
    <t>4974017352</t>
  </si>
  <si>
    <t>4974017405</t>
  </si>
  <si>
    <t>4974017426</t>
  </si>
  <si>
    <t>4974017671</t>
  </si>
  <si>
    <t>4974018572</t>
  </si>
  <si>
    <t>4974018621</t>
  </si>
  <si>
    <t>4974016033</t>
  </si>
  <si>
    <t>4974018471</t>
  </si>
  <si>
    <t>4974015633</t>
  </si>
  <si>
    <t>4974015817</t>
  </si>
  <si>
    <t>4974015663</t>
  </si>
  <si>
    <t>4673752944</t>
  </si>
  <si>
    <t>4677536801</t>
  </si>
  <si>
    <t>4973914300</t>
  </si>
  <si>
    <t>4495589605</t>
  </si>
  <si>
    <t>4583253462</t>
  </si>
  <si>
    <t>4614952418</t>
  </si>
  <si>
    <t>4615019288</t>
  </si>
  <si>
    <t>4646478123</t>
  </si>
  <si>
    <t>4495589640</t>
  </si>
  <si>
    <t>4535487632</t>
  </si>
  <si>
    <t>4535605077</t>
  </si>
  <si>
    <t>4581055183</t>
  </si>
  <si>
    <t>4615015735</t>
  </si>
  <si>
    <t>4615021841</t>
  </si>
  <si>
    <t>4615176595</t>
  </si>
  <si>
    <t>4864190761</t>
  </si>
  <si>
    <t>4960032448</t>
  </si>
  <si>
    <t>4522030914</t>
  </si>
  <si>
    <t>4522023163</t>
  </si>
  <si>
    <t>4504462615</t>
  </si>
  <si>
    <t>4504463604</t>
  </si>
  <si>
    <t>4486986496</t>
  </si>
  <si>
    <t>4495547615</t>
  </si>
  <si>
    <t>4504434683</t>
  </si>
  <si>
    <t>4504468643</t>
  </si>
  <si>
    <t>4504471386</t>
  </si>
  <si>
    <t>4522037192</t>
  </si>
  <si>
    <t>4971372568</t>
  </si>
  <si>
    <t>2874884776</t>
  </si>
  <si>
    <t>1686129627</t>
  </si>
  <si>
    <t>1692454567</t>
  </si>
  <si>
    <t>1692454883</t>
  </si>
  <si>
    <t>1686108193</t>
  </si>
  <si>
    <t>1686126618</t>
  </si>
  <si>
    <t>1826054120</t>
  </si>
  <si>
    <t>1826054950</t>
  </si>
  <si>
    <t>1826185611</t>
  </si>
  <si>
    <t>2201484921</t>
  </si>
  <si>
    <t>2201487216</t>
  </si>
  <si>
    <t>2220476187</t>
  </si>
  <si>
    <t>2203506544</t>
  </si>
  <si>
    <t>2246150246</t>
  </si>
  <si>
    <t>1774710301</t>
  </si>
  <si>
    <t>2211945462</t>
  </si>
  <si>
    <t>2213418717</t>
  </si>
  <si>
    <t>1922789665</t>
  </si>
  <si>
    <t>2220473796</t>
  </si>
  <si>
    <t>2220476167</t>
  </si>
  <si>
    <t>2198131649</t>
  </si>
  <si>
    <t>2203504267</t>
  </si>
  <si>
    <t>2246150038</t>
  </si>
  <si>
    <t>2251908916</t>
  </si>
  <si>
    <t>1629935378</t>
  </si>
  <si>
    <t>1641075641</t>
  </si>
  <si>
    <t>1140656980</t>
  </si>
  <si>
    <t>1197220369</t>
  </si>
  <si>
    <t>1216169135</t>
  </si>
  <si>
    <t>1340633662</t>
  </si>
  <si>
    <t>1340642307</t>
  </si>
  <si>
    <t>1639611196</t>
  </si>
  <si>
    <t>1670932603</t>
  </si>
  <si>
    <t>2749170876</t>
  </si>
  <si>
    <t>2749184777</t>
  </si>
  <si>
    <t>1588750360</t>
  </si>
  <si>
    <t>2779397004</t>
  </si>
  <si>
    <t>2779398081</t>
  </si>
  <si>
    <t>2779417679</t>
  </si>
  <si>
    <t>2779406551</t>
  </si>
  <si>
    <t>2849353528</t>
  </si>
  <si>
    <t>3314602574</t>
  </si>
  <si>
    <t>3314602653</t>
  </si>
  <si>
    <t>3333349862</t>
  </si>
  <si>
    <t>3333351430</t>
  </si>
  <si>
    <t>3128790468</t>
  </si>
  <si>
    <t>3346755182</t>
  </si>
  <si>
    <t>4469147907</t>
  </si>
  <si>
    <t>4628042235</t>
  </si>
  <si>
    <t>4628044917</t>
  </si>
  <si>
    <t>4588343767</t>
  </si>
  <si>
    <t>4588348590</t>
  </si>
  <si>
    <t>4722639898</t>
  </si>
  <si>
    <t>4703217998</t>
  </si>
  <si>
    <t>4513562929</t>
  </si>
  <si>
    <t>4964080353</t>
  </si>
  <si>
    <t>4964082343</t>
  </si>
  <si>
    <t>4964085687</t>
  </si>
  <si>
    <t>4735698459</t>
  </si>
  <si>
    <t>1523041961</t>
  </si>
  <si>
    <t>1310884088</t>
  </si>
  <si>
    <t>1341723666</t>
  </si>
  <si>
    <t>1342141854</t>
  </si>
  <si>
    <t>1357012374</t>
  </si>
  <si>
    <t>1359325885</t>
  </si>
  <si>
    <t>1381491250</t>
  </si>
  <si>
    <t>1405748652</t>
  </si>
  <si>
    <t>1460435475</t>
  </si>
  <si>
    <t>1499244959</t>
  </si>
  <si>
    <t>1532913519</t>
  </si>
  <si>
    <t>1573542130</t>
  </si>
  <si>
    <t>1341726742</t>
  </si>
  <si>
    <t>1743743279</t>
  </si>
  <si>
    <t>1646758014</t>
  </si>
  <si>
    <t>1664713678</t>
  </si>
  <si>
    <t>1664713786</t>
  </si>
  <si>
    <t>2268283783</t>
  </si>
  <si>
    <t>2290186397</t>
  </si>
  <si>
    <t>2259203715</t>
  </si>
  <si>
    <t>1631445005</t>
  </si>
  <si>
    <t>2334221354</t>
  </si>
  <si>
    <t>2290185383</t>
  </si>
  <si>
    <t>2290305448</t>
  </si>
  <si>
    <t>2294351507</t>
  </si>
  <si>
    <t>2380159642</t>
  </si>
  <si>
    <t>2380159628</t>
  </si>
  <si>
    <t>2420453289</t>
  </si>
  <si>
    <t>1375052772</t>
  </si>
  <si>
    <t>2208572594</t>
  </si>
  <si>
    <t>2504003882</t>
  </si>
  <si>
    <t>2508879109</t>
  </si>
  <si>
    <t>2629463790</t>
  </si>
  <si>
    <t>2631871138</t>
  </si>
  <si>
    <t>2653694267</t>
  </si>
  <si>
    <t>2662196967</t>
  </si>
  <si>
    <t>2725465883</t>
  </si>
  <si>
    <t>2674471896</t>
  </si>
  <si>
    <t>2198113604</t>
  </si>
  <si>
    <t>1892874368</t>
  </si>
  <si>
    <t>2536917020</t>
  </si>
  <si>
    <t>2007352673</t>
  </si>
  <si>
    <t>2198039269</t>
  </si>
  <si>
    <t>2203707969</t>
  </si>
  <si>
    <t>2198132438</t>
  </si>
  <si>
    <t>2643867212</t>
  </si>
  <si>
    <t>2696730909</t>
  </si>
  <si>
    <t>1686135973</t>
  </si>
  <si>
    <t>2220473833</t>
  </si>
  <si>
    <t>2220475539</t>
  </si>
  <si>
    <t>2220475939</t>
  </si>
  <si>
    <t>2751212529</t>
  </si>
  <si>
    <t>1920172578</t>
  </si>
  <si>
    <t>2203419526</t>
  </si>
  <si>
    <t>2218292169</t>
  </si>
  <si>
    <t>2789318827</t>
  </si>
  <si>
    <t>1641615294</t>
  </si>
  <si>
    <t>2769909935</t>
  </si>
  <si>
    <t>2817690743</t>
  </si>
  <si>
    <t>2836501107</t>
  </si>
  <si>
    <t>2791050285</t>
  </si>
  <si>
    <t>2301568443</t>
  </si>
  <si>
    <t>2881698101</t>
  </si>
  <si>
    <t>2837729937</t>
  </si>
  <si>
    <t>2832274277</t>
  </si>
  <si>
    <t>2791003027</t>
  </si>
  <si>
    <t>2952254903</t>
  </si>
  <si>
    <t>2959494983</t>
  </si>
  <si>
    <t>2919071968</t>
  </si>
  <si>
    <t>2944161817</t>
  </si>
  <si>
    <t>2983963444</t>
  </si>
  <si>
    <t>2837046982</t>
  </si>
  <si>
    <t>2980795969</t>
  </si>
  <si>
    <t>2996983578</t>
  </si>
  <si>
    <t>3034731409</t>
  </si>
  <si>
    <t>3034732339</t>
  </si>
  <si>
    <t>3037557396</t>
  </si>
  <si>
    <t>2997012725</t>
  </si>
  <si>
    <t>3037557769</t>
  </si>
  <si>
    <t>3044488795</t>
  </si>
  <si>
    <t>2832057704</t>
  </si>
  <si>
    <t>2815181421</t>
  </si>
  <si>
    <t>3095502020</t>
  </si>
  <si>
    <t>3101284547</t>
  </si>
  <si>
    <t>3103363478</t>
  </si>
  <si>
    <t>3096537549</t>
  </si>
  <si>
    <t>3119000996</t>
  </si>
  <si>
    <t>3249242876</t>
  </si>
  <si>
    <t>3280667225</t>
  </si>
  <si>
    <t>3295339516</t>
  </si>
  <si>
    <t>3311388051</t>
  </si>
  <si>
    <t>3382585876</t>
  </si>
  <si>
    <t>3389038914</t>
  </si>
  <si>
    <t>3405781270</t>
  </si>
  <si>
    <t>3412294457</t>
  </si>
  <si>
    <t>3439600687</t>
  </si>
  <si>
    <t>3444843397</t>
  </si>
  <si>
    <t>3466860324</t>
  </si>
  <si>
    <t>3501918368</t>
  </si>
  <si>
    <t>3506831016</t>
  </si>
  <si>
    <t>3526444106</t>
  </si>
  <si>
    <t>3545364215</t>
  </si>
  <si>
    <t>3591659132</t>
  </si>
  <si>
    <t>3529968113</t>
  </si>
  <si>
    <t>3626280203</t>
  </si>
  <si>
    <t>3737456730</t>
  </si>
  <si>
    <t>3691283211</t>
  </si>
  <si>
    <t>3737511848</t>
  </si>
  <si>
    <t>3738081970</t>
  </si>
  <si>
    <t>3804748554</t>
  </si>
  <si>
    <t>3843742190</t>
  </si>
  <si>
    <t>3753257622</t>
  </si>
  <si>
    <t>3794617594</t>
  </si>
  <si>
    <t>3853739271</t>
  </si>
  <si>
    <t>3796732364</t>
  </si>
  <si>
    <t>3796963653</t>
  </si>
  <si>
    <t>3940071445</t>
  </si>
  <si>
    <t>4086911740</t>
  </si>
  <si>
    <t>4044378330</t>
  </si>
  <si>
    <t>4063688852</t>
  </si>
  <si>
    <t>4078586072</t>
  </si>
  <si>
    <t>4127634135</t>
  </si>
  <si>
    <t>4127929608</t>
  </si>
  <si>
    <t>4138087556</t>
  </si>
  <si>
    <t>4137081109</t>
  </si>
  <si>
    <t>4334302037</t>
  </si>
  <si>
    <t>4250397571</t>
  </si>
  <si>
    <t>4191839282</t>
  </si>
  <si>
    <t>4641113275</t>
  </si>
  <si>
    <t>4677199477</t>
  </si>
  <si>
    <t>4689231737</t>
  </si>
  <si>
    <t>4714526542</t>
  </si>
  <si>
    <t>4698023732</t>
  </si>
  <si>
    <t>4698906593</t>
  </si>
  <si>
    <t>4728264760</t>
  </si>
  <si>
    <t>4738320959</t>
  </si>
  <si>
    <t>4896676507</t>
  </si>
  <si>
    <t>4908475189</t>
  </si>
  <si>
    <t>1923052053</t>
  </si>
  <si>
    <t>1661210661</t>
  </si>
  <si>
    <t>1769711140</t>
  </si>
  <si>
    <t>1892871386</t>
  </si>
  <si>
    <t>1920174911</t>
  </si>
  <si>
    <t>2851074454</t>
  </si>
  <si>
    <t>2851075287</t>
  </si>
  <si>
    <t>2963822192</t>
  </si>
  <si>
    <t>2973638931</t>
  </si>
  <si>
    <t>2978689720</t>
  </si>
  <si>
    <t>2862487205</t>
  </si>
  <si>
    <t>2895573229</t>
  </si>
  <si>
    <t>2932530715</t>
  </si>
  <si>
    <t>2895585328</t>
  </si>
  <si>
    <t>2996999753</t>
  </si>
  <si>
    <t>3037722265</t>
  </si>
  <si>
    <t>2980496656</t>
  </si>
  <si>
    <t>3034480629</t>
  </si>
  <si>
    <t>3018612999</t>
  </si>
  <si>
    <t>3044418168</t>
  </si>
  <si>
    <t>3044420837</t>
  </si>
  <si>
    <t>3045511422</t>
  </si>
  <si>
    <t>3045986646</t>
  </si>
  <si>
    <t>3073230878</t>
  </si>
  <si>
    <t>3079583612</t>
  </si>
  <si>
    <t>3045934424</t>
  </si>
  <si>
    <t>3087342374</t>
  </si>
  <si>
    <t>3089407182</t>
  </si>
  <si>
    <t>3124263775</t>
  </si>
  <si>
    <t>3104114789</t>
  </si>
  <si>
    <t>3079726009</t>
  </si>
  <si>
    <t>2290187519</t>
  </si>
  <si>
    <t>3079691469</t>
  </si>
  <si>
    <t>3079608877</t>
  </si>
  <si>
    <t>3187156929</t>
  </si>
  <si>
    <t>3235043767</t>
  </si>
  <si>
    <t>3271251338</t>
  </si>
  <si>
    <t>3316330447</t>
  </si>
  <si>
    <t>3314011419</t>
  </si>
  <si>
    <t>3314011460</t>
  </si>
  <si>
    <t>3313213109</t>
  </si>
  <si>
    <t>3332693628</t>
  </si>
  <si>
    <t>3323119100</t>
  </si>
  <si>
    <t>3351442603</t>
  </si>
  <si>
    <t>3420421314</t>
  </si>
  <si>
    <t>3444853881</t>
  </si>
  <si>
    <t>3431944001</t>
  </si>
  <si>
    <t>3457344946</t>
  </si>
  <si>
    <t>3549714438</t>
  </si>
  <si>
    <t>3549714083</t>
  </si>
  <si>
    <t>1405752556</t>
  </si>
  <si>
    <t>1459594638</t>
  </si>
  <si>
    <t>3422974628</t>
  </si>
  <si>
    <t>3558451156</t>
  </si>
  <si>
    <t>3940074625</t>
  </si>
  <si>
    <t>4162170529</t>
  </si>
  <si>
    <t>2149361267</t>
  </si>
  <si>
    <t>4356342731</t>
  </si>
  <si>
    <t>4418515142</t>
  </si>
  <si>
    <t>4413704910</t>
  </si>
  <si>
    <t>4593232820</t>
  </si>
  <si>
    <t>4593270223</t>
  </si>
  <si>
    <t>4599022619</t>
  </si>
  <si>
    <t>4599030215</t>
  </si>
  <si>
    <t>4631215177</t>
  </si>
  <si>
    <t>4677029214</t>
  </si>
  <si>
    <t>4644853691</t>
  </si>
  <si>
    <t>4689243718</t>
  </si>
  <si>
    <t>4720113335</t>
  </si>
  <si>
    <t>4803667809</t>
  </si>
  <si>
    <t>3382558205</t>
  </si>
  <si>
    <t>3393234895</t>
  </si>
  <si>
    <t>3441248407</t>
  </si>
  <si>
    <t>3994382544</t>
  </si>
  <si>
    <t>4498853566</t>
  </si>
  <si>
    <t>2751673518</t>
  </si>
  <si>
    <t>2817405728</t>
  </si>
  <si>
    <t>2817406095</t>
  </si>
  <si>
    <t>2817406731</t>
  </si>
  <si>
    <t>3314567242</t>
  </si>
  <si>
    <t>3382550245</t>
  </si>
  <si>
    <t>3382556970</t>
  </si>
  <si>
    <t>1692455819</t>
  </si>
  <si>
    <t>2842243630</t>
  </si>
  <si>
    <t>2835286092</t>
  </si>
  <si>
    <t>2797020910</t>
  </si>
  <si>
    <t>3151816940</t>
  </si>
  <si>
    <t>3852766700</t>
  </si>
  <si>
    <t>3968814744</t>
  </si>
  <si>
    <t>3977248134</t>
  </si>
  <si>
    <t>4404375027</t>
  </si>
  <si>
    <t>4212022322</t>
  </si>
  <si>
    <t>1692452257</t>
  </si>
  <si>
    <t>4041919026</t>
  </si>
  <si>
    <t>4874569546</t>
  </si>
  <si>
    <t>4816840686</t>
  </si>
  <si>
    <t>4835553999</t>
  </si>
  <si>
    <t>4802647278</t>
  </si>
  <si>
    <t>4802648453</t>
  </si>
  <si>
    <t>1200236567</t>
  </si>
  <si>
    <t>2242886974</t>
  </si>
  <si>
    <t>4486916954</t>
  </si>
  <si>
    <t>4802608196</t>
  </si>
  <si>
    <t>3933796145</t>
  </si>
  <si>
    <t>4424897071</t>
  </si>
  <si>
    <t>4803073299</t>
  </si>
  <si>
    <t>4660522355</t>
  </si>
  <si>
    <t>4698913596</t>
  </si>
  <si>
    <t>4698925332</t>
  </si>
  <si>
    <t>1786308714</t>
  </si>
  <si>
    <t>4513565273</t>
  </si>
  <si>
    <t>4587836053</t>
  </si>
  <si>
    <t>4399068081</t>
  </si>
  <si>
    <t>4399069310</t>
  </si>
  <si>
    <t>1200237238</t>
  </si>
  <si>
    <t>3343169387</t>
  </si>
  <si>
    <t>2810864505</t>
  </si>
  <si>
    <t>4802600577</t>
  </si>
  <si>
    <t>2810849658</t>
  </si>
  <si>
    <t>4802545690</t>
  </si>
  <si>
    <t>4802536811</t>
  </si>
  <si>
    <t>4802521046</t>
  </si>
  <si>
    <t>4419410583</t>
  </si>
  <si>
    <t>4802509750</t>
  </si>
  <si>
    <t>4802510564</t>
  </si>
  <si>
    <t>4732860843</t>
  </si>
  <si>
    <t>4712675664</t>
  </si>
  <si>
    <t>4715026973</t>
  </si>
  <si>
    <t>4698915947</t>
  </si>
  <si>
    <t>4646485386</t>
  </si>
  <si>
    <t>4689647210</t>
  </si>
  <si>
    <t>4692676848</t>
  </si>
  <si>
    <t>1200236868</t>
  </si>
  <si>
    <t>1574803891</t>
  </si>
  <si>
    <t>1769726045</t>
  </si>
  <si>
    <t>1803838325</t>
  </si>
  <si>
    <t>2042470309</t>
  </si>
  <si>
    <t>2676162169</t>
  </si>
  <si>
    <t>4644922556</t>
  </si>
  <si>
    <t>4585908048</t>
  </si>
  <si>
    <t>4677788448</t>
  </si>
  <si>
    <t>4675653115</t>
  </si>
  <si>
    <t>4673760652</t>
  </si>
  <si>
    <t>4614961927</t>
  </si>
  <si>
    <t>4673066023</t>
  </si>
  <si>
    <t>4672753969</t>
  </si>
  <si>
    <t>4672647035</t>
  </si>
  <si>
    <t>4653325515</t>
  </si>
  <si>
    <t>4665631570</t>
  </si>
  <si>
    <t>4394030500</t>
  </si>
  <si>
    <t>3586805463</t>
  </si>
  <si>
    <t>4644857137</t>
  </si>
  <si>
    <t>4644860215</t>
  </si>
  <si>
    <t>1575223342</t>
  </si>
  <si>
    <t>2693630943</t>
  </si>
  <si>
    <t>2840636580</t>
  </si>
  <si>
    <t>3596346518</t>
  </si>
  <si>
    <t>3383321862</t>
  </si>
  <si>
    <t>4041932186</t>
  </si>
  <si>
    <t>4513589961</t>
  </si>
  <si>
    <t>4608543984</t>
  </si>
  <si>
    <t>4487457968</t>
  </si>
  <si>
    <t>4618972171</t>
  </si>
  <si>
    <t>4641112680</t>
  </si>
  <si>
    <t>4641111801</t>
  </si>
  <si>
    <t>2788612633</t>
  </si>
  <si>
    <t>4587887220</t>
  </si>
  <si>
    <t>4593309366</t>
  </si>
  <si>
    <t>4615192884</t>
  </si>
  <si>
    <t>4593239115</t>
  </si>
  <si>
    <t>4616945651</t>
  </si>
  <si>
    <t>4587848876</t>
  </si>
  <si>
    <t>3984370825</t>
  </si>
  <si>
    <t>2841440527</t>
  </si>
  <si>
    <t>2317143776</t>
  </si>
  <si>
    <t>4579666963</t>
  </si>
  <si>
    <t>4455961309</t>
  </si>
  <si>
    <t>4532008985</t>
  </si>
  <si>
    <t>4574062317</t>
  </si>
  <si>
    <t>3763943360</t>
  </si>
  <si>
    <t>4574008846</t>
  </si>
  <si>
    <t>4573990128</t>
  </si>
  <si>
    <t>4540488800</t>
  </si>
  <si>
    <t>4503328196</t>
  </si>
  <si>
    <t>4498857628</t>
  </si>
  <si>
    <t>3994388736</t>
  </si>
  <si>
    <t>4428965722</t>
  </si>
  <si>
    <t>4428966082</t>
  </si>
  <si>
    <t>4137080084</t>
  </si>
  <si>
    <t>3933796644</t>
  </si>
  <si>
    <t>4311835220</t>
  </si>
  <si>
    <t>4250389785</t>
  </si>
  <si>
    <t>4267281763</t>
  </si>
  <si>
    <t>4267292537</t>
  </si>
  <si>
    <t>4272913162</t>
  </si>
  <si>
    <t>1680727479</t>
  </si>
  <si>
    <t>1842110944</t>
  </si>
  <si>
    <t>1920638188</t>
  </si>
  <si>
    <t>2007357921</t>
  </si>
  <si>
    <t>1224566088</t>
  </si>
  <si>
    <t>1478476495</t>
  </si>
  <si>
    <t>1555726885</t>
  </si>
  <si>
    <t>1803875663</t>
  </si>
  <si>
    <t>2225714604</t>
  </si>
  <si>
    <t>1523099875</t>
  </si>
  <si>
    <t>3830992708</t>
  </si>
  <si>
    <t>4069073740</t>
  </si>
  <si>
    <t>2849086350</t>
  </si>
  <si>
    <t>4198743825</t>
  </si>
  <si>
    <t>4198747761</t>
  </si>
  <si>
    <t>4175843231</t>
  </si>
  <si>
    <t>2789314971</t>
  </si>
  <si>
    <t>3188190626</t>
  </si>
  <si>
    <t>3604812450</t>
  </si>
  <si>
    <t>2812912929</t>
  </si>
  <si>
    <t>2203419458</t>
  </si>
  <si>
    <t>4044367157</t>
  </si>
  <si>
    <t>3944757411</t>
  </si>
  <si>
    <t>4042233535</t>
  </si>
  <si>
    <t>4042116373</t>
  </si>
  <si>
    <t>3984363683</t>
  </si>
  <si>
    <t>3124153901</t>
  </si>
  <si>
    <t>3984198500</t>
  </si>
  <si>
    <t>3984381519</t>
  </si>
  <si>
    <t>3976770777</t>
  </si>
  <si>
    <t>3977810504</t>
  </si>
  <si>
    <t>3977809601</t>
  </si>
  <si>
    <t>3977812057</t>
  </si>
  <si>
    <t>2830616342</t>
  </si>
  <si>
    <t>2830621519</t>
  </si>
  <si>
    <t>2835159090</t>
  </si>
  <si>
    <t>2961845966</t>
  </si>
  <si>
    <t>3045441266</t>
  </si>
  <si>
    <t>3081730641</t>
  </si>
  <si>
    <t>3087342675</t>
  </si>
  <si>
    <t>3796722154</t>
  </si>
  <si>
    <t>3577651999</t>
  </si>
  <si>
    <t>3568016833</t>
  </si>
  <si>
    <t>3199872249</t>
  </si>
  <si>
    <t>3603545255</t>
  </si>
  <si>
    <t>3549713433</t>
  </si>
  <si>
    <t>3573737206</t>
  </si>
  <si>
    <t>3314569646</t>
  </si>
  <si>
    <t>3732210742</t>
  </si>
  <si>
    <t>3766351163</t>
  </si>
  <si>
    <t>3774179927</t>
  </si>
  <si>
    <t>3796722565</t>
  </si>
  <si>
    <t>3932008421</t>
  </si>
  <si>
    <t>3558450572</t>
  </si>
  <si>
    <t>3940070728</t>
  </si>
  <si>
    <t>3835515147</t>
  </si>
  <si>
    <t>3815176348</t>
  </si>
  <si>
    <t>2267783642</t>
  </si>
  <si>
    <t>3796720551</t>
  </si>
  <si>
    <t>3812302580</t>
  </si>
  <si>
    <t>3805147453</t>
  </si>
  <si>
    <t>3805100552</t>
  </si>
  <si>
    <t>3805106433</t>
  </si>
  <si>
    <t>3805090465</t>
  </si>
  <si>
    <t>3805092343</t>
  </si>
  <si>
    <t>3805093300</t>
  </si>
  <si>
    <t>3431220272</t>
  </si>
  <si>
    <t>3343172240</t>
  </si>
  <si>
    <t>2754896439</t>
  </si>
  <si>
    <t>2810855507</t>
  </si>
  <si>
    <t>1345389326</t>
  </si>
  <si>
    <t>2094911329</t>
  </si>
  <si>
    <t>2346654200</t>
  </si>
  <si>
    <t>1341731558</t>
  </si>
  <si>
    <t>3030489119</t>
  </si>
  <si>
    <t>3457184234</t>
  </si>
  <si>
    <t>1819400273</t>
  </si>
  <si>
    <t>1893243637</t>
  </si>
  <si>
    <t>2341716047</t>
  </si>
  <si>
    <t>1506383884</t>
  </si>
  <si>
    <t>1306817087</t>
  </si>
  <si>
    <t>1200235024</t>
  </si>
  <si>
    <t>1845866649</t>
  </si>
  <si>
    <t>2578263096</t>
  </si>
  <si>
    <t>3697405588</t>
  </si>
  <si>
    <t>2798535952</t>
  </si>
  <si>
    <t>2810880333</t>
  </si>
  <si>
    <t>3111665865</t>
  </si>
  <si>
    <t>3534412767</t>
  </si>
  <si>
    <t>3240587987</t>
  </si>
  <si>
    <t>2530348673</t>
  </si>
  <si>
    <t>3443380928</t>
  </si>
  <si>
    <t>3343142013</t>
  </si>
  <si>
    <t>3107903941</t>
  </si>
  <si>
    <t>3167400774</t>
  </si>
  <si>
    <t>3363812718</t>
  </si>
  <si>
    <t>3367209201</t>
  </si>
  <si>
    <t>3382587339</t>
  </si>
  <si>
    <t>3396691991</t>
  </si>
  <si>
    <t>3037734410</t>
  </si>
  <si>
    <t>3045967321</t>
  </si>
  <si>
    <t>3203999780</t>
  </si>
  <si>
    <t>3137199888</t>
  </si>
  <si>
    <t>3365319955</t>
  </si>
  <si>
    <t>3367212969</t>
  </si>
  <si>
    <t>3193898438</t>
  </si>
  <si>
    <t>3337692429</t>
  </si>
  <si>
    <t>3335386959</t>
  </si>
  <si>
    <t>3314577811</t>
  </si>
  <si>
    <t>3314578471</t>
  </si>
  <si>
    <t>2989037701</t>
  </si>
  <si>
    <t>3118472689</t>
  </si>
  <si>
    <t>3314602262</t>
  </si>
  <si>
    <t>3035703254</t>
  </si>
  <si>
    <t>3079751890</t>
  </si>
  <si>
    <t>3107255985</t>
  </si>
  <si>
    <t>3162635821</t>
  </si>
  <si>
    <t>3260814578</t>
  </si>
  <si>
    <t>3274447538</t>
  </si>
  <si>
    <t>3295336321</t>
  </si>
  <si>
    <t>3142366403</t>
  </si>
  <si>
    <t>2708556985</t>
  </si>
  <si>
    <t>3232755920</t>
  </si>
  <si>
    <t>3195339993</t>
  </si>
  <si>
    <t>3195338981</t>
  </si>
  <si>
    <t>3189445613</t>
  </si>
  <si>
    <t>3188191414</t>
  </si>
  <si>
    <t>2791241567</t>
  </si>
  <si>
    <t>1803422559</t>
  </si>
  <si>
    <t>3151642449</t>
  </si>
  <si>
    <t>3151642731</t>
  </si>
  <si>
    <t>3151643036</t>
  </si>
  <si>
    <t>3064888799</t>
  </si>
  <si>
    <t>1590846771</t>
  </si>
  <si>
    <t>3019846740</t>
  </si>
  <si>
    <t>2802455923</t>
  </si>
  <si>
    <t>3101019671</t>
  </si>
  <si>
    <t>3118435110</t>
  </si>
  <si>
    <t>3034898620</t>
  </si>
  <si>
    <t>3105691662</t>
  </si>
  <si>
    <t>2786459758</t>
  </si>
  <si>
    <t>2786465074</t>
  </si>
  <si>
    <t>3113232820</t>
  </si>
  <si>
    <t>3081679664</t>
  </si>
  <si>
    <t>3079742889</t>
  </si>
  <si>
    <t>3081729467</t>
  </si>
  <si>
    <t>2786461980</t>
  </si>
  <si>
    <t>3037577088</t>
  </si>
  <si>
    <t>3037697516</t>
  </si>
  <si>
    <t>3006841814</t>
  </si>
  <si>
    <t>3037555343</t>
  </si>
  <si>
    <t>2996985489</t>
  </si>
  <si>
    <t>3044544073</t>
  </si>
  <si>
    <t>3045930865</t>
  </si>
  <si>
    <t>3044488453</t>
  </si>
  <si>
    <t>2652811769</t>
  </si>
  <si>
    <t>2652804383</t>
  </si>
  <si>
    <t>2789318323</t>
  </si>
  <si>
    <t>2832245678</t>
  </si>
  <si>
    <t>2729346637</t>
  </si>
  <si>
    <t>2996977953</t>
  </si>
  <si>
    <t>3036301757</t>
  </si>
  <si>
    <t>3041145885</t>
  </si>
  <si>
    <t>2832352782</t>
  </si>
  <si>
    <t>3044487262</t>
  </si>
  <si>
    <t>2953078810</t>
  </si>
  <si>
    <t>2973661049</t>
  </si>
  <si>
    <t>3041152544</t>
  </si>
  <si>
    <t>2967335182</t>
  </si>
  <si>
    <t>3037606403</t>
  </si>
  <si>
    <t>3037603424</t>
  </si>
  <si>
    <t>3037574195</t>
  </si>
  <si>
    <t>2996808252</t>
  </si>
  <si>
    <t>2989025013</t>
  </si>
  <si>
    <t>2989025818</t>
  </si>
  <si>
    <t>2884743295</t>
  </si>
  <si>
    <t>2793069912</t>
  </si>
  <si>
    <t>2791062190</t>
  </si>
  <si>
    <t>2832042233</t>
  </si>
  <si>
    <t>2816883285</t>
  </si>
  <si>
    <t>2831177172</t>
  </si>
  <si>
    <t>2832050232</t>
  </si>
  <si>
    <t>2836882253</t>
  </si>
  <si>
    <t>2875981665</t>
  </si>
  <si>
    <t>2996974328</t>
  </si>
  <si>
    <t>2882948912</t>
  </si>
  <si>
    <t>2854610248</t>
  </si>
  <si>
    <t>2985714430</t>
  </si>
  <si>
    <t>3013158692</t>
  </si>
  <si>
    <t>2919077102</t>
  </si>
  <si>
    <t>2967265882</t>
  </si>
  <si>
    <t>2978217751</t>
  </si>
  <si>
    <t>2593340212</t>
  </si>
  <si>
    <t>2749017097</t>
  </si>
  <si>
    <t>2817685856</t>
  </si>
  <si>
    <t>2982883633</t>
  </si>
  <si>
    <t>2967293291</t>
  </si>
  <si>
    <t>2967267291</t>
  </si>
  <si>
    <t>2967268496</t>
  </si>
  <si>
    <t>2973662736</t>
  </si>
  <si>
    <t>2978703992</t>
  </si>
  <si>
    <t>2978704387</t>
  </si>
  <si>
    <t>2857168563</t>
  </si>
  <si>
    <t>2863800229</t>
  </si>
  <si>
    <t>2793096184</t>
  </si>
  <si>
    <t>2817858457</t>
  </si>
  <si>
    <t>2738771077</t>
  </si>
  <si>
    <t>2784118817</t>
  </si>
  <si>
    <t>2824064339</t>
  </si>
  <si>
    <t>2851079223</t>
  </si>
  <si>
    <t>2853008945</t>
  </si>
  <si>
    <t>2895570101</t>
  </si>
  <si>
    <t>2730810952</t>
  </si>
  <si>
    <t>2874934840</t>
  </si>
  <si>
    <t>2786460835</t>
  </si>
  <si>
    <t>2786462204</t>
  </si>
  <si>
    <t>2786462562</t>
  </si>
  <si>
    <t>2786463370</t>
  </si>
  <si>
    <t>2786463896</t>
  </si>
  <si>
    <t>2786464802</t>
  </si>
  <si>
    <t>2834796720</t>
  </si>
  <si>
    <t>2791024977</t>
  </si>
  <si>
    <t>2791059466</t>
  </si>
  <si>
    <t>2820223314</t>
  </si>
  <si>
    <t>2774164635</t>
  </si>
  <si>
    <t>2816980447</t>
  </si>
  <si>
    <t>2793094551</t>
  </si>
  <si>
    <t>2820527143</t>
  </si>
  <si>
    <t>2849088419</t>
  </si>
  <si>
    <t>2747888385</t>
  </si>
  <si>
    <t>2776109033</t>
  </si>
  <si>
    <t>2789337820</t>
  </si>
  <si>
    <t>2789343791</t>
  </si>
  <si>
    <t>2797021620</t>
  </si>
  <si>
    <t>2533749870</t>
  </si>
  <si>
    <t>2799806628</t>
  </si>
  <si>
    <t>2805523756</t>
  </si>
  <si>
    <t>2814169150</t>
  </si>
  <si>
    <t>2816974136</t>
  </si>
  <si>
    <t>2431411378</t>
  </si>
  <si>
    <t>2431412639</t>
  </si>
  <si>
    <t>2492220000</t>
  </si>
  <si>
    <t>2584289887</t>
  </si>
  <si>
    <t>2637555882</t>
  </si>
  <si>
    <t>2816788999</t>
  </si>
  <si>
    <t>2830622639</t>
  </si>
  <si>
    <t>2201819750</t>
  </si>
  <si>
    <t>2213401574</t>
  </si>
  <si>
    <t>2192762306</t>
  </si>
  <si>
    <t>2287826043</t>
  </si>
  <si>
    <t>2198075522</t>
  </si>
  <si>
    <t>2284616686</t>
  </si>
  <si>
    <t>2201820118</t>
  </si>
  <si>
    <t>2527697632</t>
  </si>
  <si>
    <t>2470062874</t>
  </si>
  <si>
    <t>2749984881</t>
  </si>
  <si>
    <t>2573024495</t>
  </si>
  <si>
    <t>2567837148</t>
  </si>
  <si>
    <t>2479464121</t>
  </si>
  <si>
    <t>2610465538</t>
  </si>
  <si>
    <t>2674371336</t>
  </si>
  <si>
    <t>2584290225</t>
  </si>
  <si>
    <t>2464403320</t>
  </si>
  <si>
    <t>2506022773</t>
  </si>
  <si>
    <t>2660289074</t>
  </si>
  <si>
    <t>2552075488</t>
  </si>
  <si>
    <t>2652825948</t>
  </si>
  <si>
    <t>2578264413</t>
  </si>
  <si>
    <t>2652793696</t>
  </si>
  <si>
    <t>2475727558</t>
  </si>
  <si>
    <t>2584367786</t>
  </si>
  <si>
    <t>2681925777</t>
  </si>
  <si>
    <t>2537340442</t>
  </si>
  <si>
    <t>2492642094</t>
  </si>
  <si>
    <t>2218293614</t>
  </si>
  <si>
    <t>2712609654</t>
  </si>
  <si>
    <t>2708548318</t>
  </si>
  <si>
    <t>2830612813</t>
  </si>
  <si>
    <t>2830617837</t>
  </si>
  <si>
    <t>2816846270</t>
  </si>
  <si>
    <t>2818817035</t>
  </si>
  <si>
    <t>2749165491</t>
  </si>
  <si>
    <t>2712783317</t>
  </si>
  <si>
    <t>2801520454</t>
  </si>
  <si>
    <t>2802417369</t>
  </si>
  <si>
    <t>2808645909</t>
  </si>
  <si>
    <t>2818817764</t>
  </si>
  <si>
    <t>2819735767</t>
  </si>
  <si>
    <t>2751207722</t>
  </si>
  <si>
    <t>2816801381</t>
  </si>
  <si>
    <t>2802782913</t>
  </si>
  <si>
    <t>1994382001</t>
  </si>
  <si>
    <t>2774853879</t>
  </si>
  <si>
    <t>2784022287</t>
  </si>
  <si>
    <t>2791053011</t>
  </si>
  <si>
    <t>2281455131</t>
  </si>
  <si>
    <t>2774163636</t>
  </si>
  <si>
    <t>2451071828</t>
  </si>
  <si>
    <t>2251876508</t>
  </si>
  <si>
    <t>2674421441</t>
  </si>
  <si>
    <t>2748689602</t>
  </si>
  <si>
    <t>2712608367</t>
  </si>
  <si>
    <t>1571789230</t>
  </si>
  <si>
    <t>2007344175</t>
  </si>
  <si>
    <t>2643875886</t>
  </si>
  <si>
    <t>1273231424</t>
  </si>
  <si>
    <t>2643810383</t>
  </si>
  <si>
    <t>2674370558</t>
  </si>
  <si>
    <t>2697116283</t>
  </si>
  <si>
    <t>2193367998</t>
  </si>
  <si>
    <t>2748574261</t>
  </si>
  <si>
    <t>2748579912</t>
  </si>
  <si>
    <t>2748604694</t>
  </si>
  <si>
    <t>2267803866</t>
  </si>
  <si>
    <t>2593343137</t>
  </si>
  <si>
    <t>2103043347</t>
  </si>
  <si>
    <t>2288820675</t>
  </si>
  <si>
    <t>2431265945</t>
  </si>
  <si>
    <t>2506123387</t>
  </si>
  <si>
    <t>2193364088</t>
  </si>
  <si>
    <t>1771087535</t>
  </si>
  <si>
    <t>1912168569</t>
  </si>
  <si>
    <t>1803913697</t>
  </si>
  <si>
    <t>2225719814</t>
  </si>
  <si>
    <t>2213404271</t>
  </si>
  <si>
    <t>2213405825</t>
  </si>
  <si>
    <t>2259229218</t>
  </si>
  <si>
    <t>2203450914</t>
  </si>
  <si>
    <t>2203475295</t>
  </si>
  <si>
    <t>2208555330</t>
  </si>
  <si>
    <t>2192773883</t>
  </si>
  <si>
    <t>2192775440</t>
  </si>
  <si>
    <t>1948621220</t>
  </si>
  <si>
    <t>1971621640</t>
  </si>
  <si>
    <t>1336787896</t>
  </si>
  <si>
    <t>2192775968</t>
  </si>
  <si>
    <t>2197287869</t>
  </si>
  <si>
    <t>1680762456</t>
  </si>
  <si>
    <t>2213416522</t>
  </si>
  <si>
    <t>1212238764</t>
  </si>
  <si>
    <t>1443112406</t>
  </si>
  <si>
    <t>1348439476</t>
  </si>
  <si>
    <t>1523098684</t>
  </si>
  <si>
    <t>1536462557</t>
  </si>
  <si>
    <t>1503565976</t>
  </si>
  <si>
    <t>1556129548</t>
  </si>
  <si>
    <t>938796228</t>
  </si>
  <si>
    <t>1209060501</t>
  </si>
  <si>
    <t>1209061217</t>
  </si>
  <si>
    <t>1357595150</t>
  </si>
  <si>
    <t>1384292674</t>
  </si>
  <si>
    <t>1409143501</t>
  </si>
  <si>
    <t>2192775220</t>
  </si>
  <si>
    <t>2008739499</t>
  </si>
  <si>
    <t>1186391016</t>
  </si>
  <si>
    <t>1306751952</t>
  </si>
  <si>
    <t>1341623145</t>
  </si>
  <si>
    <t>1351252981</t>
  </si>
  <si>
    <t>1405748442</t>
  </si>
  <si>
    <t>1405748543</t>
  </si>
  <si>
    <t>1638222531</t>
  </si>
  <si>
    <t>1405746008</t>
  </si>
  <si>
    <t>1405746509</t>
  </si>
  <si>
    <t>1595450321</t>
  </si>
  <si>
    <t>1370980463</t>
  </si>
  <si>
    <t>1348806859</t>
  </si>
  <si>
    <t>1354082554</t>
  </si>
  <si>
    <t>1405749351</t>
  </si>
  <si>
    <t>1412492009</t>
  </si>
  <si>
    <t>1420037314</t>
  </si>
  <si>
    <t>1420040440</t>
  </si>
  <si>
    <t>1451989310</t>
  </si>
  <si>
    <t>1524730132</t>
  </si>
  <si>
    <t>1580468060</t>
  </si>
  <si>
    <t>2019073367</t>
  </si>
  <si>
    <t>1140656994</t>
  </si>
  <si>
    <t>1186447002</t>
  </si>
  <si>
    <t>1344445308</t>
  </si>
  <si>
    <t>1346773770</t>
  </si>
  <si>
    <t>1346783958</t>
  </si>
  <si>
    <t>1352395036</t>
  </si>
  <si>
    <t>1369177655</t>
  </si>
  <si>
    <t>1381860527</t>
  </si>
  <si>
    <t>1381860704</t>
  </si>
  <si>
    <t>1405749633</t>
  </si>
  <si>
    <t>1412452600</t>
  </si>
  <si>
    <t>1420036806</t>
  </si>
  <si>
    <t>1438960895</t>
  </si>
  <si>
    <t>1446781249</t>
  </si>
  <si>
    <t>1498807799</t>
  </si>
  <si>
    <t>1528598745</t>
  </si>
  <si>
    <t>1531091198</t>
  </si>
  <si>
    <t>1531760839</t>
  </si>
  <si>
    <t>1532104956</t>
  </si>
  <si>
    <t>1547931262</t>
  </si>
  <si>
    <t>1552874068</t>
  </si>
  <si>
    <t>1555701048</t>
  </si>
  <si>
    <t>1578701870</t>
  </si>
  <si>
    <t>1607570421</t>
  </si>
  <si>
    <t>1621254682</t>
  </si>
  <si>
    <t>1935152519</t>
  </si>
  <si>
    <t>1223593722</t>
  </si>
  <si>
    <t>1478488801</t>
  </si>
  <si>
    <t>1592121959</t>
  </si>
  <si>
    <t>1664383045</t>
  </si>
  <si>
    <t>1664388366</t>
  </si>
  <si>
    <t>1478962570</t>
  </si>
  <si>
    <t>1628291617</t>
  </si>
  <si>
    <t>1680889709</t>
  </si>
  <si>
    <t>1686128406</t>
  </si>
  <si>
    <t>1697848385</t>
  </si>
  <si>
    <t>1715107772</t>
  </si>
  <si>
    <t>1728162086</t>
  </si>
  <si>
    <t>1918102557</t>
  </si>
  <si>
    <t>1692647130</t>
  </si>
  <si>
    <t>1710630251</t>
  </si>
  <si>
    <t>1710631853</t>
  </si>
  <si>
    <t>1710843367</t>
  </si>
  <si>
    <t>1767116437</t>
  </si>
  <si>
    <t>1771090255</t>
  </si>
  <si>
    <t>1774706338</t>
  </si>
  <si>
    <t>1794061663</t>
  </si>
  <si>
    <t>1818622966</t>
  </si>
  <si>
    <t>1819449814</t>
  </si>
  <si>
    <t>1828666674</t>
  </si>
  <si>
    <t>1912173282</t>
  </si>
  <si>
    <t>1920174367</t>
  </si>
  <si>
    <t>2214012740</t>
  </si>
  <si>
    <t>1495095400</t>
  </si>
  <si>
    <t>1503585612</t>
  </si>
  <si>
    <t>1576222327</t>
  </si>
  <si>
    <t>1592011535</t>
  </si>
  <si>
    <t>1479039380</t>
  </si>
  <si>
    <t>1479222969</t>
  </si>
  <si>
    <t>1633088630</t>
  </si>
  <si>
    <t>1528170579</t>
  </si>
  <si>
    <t>1641638865</t>
  </si>
  <si>
    <t>1219784051</t>
  </si>
  <si>
    <t>1350544447</t>
  </si>
  <si>
    <t>1478773306</t>
  </si>
  <si>
    <t>1528184101</t>
  </si>
  <si>
    <t>1592040138</t>
  </si>
  <si>
    <t>1629270946</t>
  </si>
  <si>
    <t>1664715407</t>
  </si>
  <si>
    <t>1219781263</t>
  </si>
  <si>
    <t>1464141272</t>
  </si>
  <si>
    <t>1352388257</t>
  </si>
  <si>
    <t>1542857468</t>
  </si>
  <si>
    <t>1549263047</t>
  </si>
  <si>
    <t>1591748908</t>
  </si>
  <si>
    <t>1943407530</t>
  </si>
  <si>
    <t>1186479112</t>
  </si>
  <si>
    <t>1204468439</t>
  </si>
  <si>
    <t>1346784861</t>
  </si>
  <si>
    <t>1357011481</t>
  </si>
  <si>
    <t>1361423219</t>
  </si>
  <si>
    <t>1506850688</t>
  </si>
  <si>
    <t>1336776886</t>
  </si>
  <si>
    <t>1523112614</t>
  </si>
  <si>
    <t>1433379478</t>
  </si>
  <si>
    <t>1551287971</t>
  </si>
  <si>
    <t>1336813553</t>
  </si>
  <si>
    <t>1365761789</t>
  </si>
  <si>
    <t>1341731728</t>
  </si>
  <si>
    <t>1348513158</t>
  </si>
  <si>
    <t>1629234380</t>
  </si>
  <si>
    <t>1743743918</t>
  </si>
  <si>
    <t>2018555031</t>
  </si>
  <si>
    <t>2018555725</t>
  </si>
  <si>
    <t>2018556249</t>
  </si>
  <si>
    <t>2018556541</t>
  </si>
  <si>
    <t>2018558147</t>
  </si>
  <si>
    <t>2018558790</t>
  </si>
  <si>
    <t>2018559497</t>
  </si>
  <si>
    <t>2100994562</t>
  </si>
  <si>
    <t>2113718081</t>
  </si>
  <si>
    <t>1769712855</t>
  </si>
  <si>
    <t>1920170403</t>
  </si>
  <si>
    <t>1977264439</t>
  </si>
  <si>
    <t>2018553940</t>
  </si>
  <si>
    <t>1828313745</t>
  </si>
  <si>
    <t>2192775017</t>
  </si>
  <si>
    <t>2193360687</t>
  </si>
  <si>
    <t>2193364497</t>
  </si>
  <si>
    <t>Prep for 8/21 - user experience</t>
  </si>
  <si>
    <t>Prep for Marvin 8/16/23</t>
  </si>
  <si>
    <t>running jobtitle parser (CLEARED_DERIVS)</t>
  </si>
  <si>
    <t>prep for ramaz</t>
  </si>
  <si>
    <t>prep for iain roche</t>
  </si>
  <si>
    <t>Evaluation Agreement</t>
  </si>
  <si>
    <t>POC : Demo in lowcode app based on their dataset</t>
  </si>
  <si>
    <t>prep for tue 5/16 meetung</t>
  </si>
  <si>
    <t>Complete Barclays PoC Agreement</t>
  </si>
  <si>
    <t>ping nikhil/ian to check on status of resource availability</t>
  </si>
  <si>
    <t>schedule call with ankhus</t>
  </si>
  <si>
    <t>schedule lowcode POC demo with team</t>
  </si>
  <si>
    <t>make sure resources are dedicated on their side</t>
  </si>
  <si>
    <t>confirm POC objecttives</t>
  </si>
  <si>
    <t>prep for Steffen</t>
  </si>
  <si>
    <t>final sales pitch for barclays</t>
  </si>
  <si>
    <t>Complete Due Diligence</t>
  </si>
  <si>
    <t>Work on the Per followups</t>
  </si>
  <si>
    <t>plan with mike how to go back to redburn</t>
  </si>
  <si>
    <t>TestSubItem</t>
  </si>
  <si>
    <t>Modernize UI</t>
  </si>
  <si>
    <t>Standup Startup</t>
  </si>
  <si>
    <t>Build Non-finance</t>
  </si>
  <si>
    <t>Monetize Data</t>
  </si>
  <si>
    <t>Team Productivity</t>
  </si>
  <si>
    <t>Build Trading</t>
  </si>
  <si>
    <t>Legacy Innovate</t>
  </si>
  <si>
    <t>Publish : Manufacturing using the strangle</t>
  </si>
  <si>
    <t>Publish : Why you should always buy what you can</t>
  </si>
  <si>
    <t>Publish : critical apps built in c++</t>
  </si>
  <si>
    <t>Publish : publish ULTUMUS case stdy</t>
  </si>
  <si>
    <t>Publish : Post about valantic showing Velox dashboards in nice</t>
  </si>
  <si>
    <t>Publish : Valantic exhibition Nice</t>
  </si>
  <si>
    <t>Publish : Cosaic announcemrnt</t>
  </si>
  <si>
    <t>Publish : Announce 100 external developer</t>
  </si>
  <si>
    <t>Publish : Announce Ali at FIX NY</t>
  </si>
  <si>
    <t>Publish : Velox client portal</t>
  </si>
  <si>
    <t>Publish : Markets media article</t>
  </si>
  <si>
    <t>Publish : ChatGPT and the programmer</t>
  </si>
  <si>
    <t>06/21/2022</t>
  </si>
  <si>
    <t>get prospects in capsule</t>
  </si>
  <si>
    <t>create a deck for nikolai</t>
  </si>
  <si>
    <t>create a demo for nikolai</t>
  </si>
  <si>
    <t>Budget - 3 options</t>
  </si>
  <si>
    <t>Sponsorship / Spotlight Session confirm</t>
  </si>
  <si>
    <t>JB Panel Assignment</t>
  </si>
  <si>
    <t>Rollup Banners for Stand</t>
  </si>
  <si>
    <t>Pass allocation/Additional passes (GBP 495 ea)</t>
  </si>
  <si>
    <t>Budget</t>
  </si>
  <si>
    <t>Giveaways for stand</t>
  </si>
  <si>
    <t>Contract</t>
  </si>
  <si>
    <t>hi-res logo for promo materials</t>
  </si>
  <si>
    <t>JB Panel prep</t>
  </si>
  <si>
    <t>JB Bio/headshot</t>
  </si>
  <si>
    <t>admin placeholdrer</t>
  </si>
  <si>
    <t>screen</t>
  </si>
  <si>
    <t>demo/showreel</t>
  </si>
  <si>
    <t>identify post schedule</t>
  </si>
  <si>
    <t>placeholder - LI, email and phone prospecting</t>
  </si>
  <si>
    <t>Create two-pager and pitch deck</t>
  </si>
  <si>
    <t>Identify list of target accounts</t>
  </si>
  <si>
    <t>Identify list of personas at target accounts</t>
  </si>
  <si>
    <t>identify value prop</t>
  </si>
  <si>
    <t>identify demo to use</t>
  </si>
  <si>
    <t>create Job Title Parser sheet</t>
  </si>
  <si>
    <t>Cleared Derivs Campaign Brief</t>
  </si>
  <si>
    <t>upload target names from ample to capsule</t>
  </si>
  <si>
    <t>Velox entry on tech partner section of exchange websites</t>
  </si>
  <si>
    <t>review cleared derivs use-cases</t>
  </si>
  <si>
    <t>reconcile itiviti capsule contacts to target list</t>
  </si>
  <si>
    <t>Dan Menacho - Wells Fargo</t>
  </si>
  <si>
    <t>james rowe - macquarie</t>
  </si>
  <si>
    <t>vsTechVendors</t>
  </si>
  <si>
    <t>update current version for PPT and SVG for website</t>
  </si>
  <si>
    <t>Inhouse</t>
  </si>
  <si>
    <t>Mizuho</t>
  </si>
  <si>
    <t>Tech Detail - Data Platform Dev Layers</t>
  </si>
  <si>
    <t>Tech Overview - Summary Target</t>
  </si>
  <si>
    <t>Platform vs. Framework</t>
  </si>
  <si>
    <t>Tech Overview - Target</t>
  </si>
  <si>
    <t>Hero</t>
  </si>
  <si>
    <t>High Levell</t>
  </si>
  <si>
    <t>Subitem</t>
  </si>
  <si>
    <t>animated and make general putpose</t>
  </si>
  <si>
    <t>Locations - add Shanghai to final slide</t>
  </si>
  <si>
    <t>Website/Category slide idea</t>
  </si>
  <si>
    <t>ali website requests</t>
  </si>
  <si>
    <t>Add Terms of Use</t>
  </si>
  <si>
    <t>clean up slide options for new sections</t>
  </si>
  <si>
    <t>fix contact us</t>
  </si>
  <si>
    <t>co-ordinate with Cognizant</t>
  </si>
  <si>
    <t>write post</t>
  </si>
  <si>
    <t>co-ordinate with finsemble</t>
  </si>
  <si>
    <t>publish also on TABB forum</t>
  </si>
  <si>
    <t>build ability to collapse different slide files into 1 file</t>
  </si>
  <si>
    <t>build ability to tag slides</t>
  </si>
  <si>
    <t>build ability to change file names</t>
  </si>
  <si>
    <t>run for Monday</t>
  </si>
  <si>
    <t>run for Sales Cycle</t>
  </si>
  <si>
    <t>run PitchDeck</t>
  </si>
  <si>
    <t>run for History</t>
  </si>
  <si>
    <t>add ability to only process new updates after a ceetain date</t>
  </si>
  <si>
    <t>python script to compare image files</t>
  </si>
  <si>
    <t>introduce text files into comparison</t>
  </si>
  <si>
    <t>give them access</t>
  </si>
  <si>
    <t>inform shok</t>
  </si>
  <si>
    <t>Our clients - wordy</t>
  </si>
  <si>
    <t>inform 3B</t>
  </si>
  <si>
    <t>set up campaign based on mo's network</t>
  </si>
  <si>
    <t>load up contacts</t>
  </si>
  <si>
    <t>use wikipedia to get list of all exchanges then find head of product at each</t>
  </si>
  <si>
    <t>first version of deck based on etf link</t>
  </si>
  <si>
    <t>why do only a portion of the leads in a search get into Ample</t>
  </si>
  <si>
    <t>get targets set up in capsulecrm</t>
  </si>
  <si>
    <t>do a joint press release with ULTUMUS</t>
  </si>
  <si>
    <t>how to get key names from specific accounts out of sales nav</t>
  </si>
  <si>
    <t>what is value prop for BNP</t>
  </si>
  <si>
    <t>voice over on existing demo</t>
  </si>
  <si>
    <t>give ali access to ironhide</t>
  </si>
  <si>
    <t>get contact names/jobtitles at NBC</t>
  </si>
  <si>
    <t>create news feeds for ETF in feedly</t>
  </si>
  <si>
    <t>make the most of the case study we did with ian salmon</t>
  </si>
  <si>
    <t>search for top 10 custodians targets in Sales Nav</t>
  </si>
  <si>
    <t>talk to crinieri</t>
  </si>
  <si>
    <t>engaging ETF Stream ? ETF.com</t>
  </si>
  <si>
    <t>JB send LI connections to the next 30</t>
  </si>
  <si>
    <t>JB send LI connections to the first 30</t>
  </si>
  <si>
    <t>Mike to map who his network can give us introduction to</t>
  </si>
  <si>
    <t>Jon to map who his network can give us introductions to</t>
  </si>
  <si>
    <t>Get together list of all broker dealers/IB's/HFs</t>
  </si>
  <si>
    <t>where have we got to with making sure we have the company types/sizes/regions to all the companies of the current target personas ?</t>
  </si>
  <si>
    <t>get target contacts at top-down list of accounts</t>
  </si>
  <si>
    <t>get phone numbers for all target persons</t>
  </si>
  <si>
    <t>get email address for all target persons</t>
  </si>
  <si>
    <t>Cash Eq post for Week 1</t>
  </si>
  <si>
    <t>General Admin Test Subitem</t>
  </si>
  <si>
    <t>re-look at the Capsule training modules to see how to link items</t>
  </si>
  <si>
    <t>Vontobel</t>
  </si>
  <si>
    <t>velox on Fidessa</t>
  </si>
  <si>
    <t>Velox on Flextrade</t>
  </si>
  <si>
    <t>Nordea</t>
  </si>
  <si>
    <t>Standard Chartered</t>
  </si>
  <si>
    <t>morgan stanley</t>
  </si>
  <si>
    <t>barclays DIGITAL</t>
  </si>
  <si>
    <t>BARCLAYS Justin</t>
  </si>
  <si>
    <t>Follow up with Gerald to see if now good time to start on deck</t>
  </si>
  <si>
    <t>ping Rich Ahrens in new job</t>
  </si>
  <si>
    <t>prepare an ironhide trade presentation for meeting with BNY tomorroew</t>
  </si>
  <si>
    <t>prep for cash eq demo</t>
  </si>
  <si>
    <t>schedule time with andy to discuss how we do short term SOlutions</t>
  </si>
  <si>
    <t>get ULTUMUS set up with new ironhide and ETF changes features</t>
  </si>
  <si>
    <t>push out configs for ETF Changes</t>
  </si>
  <si>
    <t>Ring gary orchard on strategy</t>
  </si>
  <si>
    <t>Prep for 04/02</t>
  </si>
  <si>
    <t>work on the valantic functional gap - we need a meeting on each one</t>
  </si>
  <si>
    <t>make market making a vertical</t>
  </si>
  <si>
    <t>Plan for Purestream JV</t>
  </si>
  <si>
    <t>come up with a workspaces and next gen UI product for Ultumus</t>
  </si>
  <si>
    <t>stifel ideas</t>
  </si>
  <si>
    <t>tell MIzuho that we have added the default basket fix</t>
  </si>
  <si>
    <t>recontact MIzuho in Asia</t>
  </si>
  <si>
    <t>include CSS in velox recommnedations</t>
  </si>
  <si>
    <t>valantic + sc</t>
  </si>
  <si>
    <t>Overview of solutions we have provided thus far and the appropriate documentation</t>
  </si>
  <si>
    <t>Create and organize  onboarding folder with link in right order for processes</t>
  </si>
  <si>
    <t>talk to gerald</t>
  </si>
  <si>
    <t>Twitter strategy</t>
  </si>
  <si>
    <t>YouTube strategy</t>
  </si>
  <si>
    <t>Sales navigator for tracking content to react to</t>
  </si>
  <si>
    <t>LinkedIn Post distribution list</t>
  </si>
  <si>
    <t>200 09/1/22</t>
  </si>
  <si>
    <t>250 10/1/22</t>
  </si>
  <si>
    <t>Add relevant names to Capsule</t>
  </si>
  <si>
    <t>Invite relevant names to connect on Linked In</t>
  </si>
  <si>
    <t>Support - Allocate one senior resource to a new client for 3-months, then move to client portal</t>
  </si>
  <si>
    <t>explain how each potential use case works</t>
  </si>
  <si>
    <t>collate pricing strategy descriptions to-date</t>
  </si>
  <si>
    <t>align content to themes</t>
  </si>
  <si>
    <t>posting schedule</t>
  </si>
  <si>
    <t>followup with trey on pricing</t>
  </si>
  <si>
    <t>followup with iaian on oms</t>
  </si>
  <si>
    <t>prepare for 0628</t>
  </si>
  <si>
    <t>make sure kin is explaining correct usage of Velox to Adil</t>
  </si>
  <si>
    <t>remove dupes from contacts in casurl</t>
  </si>
  <si>
    <t>add Notes field to opportunities so we have consistency</t>
  </si>
  <si>
    <t>update Notes fields with 8/8 person / client / updstes</t>
  </si>
  <si>
    <t>delete old "dupe" organisation records</t>
  </si>
  <si>
    <t>Prep. For Per</t>
  </si>
  <si>
    <t>Ask Joachim whether a Memorandum of Understanding is enough to publish announcements</t>
  </si>
  <si>
    <t>Check in with Mizuho</t>
  </si>
  <si>
    <t>Create process for month DPE update</t>
  </si>
  <si>
    <t>Give Bernie feedback on Ironhide Trade</t>
  </si>
  <si>
    <t>Check in with Gary</t>
  </si>
  <si>
    <t>Work out how we go back to Stifel on phase 2</t>
  </si>
  <si>
    <t>Give joachim a broader update on Ultumus and ETF plans</t>
  </si>
  <si>
    <t>Organize stylesheet demo with valantic teams and endava</t>
  </si>
  <si>
    <t>get back to IRESS with Sales Trader GO and new deck</t>
  </si>
  <si>
    <t>ping joachim on minimum needed to start doing cross marketing</t>
  </si>
  <si>
    <t>get govind to review d2c code base to decide what its doing and what are external dependencies</t>
  </si>
  <si>
    <t>reference architecture for valantic</t>
  </si>
  <si>
    <t>Schedule a demo of Low Code version with Crux</t>
  </si>
  <si>
    <t>is D2C velox mag in vendor uidelines</t>
  </si>
  <si>
    <t>create demos of capabilities</t>
  </si>
  <si>
    <t>create a draft agreement</t>
  </si>
  <si>
    <t>porep for call 1</t>
  </si>
  <si>
    <t>give mike our client list to see if there are any intros</t>
  </si>
  <si>
    <t>see what in the monday board isnt done yet</t>
  </si>
  <si>
    <t>get access to valantic demos</t>
  </si>
  <si>
    <t>prep</t>
  </si>
  <si>
    <t>follow up on FX data</t>
  </si>
  <si>
    <t>Prep for SS Global Markets</t>
  </si>
  <si>
    <t>Hprep for igh-level Velox demo to</t>
  </si>
  <si>
    <t>Prep for mon 3/7</t>
  </si>
  <si>
    <t>Prep</t>
  </si>
  <si>
    <t>Prep for Demo 1</t>
  </si>
  <si>
    <t>stifel dash competitor definition</t>
  </si>
  <si>
    <t>Create appropriate chart types for ETF changes</t>
  </si>
  <si>
    <t>prep for 4/5</t>
  </si>
  <si>
    <t>Prep for SalesTraderGO 4/5</t>
  </si>
  <si>
    <t>prep for 050422 demo</t>
  </si>
  <si>
    <t>prep for SDP demo and presentation</t>
  </si>
  <si>
    <t>prep for velox intro 051022</t>
  </si>
  <si>
    <t>prep for 05/123</t>
  </si>
  <si>
    <t>prep for 05/26</t>
  </si>
  <si>
    <t>definition of pre-sales &amp; solns arch for andy</t>
  </si>
  <si>
    <t>Prep for tech deep dive on Friday 26</t>
  </si>
  <si>
    <t>get back to State Street</t>
  </si>
  <si>
    <t>prepare commercial proposal</t>
  </si>
  <si>
    <t>Create TD tech deck</t>
  </si>
  <si>
    <t>JB to reach out to Victor</t>
  </si>
  <si>
    <t>talk to Jason about being OK for valantic to sell STW with the framework</t>
  </si>
  <si>
    <t>prep for wed 26th presetnation</t>
  </si>
  <si>
    <t>Prep for demo 5/21</t>
  </si>
  <si>
    <t>Get back to Jai with talking points for his clients</t>
  </si>
  <si>
    <t>sigma</t>
  </si>
  <si>
    <t>ping michelle neal</t>
  </si>
  <si>
    <t>ping Tim Hooley</t>
  </si>
  <si>
    <t>Ping Ravi</t>
  </si>
  <si>
    <t>get  back to them on state of Amber</t>
  </si>
  <si>
    <t>joachim factset deck</t>
  </si>
  <si>
    <t>look into the possibilty of reusing the TRADS FX components with valantic</t>
  </si>
  <si>
    <t>integrate SIX realtime data into Ironhide</t>
  </si>
  <si>
    <t>ask Erik for followups</t>
  </si>
  <si>
    <t>WP for joachim</t>
  </si>
  <si>
    <t>Cosmos clients / velox communication</t>
  </si>
  <si>
    <t>put together the 1 pager for pre/intra/post collab</t>
  </si>
  <si>
    <t>next steps before ECP meeting</t>
  </si>
  <si>
    <t>Press release at right time</t>
  </si>
  <si>
    <t>Decide on Cosmos deployment hardware</t>
  </si>
  <si>
    <t>record the building on the jeff app</t>
  </si>
  <si>
    <t>see if bernie/armando/valantic are interested in getting symphony integrfated</t>
  </si>
  <si>
    <t>make sure they have signed a formal contract before doing the govind / spain sessions</t>
  </si>
  <si>
    <t>get meeting scheduled</t>
  </si>
  <si>
    <t>07/18/22</t>
  </si>
  <si>
    <t>send the jeff demo app to ben</t>
  </si>
  <si>
    <t>get scheduled</t>
  </si>
  <si>
    <t>make sure valantic are actually becoming self sufficient s</t>
  </si>
  <si>
    <t>07/25/22</t>
  </si>
  <si>
    <t>find out why not handling ARCHIVE properly</t>
  </si>
  <si>
    <t>Social media</t>
  </si>
  <si>
    <t>steve to provcide Tierney intro to me re: Armando</t>
  </si>
  <si>
    <t>demo prep OPCO</t>
  </si>
  <si>
    <t>finish jeff presso</t>
  </si>
  <si>
    <t>get next demo set up week of Aug 16th</t>
  </si>
  <si>
    <t>ask our advisors on behalf of cosaic if they know Alain head of digital</t>
  </si>
  <si>
    <t>prep for next demo</t>
  </si>
  <si>
    <t>followup up on them using us as a oms</t>
  </si>
  <si>
    <t>send mike a deck which talks to large retain clients</t>
  </si>
  <si>
    <t>for andy find out about overbond</t>
  </si>
  <si>
    <t>prep for</t>
  </si>
  <si>
    <t>prep for followup with Linda CIO</t>
  </si>
  <si>
    <t>prep for demo</t>
  </si>
  <si>
    <t>prep for lowey</t>
  </si>
  <si>
    <t>prep for neto offer call</t>
  </si>
  <si>
    <t>2 pager on buy-side OMS and interoperability</t>
  </si>
  <si>
    <t>presso for Cash Eq rebuild</t>
  </si>
  <si>
    <t>prep for tech deepdive</t>
  </si>
  <si>
    <t>reconnecting on 930</t>
  </si>
  <si>
    <t>get back to marvin</t>
  </si>
  <si>
    <t>presentation on IRS pricer</t>
  </si>
  <si>
    <t>prep for andy lowcode  demo with andrea</t>
  </si>
  <si>
    <t>prep for tech deep dive 1024</t>
  </si>
  <si>
    <t>dlides for greg</t>
  </si>
  <si>
    <t>followup with tim</t>
  </si>
  <si>
    <t>prep for 11/222</t>
  </si>
  <si>
    <t>prep for 11/9/22</t>
  </si>
  <si>
    <t>prep for 11/11</t>
  </si>
  <si>
    <t>prep for interop session</t>
  </si>
  <si>
    <t>prep for initial RFP call</t>
  </si>
  <si>
    <t>set up Jan followup</t>
  </si>
  <si>
    <t>prep for intro</t>
  </si>
  <si>
    <t>prep for followup presso on 12/7</t>
  </si>
  <si>
    <t>prep for demo on 1/5/23</t>
  </si>
  <si>
    <t>prep for 1220</t>
  </si>
  <si>
    <t>fiinancial proposal</t>
  </si>
  <si>
    <t>velox vendor managemenet</t>
  </si>
  <si>
    <t>write up the velox / finsemble / excel integration spec.</t>
  </si>
  <si>
    <t>videos for andrea and low code logins</t>
  </si>
  <si>
    <t>discuss initial setup with Andy</t>
  </si>
  <si>
    <t>get access to finsemble clients</t>
  </si>
  <si>
    <t>introduce them to izzo / ghco</t>
  </si>
  <si>
    <t>introduce them to mizuuho</t>
  </si>
  <si>
    <t>update for brad levy</t>
  </si>
  <si>
    <t>Send out followups and minutes</t>
  </si>
  <si>
    <t>0228 demo</t>
  </si>
  <si>
    <t>screenshots for greg</t>
  </si>
  <si>
    <t>followups from demos</t>
  </si>
  <si>
    <t>prep for riyadh 3/1223</t>
  </si>
  <si>
    <t>prep for demo in riyadh</t>
  </si>
  <si>
    <t>3/14/23 presentation</t>
  </si>
  <si>
    <t>prep the cloud datamesh use case</t>
  </si>
  <si>
    <t>sent trey what we could do from a pricing perspectgive</t>
  </si>
  <si>
    <t>pseudo tech demo 3/23/23</t>
  </si>
  <si>
    <t>do a training session for the 2 new devs</t>
  </si>
  <si>
    <t>mention that we wont be onboarding as bar too high</t>
  </si>
  <si>
    <t>write up the bernie conversation about pricing from 6/22</t>
  </si>
  <si>
    <t>Send Bobby info after call</t>
  </si>
  <si>
    <t>meeting minutes from 62323</t>
  </si>
  <si>
    <t>introduce Joerg to Bernie</t>
  </si>
  <si>
    <t>Respond to calcguard evaluation</t>
  </si>
  <si>
    <t>prep for 7/31</t>
  </si>
  <si>
    <t>aws linux host for Fabio</t>
  </si>
  <si>
    <t>parse emails in capsule download script</t>
  </si>
  <si>
    <t>critical info viewer / dividend forecast</t>
  </si>
  <si>
    <t>Schedule code review of D2D and D2C and how to merge</t>
  </si>
  <si>
    <t>are small things like CF Global going to be handled by valantic Solutions</t>
  </si>
  <si>
    <t>resources for valantic on D2D</t>
  </si>
  <si>
    <t>Ali sales plan / timeline /budgtes</t>
  </si>
  <si>
    <t>Ross sales plan / timeline /budgtes</t>
  </si>
  <si>
    <t>prep for 7/20 deep dive</t>
  </si>
  <si>
    <t>ask for recording of symphont meeting</t>
  </si>
  <si>
    <t>try to meet up with Dimiter when in NY this weekl</t>
  </si>
  <si>
    <t>documentation for bharrat</t>
  </si>
  <si>
    <t>resolve issues with joachim on linkedin posts</t>
  </si>
  <si>
    <t>formalize the support channel and what types of questions are allowed</t>
  </si>
  <si>
    <t>discuss collaboration opportunities with Armando</t>
  </si>
  <si>
    <t>bernie to do 2 snr intros after Aug 4th</t>
  </si>
  <si>
    <t>tell them about buy side OMS plan</t>
  </si>
  <si>
    <t>send Chris D and deck and some explanation</t>
  </si>
  <si>
    <t>review RFI</t>
  </si>
  <si>
    <t>make sure we can pull in a favour and get a reference for CA</t>
  </si>
  <si>
    <t>setup 2 followup sessions with Neto this week</t>
  </si>
  <si>
    <t>put together high level job description for neto</t>
  </si>
  <si>
    <t>add ability to update tags</t>
  </si>
  <si>
    <t>figure out why Symphony doesnt show up</t>
  </si>
  <si>
    <t>prep for neto deeper dive</t>
  </si>
  <si>
    <t>figure out what are next steps on Cog</t>
  </si>
  <si>
    <t>followup with Lowresy</t>
  </si>
  <si>
    <t>make monday sheet searches case insensitve and wildcard by default</t>
  </si>
  <si>
    <t>put together what skill gaps we need filling</t>
  </si>
  <si>
    <t>put together offer terms/cover sheet</t>
  </si>
  <si>
    <t>prepare a business proposal for Jeff on OPCO / Velox relationship</t>
  </si>
  <si>
    <t>intro leslie to Nundy</t>
  </si>
  <si>
    <t>give Adil the headsup that an increase is coming</t>
  </si>
  <si>
    <t>talk to bernie about funding FIX</t>
  </si>
  <si>
    <t>put together a high level slide on how cosaic and velox would go to market together</t>
  </si>
  <si>
    <t>iPushPull</t>
  </si>
  <si>
    <t>prep for stephen update</t>
  </si>
  <si>
    <t>interop docs for steve</t>
  </si>
  <si>
    <t>intro neto</t>
  </si>
  <si>
    <t>respond with video and demo system to play wih</t>
  </si>
  <si>
    <t>try to get commitment on a POC</t>
  </si>
  <si>
    <t>talk to tim about dev support overhead</t>
  </si>
  <si>
    <t>get the trads demo env up and running</t>
  </si>
  <si>
    <t>do intros to 2sigma and Jane street and Harji for Yogesh</t>
  </si>
  <si>
    <t>prep markus for SIX board discussion</t>
  </si>
  <si>
    <t>set up technical training in velox for cosaic engineers</t>
  </si>
  <si>
    <t>demo of building workspace for Ali</t>
  </si>
  <si>
    <t>write up the workflows for the symphony/finsemble intergaruosn</t>
  </si>
  <si>
    <t>prep for cosaci training</t>
  </si>
  <si>
    <t>send teaser to CME</t>
  </si>
  <si>
    <t>respond back to their request for info</t>
  </si>
  <si>
    <t>Finish up Sales Trader GO and send to Mizuho in Asia and BNY Mellon</t>
  </si>
  <si>
    <t>Organize a workshop with kamba to see if we can agree on a product</t>
  </si>
  <si>
    <t>confirm rollout schedule and POC deliverables with Tumilty</t>
  </si>
  <si>
    <t>intro phil to v, u and c</t>
  </si>
  <si>
    <t>work on high level workflow for CR negotiation</t>
  </si>
  <si>
    <t>Keep regular touch points to find opp to extend</t>
  </si>
  <si>
    <t>JB speak to Bernie about Cosmos hub and pricing</t>
  </si>
  <si>
    <t>Can we get contact details for all the people that attended FIX?</t>
  </si>
  <si>
    <t>decks for gerry to send on to UK &amp; EMEA IB</t>
  </si>
  <si>
    <t>complete demo script and environment for valanticFSA</t>
  </si>
  <si>
    <t>retro active review of valantic DZ bank app</t>
  </si>
  <si>
    <t>review the 3 point request email from Maik</t>
  </si>
  <si>
    <t>followup with Bobby on starting a 2nd POC</t>
  </si>
  <si>
    <t>check in with Chris</t>
  </si>
  <si>
    <t>prep for 6/13</t>
  </si>
  <si>
    <t>have shridhar talk to Rajiv</t>
  </si>
  <si>
    <t>write up meeting minutes</t>
  </si>
  <si>
    <t>SIX corporate action info give to bernie</t>
  </si>
  <si>
    <t>version 1 in progress</t>
  </si>
  <si>
    <t>Complete the quick fire submission form</t>
  </si>
  <si>
    <t>update changed companies</t>
  </si>
  <si>
    <t>update company meta data</t>
  </si>
  <si>
    <t>add tool to add new opp from excel</t>
  </si>
  <si>
    <t>update capsule with email address from JB inbox</t>
  </si>
  <si>
    <t>remove dupes from clients in capsule</t>
  </si>
  <si>
    <t>change VELOX_RAD to be VELOX_FULLSTACK</t>
  </si>
  <si>
    <t>fix bug on filters</t>
  </si>
  <si>
    <t>fix bug on missing data field</t>
  </si>
  <si>
    <t>auto spit real vs target opps</t>
  </si>
  <si>
    <t>add the notes back in for alis contacts</t>
  </si>
  <si>
    <t>update missing relationships</t>
  </si>
  <si>
    <t>clean linked in text fields</t>
  </si>
  <si>
    <t>velox on Itivity</t>
  </si>
  <si>
    <t>JB to talk to weeks about ETF Stream / ETF.com</t>
  </si>
  <si>
    <t>send Ian educational docs</t>
  </si>
  <si>
    <t>centralize previous stuff</t>
  </si>
  <si>
    <t>Create post image for newsletter kick-off</t>
  </si>
  <si>
    <t>pull together content February</t>
  </si>
  <si>
    <t>testsubitem</t>
  </si>
  <si>
    <t>Draft May Newsletter</t>
  </si>
  <si>
    <t>cut up the content and create a new usecase_summary pptx</t>
  </si>
  <si>
    <t>Velox on the Ion bus</t>
  </si>
  <si>
    <t>Complete background check</t>
  </si>
  <si>
    <t>Review fee schedule</t>
  </si>
  <si>
    <t>tech followups from 7/12/23</t>
  </si>
  <si>
    <t>prep for sanwar presso</t>
  </si>
  <si>
    <t>Ann Neidenbach (Brad intro)</t>
  </si>
  <si>
    <t>Andrew Considine (Brad Intro</t>
  </si>
  <si>
    <t>invoice valantic</t>
  </si>
  <si>
    <t>review redlines of valantic contract</t>
  </si>
  <si>
    <t>prep for 5/24 - velox monthly</t>
  </si>
  <si>
    <t>Contract negotiation for 2024</t>
  </si>
  <si>
    <t>Join relevant committees</t>
  </si>
  <si>
    <t>getting-on-fix-americas-panel-in-september</t>
  </si>
  <si>
    <t>Complete calcguard renegotiation</t>
  </si>
  <si>
    <t>prep for 6/21 contract discussion with CG</t>
  </si>
  <si>
    <t>respond in writing to bernie on cosmos deal points</t>
  </si>
  <si>
    <t>respond to contractual questions</t>
  </si>
  <si>
    <t>go through CR review for ULTUMUS</t>
  </si>
  <si>
    <t>Calculate cost allocation</t>
  </si>
  <si>
    <t>BNP Security Questions</t>
  </si>
  <si>
    <t>Offer letter</t>
  </si>
  <si>
    <t>Contract with India entity</t>
  </si>
  <si>
    <t>chase mizuho</t>
  </si>
  <si>
    <t>give Adil the headsup that we are moving to 300k</t>
  </si>
  <si>
    <t>Contract review date 31 Ocotber</t>
  </si>
  <si>
    <t>Contract renewal 31 August 2023</t>
  </si>
  <si>
    <t>Contract review 01 Oct 2022</t>
  </si>
  <si>
    <t>Jason &amp; Jon to complete AOA docs</t>
  </si>
  <si>
    <t>Update based on sales campaigns</t>
  </si>
  <si>
    <t>Pay invoice as credit taken</t>
  </si>
  <si>
    <t>Complete employee survey</t>
  </si>
  <si>
    <t>Finalise credits</t>
  </si>
  <si>
    <t>Complete tax return</t>
  </si>
  <si>
    <t>Pricing Options</t>
  </si>
  <si>
    <t>Vicky responded</t>
  </si>
  <si>
    <t>cleanup monday additems sheet</t>
  </si>
  <si>
    <t>add in the exchange campaign</t>
  </si>
  <si>
    <t>prep. for neil 6/22</t>
  </si>
  <si>
    <t>followup on legacy modernize use-case</t>
  </si>
  <si>
    <t>find out where ultumus invoices payment is</t>
  </si>
  <si>
    <t>give jason headups on ultumus etf changes</t>
  </si>
  <si>
    <t>Release next Ironhide version</t>
  </si>
  <si>
    <t>Introduce Bernie to BMLL (SIX is a BMLL client)</t>
  </si>
  <si>
    <t>strategy with bernie</t>
  </si>
  <si>
    <t>Prep for ULTUMUS deepdive with team</t>
  </si>
  <si>
    <t>talk to bernie about splitting out the implementation fees</t>
  </si>
  <si>
    <t>followup with redburn on pricing</t>
  </si>
  <si>
    <t>discuss feedback on the middle office deck with ALi</t>
  </si>
  <si>
    <t>need to add in delete ranges</t>
  </si>
  <si>
    <t>add new mo network campaign to monday viewer</t>
  </si>
  <si>
    <t>upload mo's exchange 1000 name tartget into capsule</t>
  </si>
  <si>
    <t>make it work out where sharded drive is mounted</t>
  </si>
  <si>
    <t>make it possible to select which users mailbox to download</t>
  </si>
  <si>
    <t>make tool just get last week of calendar items</t>
  </si>
  <si>
    <t>middle office deck for Ali</t>
  </si>
  <si>
    <t>Post job in UK and vet candidates</t>
  </si>
  <si>
    <t>prepare formal response to Abdullah after receiving the business plan</t>
  </si>
  <si>
    <t>prep for 1128 intro</t>
  </si>
  <si>
    <t>write up meeting minutes from 6/14 call</t>
  </si>
  <si>
    <t>review joachim proposal</t>
  </si>
  <si>
    <t>prep for VALANTIC deepdive with team</t>
  </si>
  <si>
    <t>Invoice for JY's May consulting hours</t>
  </si>
  <si>
    <t>Sign contract</t>
  </si>
  <si>
    <t>Answer SG's questions</t>
  </si>
  <si>
    <t>Meet candidates</t>
  </si>
  <si>
    <t>investor tradiing deck</t>
  </si>
  <si>
    <t>get details from Bharat on scale scenario &amp; TT screens</t>
  </si>
  <si>
    <t>respond to them now they have published spec</t>
  </si>
  <si>
    <t>move monday report to use the http file reader like capsule does</t>
  </si>
  <si>
    <t>give andrea feedback on his article</t>
  </si>
  <si>
    <t>add andreas new users to doco</t>
  </si>
  <si>
    <t>Get LINUX ONEDRIVE client</t>
  </si>
  <si>
    <t>include mgmt and campaigns  in report</t>
  </si>
  <si>
    <t>why do we lose records going from LinkedIn to Ample</t>
  </si>
  <si>
    <t>respond to andrea questions about forester report</t>
  </si>
  <si>
    <t>respond to Andrea's email on roadmap</t>
  </si>
  <si>
    <t>prepare high-level build estimate and capacity assessment for Hertschten</t>
  </si>
  <si>
    <t>Sales Report May Wk3 &amp; 4</t>
  </si>
  <si>
    <t>Send slides based on 2/14 convo to chris</t>
  </si>
  <si>
    <t>JB to take a turn on the deck</t>
  </si>
  <si>
    <t>Find out more about the Genesis pitch and strategy</t>
  </si>
  <si>
    <t>send documents to Bharat after 6/2/23 meeting</t>
  </si>
  <si>
    <t>send pricing to Redburn</t>
  </si>
  <si>
    <t>prep for 2nd use case semo</t>
  </si>
  <si>
    <t>prep for 6/2/23 tech deepdive</t>
  </si>
  <si>
    <t>Complete Software Evaluation agreement</t>
  </si>
  <si>
    <t>agree next steps  / followups from intro call</t>
  </si>
  <si>
    <t>figure out next steps for athex</t>
  </si>
  <si>
    <t>Complete Teaming Agreement</t>
  </si>
  <si>
    <t>prep for 2nd meeting 5/29/23</t>
  </si>
  <si>
    <t>update capsule company mapp er loader to use latest clients</t>
  </si>
  <si>
    <t>add latest linked in contacts into capsule</t>
  </si>
  <si>
    <t>launch file explorer to select folders and files</t>
  </si>
  <si>
    <t>represent in word doc as hyperlinks</t>
  </si>
  <si>
    <t>3/13/23 presso and diner</t>
  </si>
  <si>
    <t>Confirm speaking opp for Jon</t>
  </si>
  <si>
    <t>prep for FIX panel</t>
  </si>
  <si>
    <t>respond to request for Rate STW for SEB</t>
  </si>
  <si>
    <t>get tplusone demo up and running</t>
  </si>
  <si>
    <t>complete excel integration</t>
  </si>
  <si>
    <t>write up what Chris identified as powerful about velox</t>
  </si>
  <si>
    <t>create velox-valantic 'elevator pitch' for RB</t>
  </si>
  <si>
    <t>think about a shorter POC - 1 week - free</t>
  </si>
  <si>
    <t>ETFSC ETF com or ETF Securities?</t>
  </si>
  <si>
    <t>review and clean sales pipeline</t>
  </si>
  <si>
    <t>review kamba spreadsheet</t>
  </si>
  <si>
    <t>Organise Sales Strategy Workshop for JB, RB, SG, AH +? in July</t>
  </si>
  <si>
    <t>build up key contact grid to fill in the blanks</t>
  </si>
  <si>
    <t>AM To take AH through repo PoC demo</t>
  </si>
  <si>
    <t>update and go through sales pitch with Ali</t>
  </si>
  <si>
    <t>Follow up with Janet on schedule for Seganiti</t>
  </si>
  <si>
    <t>T&amp;E policy</t>
  </si>
  <si>
    <t>henk meeting prep</t>
  </si>
  <si>
    <t>Create budget</t>
  </si>
  <si>
    <t>understand the existing API and API plans</t>
  </si>
  <si>
    <t>figure out how BCC works</t>
  </si>
  <si>
    <t>give Jason a demo of AmpleMarkets</t>
  </si>
  <si>
    <t>get meeting in 3 weeks onto calendar</t>
  </si>
  <si>
    <t>Update NDA</t>
  </si>
  <si>
    <t>summary of lloyds submission for Andy</t>
  </si>
  <si>
    <t>Sort out the withholding tax issue on invoices</t>
  </si>
  <si>
    <t>invoice GHCO for Q4</t>
  </si>
  <si>
    <t>Prep for pseduo tech deep dive 022423</t>
  </si>
  <si>
    <t>Prep for 020723</t>
  </si>
  <si>
    <t>Build standard APIs?</t>
  </si>
  <si>
    <t>Need a cut-off process/ expiry date?</t>
  </si>
  <si>
    <t>Giles info about  GHCO use-case</t>
  </si>
  <si>
    <t>Shareholders must Approve the plan within 12 months of Board of directors approval</t>
  </si>
  <si>
    <t>Prep for 2/14 meeting</t>
  </si>
  <si>
    <t>workout commercial agreement between s &amp; V</t>
  </si>
  <si>
    <t>make it possible to update user</t>
  </si>
  <si>
    <t>add a Frequency column to spreadsheet</t>
  </si>
  <si>
    <t>make it possible to update item name</t>
  </si>
  <si>
    <t>allow simple item updates from spreadsheet</t>
  </si>
  <si>
    <t>use default folder settings based on user</t>
  </si>
  <si>
    <t>fix so multiple users can run</t>
  </si>
  <si>
    <t>give chris access to the gdrive so he can use the monday excel viewer</t>
  </si>
  <si>
    <t>make it possible to remove items that have children</t>
  </si>
  <si>
    <t>be able to deselect parent items that have children</t>
  </si>
  <si>
    <t>create an uber search</t>
  </si>
  <si>
    <t>prepare email lists using capsule script</t>
  </si>
  <si>
    <t>setup client convos for marvin</t>
  </si>
  <si>
    <t>send 1 pager</t>
  </si>
  <si>
    <t>cosmos pricing</t>
  </si>
  <si>
    <t>example chart rest url</t>
  </si>
  <si>
    <t>training for andrea</t>
  </si>
  <si>
    <t>andy initial ideas on what factors are affecting productiity</t>
  </si>
  <si>
    <t>chase Izzo</t>
  </si>
  <si>
    <t>Add SA stock data</t>
  </si>
  <si>
    <t>introduce andy / finsemble</t>
  </si>
  <si>
    <t>pull together content January</t>
  </si>
  <si>
    <t>prepare response lettter</t>
  </si>
  <si>
    <t>give names of comapnies to phill</t>
  </si>
  <si>
    <t>introduce them to purestream</t>
  </si>
  <si>
    <t>Create historical pipeline calc as proxy for sales progress</t>
  </si>
  <si>
    <t>automate rocketreach to check emails and get company info</t>
  </si>
  <si>
    <t>GHCO renewal</t>
  </si>
  <si>
    <t>mailchimp</t>
  </si>
  <si>
    <t>get addresses from outlook inboxes</t>
  </si>
  <si>
    <t>Identify gaps in sales team capability wrt sales process e.g. lead generation</t>
  </si>
  <si>
    <t>Set and maintain sales targets</t>
  </si>
  <si>
    <t>Reporting progress of sales against targets</t>
  </si>
  <si>
    <t>Sales Process and metrics</t>
  </si>
  <si>
    <t>Sales reporting - quality</t>
  </si>
  <si>
    <t>Sales meeting debriefs</t>
  </si>
  <si>
    <t>Create a Service Agreement for SG</t>
  </si>
  <si>
    <t>make sure new contract include rights to do marketing</t>
  </si>
  <si>
    <t>sign NDA and setup followup sessions</t>
  </si>
  <si>
    <t>Contract review date 03 Oct 22</t>
  </si>
  <si>
    <t>Need to send the June invoice to valantic</t>
  </si>
  <si>
    <t>Plan to exit Jon from valantic</t>
  </si>
  <si>
    <t>review valantic contract risks</t>
  </si>
  <si>
    <t>Explain Rapid Addition relationship to AH</t>
  </si>
  <si>
    <t>Set up Escrow agreement</t>
  </si>
  <si>
    <t>Book quarterly update meetings with JT</t>
  </si>
  <si>
    <t>Ansgar JD's</t>
  </si>
  <si>
    <t>give luigi feedback on his deck</t>
  </si>
  <si>
    <t>valantic spec for contract</t>
  </si>
  <si>
    <t>get back to gary / stifel on new blotter request</t>
  </si>
  <si>
    <t>Mizuho invoice - Millie email</t>
  </si>
  <si>
    <t>invoice GHCO</t>
  </si>
  <si>
    <t>Arrange meeting with Mike Powell w/c 01 Nov</t>
  </si>
  <si>
    <t>andy how we think about pre sales</t>
  </si>
  <si>
    <t>prep for tim</t>
  </si>
  <si>
    <t>Draft contract</t>
  </si>
  <si>
    <t>Contract review 01 Nov</t>
  </si>
  <si>
    <t>Prep for 081922</t>
  </si>
  <si>
    <t>prep for CME</t>
  </si>
  <si>
    <t>3-year commercial framework needed</t>
  </si>
  <si>
    <t>contract negotiations</t>
  </si>
  <si>
    <t>prep for LIME 10/28</t>
  </si>
  <si>
    <t>JB ping tumilty to make sure everything OK ahead of board meeting</t>
  </si>
  <si>
    <t>figuring out a commericasl model</t>
  </si>
  <si>
    <t>marketing docs</t>
  </si>
  <si>
    <t>review cosaic PR</t>
  </si>
  <si>
    <t>write up ansgar meeting</t>
  </si>
  <si>
    <t>respond to andy and ansgar on iTrader requirements</t>
  </si>
  <si>
    <t>give andy talking points on why velox in equities</t>
  </si>
  <si>
    <t>ansgar wants to know what training is left for valantic devs</t>
  </si>
  <si>
    <t>velox big picture training for the developers</t>
  </si>
  <si>
    <t>greg training</t>
  </si>
  <si>
    <t>POC for sanjay</t>
  </si>
  <si>
    <t>prep for tech deep dive</t>
  </si>
  <si>
    <t>write up notes</t>
  </si>
  <si>
    <t>Design by 3B WEb</t>
  </si>
  <si>
    <t>docs for markus</t>
  </si>
  <si>
    <t>50 new connections sent on 10/5/22</t>
  </si>
  <si>
    <t>set up meeting for Mon with Alison to discuss Remote restrictions on % increase</t>
  </si>
  <si>
    <t>work out non-revenue targets</t>
  </si>
  <si>
    <t>review versions</t>
  </si>
  <si>
    <t>3B to work on presentation/design of use case</t>
  </si>
  <si>
    <t>50 new connections sent on 10/1/22</t>
  </si>
  <si>
    <t>RFP Response</t>
  </si>
  <si>
    <t>build up a core set of velox selling points for CA</t>
  </si>
  <si>
    <t>Thought experiment</t>
  </si>
  <si>
    <t>Prep for business model meeting on 0831</t>
  </si>
  <si>
    <t>final RFP submission</t>
  </si>
  <si>
    <t>CA RFP presso</t>
  </si>
  <si>
    <t>Confirm status of negotiations/DD</t>
  </si>
  <si>
    <t>move to a velox contract</t>
  </si>
  <si>
    <t>100 new connection request set on 9/14/22</t>
  </si>
  <si>
    <t>Review Introducer PLan</t>
  </si>
  <si>
    <t>Refresh NDA</t>
  </si>
  <si>
    <t>answer questions on SDLC</t>
  </si>
  <si>
    <t>Review Partnership Agreement</t>
  </si>
  <si>
    <t>Review and sign NDA</t>
  </si>
  <si>
    <t>Conversation wit Reena about Stifel/BMLL when time is right</t>
  </si>
  <si>
    <t>add ability to add subitems</t>
  </si>
  <si>
    <t>return created is when adding items</t>
  </si>
  <si>
    <t>make batch upload sheet more intelligent</t>
  </si>
  <si>
    <t>client references</t>
  </si>
  <si>
    <t>Create &amp; agree sales KSIs</t>
  </si>
  <si>
    <t>prep for demo 8/2/22</t>
  </si>
  <si>
    <t>trads non func review</t>
  </si>
  <si>
    <t>Complete InfoSec assessment</t>
  </si>
  <si>
    <t>Get sign-off from Ultumus</t>
  </si>
  <si>
    <t>Complete the ESG rating</t>
  </si>
  <si>
    <t>RFP Aug 19th questions</t>
  </si>
  <si>
    <t>Financial</t>
  </si>
  <si>
    <t>Risk Management</t>
  </si>
  <si>
    <t>allow multi line status updates from spreadsheet</t>
  </si>
  <si>
    <t>come up with support rota for trads</t>
  </si>
  <si>
    <t>check in with Alex</t>
  </si>
  <si>
    <t>setup hotkeys for pulling out email emails address easilly</t>
  </si>
  <si>
    <t>Sales &amp; Marketing</t>
  </si>
  <si>
    <t>add in rest of sub screen shots</t>
  </si>
  <si>
    <t>talk to Giles that Linda might call him</t>
  </si>
  <si>
    <t>give feedback on the deck for OPCO in Aug</t>
  </si>
  <si>
    <t>get intro meeting setup</t>
  </si>
  <si>
    <t>send details to steve</t>
  </si>
  <si>
    <t>meet neto for lunhc</t>
  </si>
  <si>
    <t>intro armando to tim sargent</t>
  </si>
  <si>
    <t>intro iain to lowrwy</t>
  </si>
  <si>
    <t>come up with a velox UI only proposal for AMBER</t>
  </si>
  <si>
    <t>talk to Vivek / cognizant about Mizuho</t>
  </si>
  <si>
    <t>send deck to Ed</t>
  </si>
  <si>
    <t>follow up on how velox would have been used in the following situation</t>
  </si>
  <si>
    <t>now time to have conversation with Martin with Mike</t>
  </si>
  <si>
    <t>confirm next steps</t>
  </si>
  <si>
    <t>Ask AM &amp; RL for July data #calls &amp; # new opps</t>
  </si>
  <si>
    <t>make it autocopy when you click on the email cell</t>
  </si>
  <si>
    <t>working with RA to get partnership deals</t>
  </si>
  <si>
    <t>prep for 7/18 high level tech intro</t>
  </si>
  <si>
    <t>debreif with ross on next steps</t>
  </si>
  <si>
    <t>Review 'tasks' report</t>
  </si>
  <si>
    <t>java docs for carston</t>
  </si>
  <si>
    <t>get Neto to meet Grob</t>
  </si>
  <si>
    <t>write up meeting summary</t>
  </si>
  <si>
    <t>explain to alison my final comments and them get JB to step out of final phase</t>
  </si>
  <si>
    <t>need to send him a better screenshot and some incons for the KPI's</t>
  </si>
  <si>
    <t>share NDA</t>
  </si>
  <si>
    <t>get the 30/30 tech deep dive setup</t>
  </si>
  <si>
    <t>Complete vendor due diligence questionnaire</t>
  </si>
  <si>
    <t>announce we are AIR</t>
  </si>
  <si>
    <t>Intro Ali to run with at the right point</t>
  </si>
  <si>
    <t>agenda for week in july</t>
  </si>
  <si>
    <t>organize training for the iTrader team and cross team jnrs</t>
  </si>
  <si>
    <t>respond to their questions on SOC</t>
  </si>
  <si>
    <t>take deepak through high-level velox story</t>
  </si>
  <si>
    <t>JB to make sure mike clear on us refusing change requests as of 6/20</t>
  </si>
  <si>
    <t>no need to yet. im just travelling around and didnt know exactly what was needed - i can see if i organize to be back at the appartment</t>
  </si>
  <si>
    <t>forward details to Steve</t>
  </si>
  <si>
    <t>tech deck for nitin</t>
  </si>
  <si>
    <t>allow creation of new task from spreadsheet and autogen folder</t>
  </si>
  <si>
    <t>follow-up on II DD questions about support</t>
  </si>
  <si>
    <t>review jeff ppts</t>
  </si>
  <si>
    <t>prep for daniel  meeting on Wed</t>
  </si>
  <si>
    <t>JB to reach out to Ponzo</t>
  </si>
  <si>
    <t>send over agenda for jeff</t>
  </si>
  <si>
    <t>send a list of potential OMS features</t>
  </si>
  <si>
    <t>meeting with JDGR</t>
  </si>
  <si>
    <t>ross to ask adi for a meeting as he has not responsed</t>
  </si>
  <si>
    <t>prep for cosaic</t>
  </si>
  <si>
    <t>get a deck to Mike</t>
  </si>
  <si>
    <t>we need to send an email out to CA before end of week</t>
  </si>
  <si>
    <t>need to show alison the bank statement in the email</t>
  </si>
  <si>
    <t>what slides go to CA</t>
  </si>
  <si>
    <t>add in meeting minutes</t>
  </si>
  <si>
    <t>adjust script to dump out all columns  json as well as select</t>
  </si>
  <si>
    <t>set up tuesday meeting for Jeff</t>
  </si>
  <si>
    <t>build jefferies demo app based on dat a they have provided</t>
  </si>
  <si>
    <t>quiz ansgar on developer productivity</t>
  </si>
  <si>
    <t>get valantic to pay for any repo poc changes</t>
  </si>
  <si>
    <t>share commercial proposal for trident</t>
  </si>
  <si>
    <t>deck for steve</t>
  </si>
  <si>
    <t>Prep for MFGS</t>
  </si>
  <si>
    <t>Deck for mike that talks to retail use case</t>
  </si>
  <si>
    <t>answer JT question on S/M/L</t>
  </si>
  <si>
    <t>answer JT question on break clause</t>
  </si>
  <si>
    <t>Review website changes</t>
  </si>
  <si>
    <t>Execute an NDA</t>
  </si>
  <si>
    <t>Change Request</t>
  </si>
  <si>
    <t>Strategy</t>
  </si>
  <si>
    <t>Operations</t>
  </si>
  <si>
    <t>Customer Success</t>
  </si>
  <si>
    <t>Legal &amp; Compliance</t>
  </si>
  <si>
    <t>Contract Managment</t>
  </si>
  <si>
    <t>Contact Bharat Mittal</t>
  </si>
  <si>
    <t>Pull together ~5 slides for SG to send</t>
  </si>
  <si>
    <t>process CG redlines</t>
  </si>
  <si>
    <t>Export Connections from account</t>
  </si>
  <si>
    <t>create a spreadsheet that shows relative value of each consideration</t>
  </si>
  <si>
    <t>prepare for 2 1hr sessions with solutions candidate</t>
  </si>
  <si>
    <t>find out what velox mag team issues are from luigi</t>
  </si>
  <si>
    <t>Create process for pre-approval and submission</t>
  </si>
  <si>
    <t>prep for next symphony partner meeting</t>
  </si>
  <si>
    <t>Revamp the 'demo' that was done for Steve to show at conference on ipad</t>
  </si>
  <si>
    <t>armando invite</t>
  </si>
  <si>
    <t>AIR Summit invite list</t>
  </si>
  <si>
    <t>put together core messaging</t>
  </si>
  <si>
    <t>04/11/2022</t>
  </si>
  <si>
    <t>06/13/2022</t>
  </si>
  <si>
    <t>prep for 6/14 intro</t>
  </si>
  <si>
    <t>draw a target / bullseye - calcguard one ring out</t>
  </si>
  <si>
    <t>show venn diagram of who we compete with so we can show where relative overlap is</t>
  </si>
  <si>
    <t>send over deck and brochure</t>
  </si>
  <si>
    <t>prep for deepdive</t>
  </si>
  <si>
    <t>start to prepare for next cognizant meeting</t>
  </si>
  <si>
    <t>prep for 050622 deep dive</t>
  </si>
  <si>
    <t>get an update on what aureilien is doing</t>
  </si>
  <si>
    <t>fix bug where dir chooser doesnt launch</t>
  </si>
  <si>
    <t>respond to andys email / draft of press release</t>
  </si>
  <si>
    <t>fill out andy's CRM about deals that can be fronted</t>
  </si>
  <si>
    <t>Complete Valantic session 3 slides for Jason</t>
  </si>
  <si>
    <t>create report showing volume of support questions</t>
  </si>
  <si>
    <t>Prep for Mon 28th session</t>
  </si>
  <si>
    <t>create plan explaining when we are moving to v2</t>
  </si>
  <si>
    <t>get the SLA to them</t>
  </si>
  <si>
    <t>prep for intro to Jon the new CRD Archg</t>
  </si>
  <si>
    <t>prep for jeffereis</t>
  </si>
  <si>
    <t>send report format to jefferies</t>
  </si>
  <si>
    <t>respond after meeting 4/20</t>
  </si>
  <si>
    <t>Prep for meeting with Leadership Team</t>
  </si>
  <si>
    <t>create a presentation that explains the upcoiming POC</t>
  </si>
  <si>
    <t>prep fopr 429 demop</t>
  </si>
  <si>
    <t>review powerBI and CG report prototypes</t>
  </si>
  <si>
    <t>prep for upcoming tech deep dive 4/26</t>
  </si>
  <si>
    <t>Demo Prep</t>
  </si>
  <si>
    <t>Respond to POC email with architecture fit</t>
  </si>
  <si>
    <t>Prep for Symphony</t>
  </si>
  <si>
    <t>Prep for 4/14 presetnatipon</t>
  </si>
  <si>
    <t>Prep for 05112022 JB tech demo</t>
  </si>
  <si>
    <t>review amber docs</t>
  </si>
  <si>
    <t>come up with new commercial proposals for Izzo</t>
  </si>
  <si>
    <t>prep for demo 039</t>
  </si>
  <si>
    <t>Prepare for taking them through POC</t>
  </si>
  <si>
    <t>vivek collateral for Mizuho UK</t>
  </si>
  <si>
    <t>commercial proposal for SIX</t>
  </si>
  <si>
    <t>prep for SIX Engine deepdive</t>
  </si>
  <si>
    <t>prepare for demo to SIX</t>
  </si>
  <si>
    <t>prepare CG legal documents</t>
  </si>
  <si>
    <t>come up with a flow diagram</t>
  </si>
  <si>
    <t>show first line of last post</t>
  </si>
  <si>
    <t>add a subtotal column to show how many values returned</t>
  </si>
  <si>
    <t>make filtering easier with hotkeys</t>
  </si>
  <si>
    <t>pull in tags &amp; priority</t>
  </si>
  <si>
    <t>Overview of applications/ platforms used and for what purpose</t>
  </si>
  <si>
    <t>Also, are we still getting the 20k for the delta neutral calc or is that already included in the ultumus contract?</t>
  </si>
  <si>
    <t>generate email id's</t>
  </si>
  <si>
    <t>add boardname column</t>
  </si>
  <si>
    <t>make viewer sheet gen itself</t>
  </si>
  <si>
    <t>show last update times (not just dates)</t>
  </si>
  <si>
    <t>include list of last updates (posts)</t>
  </si>
  <si>
    <t>legal contracts for Trident</t>
  </si>
  <si>
    <t>check in and find out whats happenign with GHCO liquidity event</t>
  </si>
  <si>
    <t>send andy first pass on solutrions collateral</t>
  </si>
  <si>
    <t>building your own low code capability</t>
  </si>
  <si>
    <t>question from daniel about iTrader</t>
  </si>
  <si>
    <t>get luigi to agree to 1250 per day USD to add calc columns to POC demo</t>
  </si>
  <si>
    <t>Create press release</t>
  </si>
  <si>
    <t>Get CA into velox for next demo</t>
  </si>
  <si>
    <t>Decide which account to use</t>
  </si>
  <si>
    <t>come up with target job profiles for ALi</t>
  </si>
  <si>
    <t>discuss bernie request to use Velox to build Crypto EMS</t>
  </si>
  <si>
    <t>auto generate reports</t>
  </si>
  <si>
    <t>make final changes to proposal and sign</t>
  </si>
  <si>
    <t>ping torstone go about high performance backend</t>
  </si>
  <si>
    <t>Review current sales collateral</t>
  </si>
  <si>
    <t>discuss project</t>
  </si>
  <si>
    <t>send screen shots to cantor</t>
  </si>
  <si>
    <t>proposal</t>
  </si>
  <si>
    <t>updated proposal</t>
  </si>
  <si>
    <t>pre final talking points for 5/20 meeting</t>
  </si>
  <si>
    <t>Send detailed deck on desktop interop vs server interop</t>
  </si>
  <si>
    <t>Clean up capsule report</t>
  </si>
  <si>
    <t>clean up old capsules opps</t>
  </si>
  <si>
    <t>expand product and client type fields for all opps</t>
  </si>
  <si>
    <t>Mizuho renegotiation</t>
  </si>
  <si>
    <t>go back to mike powell with the following</t>
  </si>
  <si>
    <t>Create training programme for valantic</t>
  </si>
  <si>
    <t>weekly meeting to discuss changes</t>
  </si>
  <si>
    <t>complete integration testing and find bugs so TRADS UAT can continue</t>
  </si>
  <si>
    <t>reconfigure Wed meeting to be just strategy/budget</t>
  </si>
  <si>
    <t>Help Joachim position the soltuions busoiness</t>
  </si>
  <si>
    <t>get to CRD about scope of velox and paying for rest of POC</t>
  </si>
  <si>
    <t>reach out to gerald about needing more confidence or money</t>
  </si>
  <si>
    <t>Jeffires Equities next steps?</t>
  </si>
  <si>
    <t>setup a run through of latest 0.3 release</t>
  </si>
  <si>
    <t>get web dev advice for luigi</t>
  </si>
  <si>
    <t>respond to popup email</t>
  </si>
  <si>
    <t>joachim Resumes</t>
  </si>
  <si>
    <t>ping mike with feedback on last nights call and see if he is OK with me joining calls</t>
  </si>
  <si>
    <t>come up with an estimate for how much work remains to finish all the must haves</t>
  </si>
  <si>
    <t>Reinstate weekly change meeting with Ultumus</t>
  </si>
  <si>
    <t>Give Giles info he needs on SalesTraderrGo for BNY</t>
  </si>
  <si>
    <t>Send Joachim resumes</t>
  </si>
  <si>
    <t>reconnect the russell emails into capsule</t>
  </si>
  <si>
    <t>Merge FIMD with STW</t>
  </si>
  <si>
    <t>Action to follow up with Valantic on how Year 1 will appear on invoice (See email)</t>
  </si>
  <si>
    <t>Give Pete a summary doc for ING</t>
  </si>
  <si>
    <t>Send pitch decks to Dan Berryman</t>
  </si>
  <si>
    <t>PoC - add weekly review points with JB to process</t>
  </si>
  <si>
    <t>Figure out which items on the ironhide Monday board have been implemented</t>
  </si>
  <si>
    <t>Crux</t>
  </si>
  <si>
    <t>ping colm / OSL to remind him</t>
  </si>
  <si>
    <t>New valantic risk</t>
  </si>
  <si>
    <t>Re-paper Mizuho at some point as we're using the Ultumus data contract, not a software contracts</t>
  </si>
  <si>
    <t>do a review ofvalantic UI artifacts</t>
  </si>
  <si>
    <t>Create a PoC standard template</t>
  </si>
  <si>
    <t>complete sentence by script for Jefferies</t>
  </si>
  <si>
    <t>Neupdate ironhide to include the workspace manager</t>
  </si>
  <si>
    <t>take joachim and exe and markus through how velox will accelerate more</t>
  </si>
  <si>
    <t>learn how to do REPO demo for Rapid</t>
  </si>
  <si>
    <t>get bonds and irs demo started</t>
  </si>
  <si>
    <t>get d2c tech code review on Monday ahead of steercio</t>
  </si>
  <si>
    <t>future view for valantic desktop</t>
  </si>
  <si>
    <t>Intro Joachim to the Forefront</t>
  </si>
  <si>
    <t>Analysis of Capsule data</t>
  </si>
  <si>
    <t>Plan for valantic JV</t>
  </si>
  <si>
    <t>finish up joachim notes on getting into the detail</t>
  </si>
  <si>
    <t>Begin planning for solutions business</t>
  </si>
  <si>
    <t>valantic strategy</t>
  </si>
  <si>
    <t>Get question to Joachim that we can send to BMO CIO</t>
  </si>
  <si>
    <t>Give Joachim feedback on solutions deck</t>
  </si>
  <si>
    <t>Organize phase 2 demo for Stifel</t>
  </si>
  <si>
    <t>Get Reena feedback on Sales Trader GO deck</t>
  </si>
  <si>
    <t>caseis prep keep Pete in the loop</t>
  </si>
  <si>
    <t>Get cost estimet back to Stifel</t>
  </si>
  <si>
    <t>Prepare for Grant Thornton</t>
  </si>
  <si>
    <t>add Steve to the fidelity meeting</t>
  </si>
  <si>
    <t>Work with Pete on Sales Trader GO strategu</t>
  </si>
  <si>
    <t>Follow up on Crux meeting - listen to recording and pick out minutes / actions</t>
  </si>
  <si>
    <t>Explore providers of Technical Sales training</t>
  </si>
  <si>
    <t>Work with RB to identify 15 target clients for Barclays use cas</t>
  </si>
  <si>
    <t>Upgrade capsule reports to update automatically and give better stats</t>
  </si>
  <si>
    <t>create valantic versions of the velox tech decks</t>
  </si>
  <si>
    <t>Create consolidated target list velox &amp; Valantic</t>
  </si>
  <si>
    <t>interactive investpr commercial proposal</t>
  </si>
  <si>
    <t>Purestream scaling</t>
  </si>
  <si>
    <t>Stifel requirements feedback</t>
  </si>
  <si>
    <t>Email Joachim with risks that i am not raising at SteerCo</t>
  </si>
  <si>
    <t>prep for Create / Redeem demos coming up with Ultumus</t>
  </si>
  <si>
    <t>Confirm cost of new Endava structure for Joachim</t>
  </si>
  <si>
    <t>send minutes and next agenda for SteerCo 6/2/21</t>
  </si>
  <si>
    <t>Get back to Joachim</t>
  </si>
  <si>
    <t>Talk to Gary about Phase 2</t>
  </si>
  <si>
    <t>andy to daily</t>
  </si>
  <si>
    <t>Go through IRS and Bonds demo for BBVA with Pete</t>
  </si>
  <si>
    <t>Discuss Sales Trader GO with Andy and Pete</t>
  </si>
  <si>
    <t>Send Solutions Business definition to SG &amp; AH</t>
  </si>
  <si>
    <t>work on requirements for CR system</t>
  </si>
  <si>
    <t>Write up our suggested training process for valantic and why</t>
  </si>
  <si>
    <t>review bernie / ULTUMUS CreateReedeem proposal</t>
  </si>
  <si>
    <t>Send new schedules to Janet (10 &amp; 11) and chase Seganiti</t>
  </si>
  <si>
    <t>get etf changes working with ultumus</t>
  </si>
  <si>
    <t>get andy details of valantic velox term sheet and solutions business</t>
  </si>
  <si>
    <t>next demo mockup for valantic</t>
  </si>
  <si>
    <t>fix petes social media post</t>
  </si>
  <si>
    <t>co ord with Pete selling velox</t>
  </si>
  <si>
    <t>Prep for upcoming valantic velox tech deep dives</t>
  </si>
  <si>
    <t>fx demo's for andy</t>
  </si>
  <si>
    <t>valantic velox D2C estimates</t>
  </si>
  <si>
    <t>agree ultumus mizuho billing with bernie</t>
  </si>
  <si>
    <t>Meet Claudia and discuss marketing approach for 2022</t>
  </si>
  <si>
    <t>russell get leads into CapsuleCRM</t>
  </si>
  <si>
    <t>Sales Training - reduce suppliers down to 2 or 3 for call with SG</t>
  </si>
  <si>
    <t>Prep Fidelity meeting - 13 Sep</t>
  </si>
  <si>
    <t>COnfirm if real opportunity with BMLL</t>
  </si>
  <si>
    <t>Update master sales docs</t>
  </si>
  <si>
    <t>send out  the valantic documentation guide</t>
  </si>
  <si>
    <t>andy support costs</t>
  </si>
  <si>
    <t>Arrange meeting for vel-val joint sales process</t>
  </si>
  <si>
    <t>get all videos onto the shared drive</t>
  </si>
  <si>
    <t>Schedule NUMIS</t>
  </si>
  <si>
    <t>technical diagram for Motti</t>
  </si>
  <si>
    <t>crd response on vue.js and xz</t>
  </si>
  <si>
    <t>Create job spec for sales person</t>
  </si>
  <si>
    <t>Finborne intergration USe Case</t>
  </si>
  <si>
    <t>andy complex examples of UI</t>
  </si>
  <si>
    <t>andy talk about data nexus as another reason for velox</t>
  </si>
  <si>
    <t>andy and consulting delta vs/400</t>
  </si>
  <si>
    <t>interactive investors send across eval agreement</t>
  </si>
  <si>
    <t>release new ULTUMUS version</t>
  </si>
  <si>
    <t>Script for Luigi on  how to best sell velox workspaces</t>
  </si>
  <si>
    <t>bill valantic for jasons work on POC</t>
  </si>
  <si>
    <t>pete  and RFP</t>
  </si>
  <si>
    <t>review Joachim document</t>
  </si>
  <si>
    <t>Finalise the 'private escrow' for valantic</t>
  </si>
  <si>
    <t>talk to jason about developers for valantric</t>
  </si>
  <si>
    <t>ansgar velox tech deck</t>
  </si>
  <si>
    <t>Create Bio and get Picture taken</t>
  </si>
  <si>
    <t>Establish formal weekly sales review and pipeline report</t>
  </si>
  <si>
    <t>Write up input requirements and process for Fidelity PoC</t>
  </si>
  <si>
    <t>prep for jefferies</t>
  </si>
  <si>
    <t>Combined client.prospect list - velox-valantic</t>
  </si>
  <si>
    <t>talk to joachim about me/ansgar driving overall strategy - tech CIO standin</t>
  </si>
  <si>
    <t>need to get out of endava 48 days</t>
  </si>
  <si>
    <t>andy and FX use case</t>
  </si>
  <si>
    <t>Overview deck for Traydstream and Concord</t>
  </si>
  <si>
    <t>give estimated velox support costs to andy</t>
  </si>
  <si>
    <t>reconnect with Hannibal at IEXCloud</t>
  </si>
  <si>
    <t>low code demo</t>
  </si>
  <si>
    <t>upload all new LinkedIn contacts to Capsule</t>
  </si>
  <si>
    <t>Add Advisors contact list to Capsule, for Top 20 initially</t>
  </si>
  <si>
    <t>Use case for Retail</t>
  </si>
  <si>
    <t>share ultumus slide with andy / joachim without the logos</t>
  </si>
  <si>
    <t>agree commercials with andy</t>
  </si>
  <si>
    <t>reach out to Eric Rosenbloom at UBS about potential features</t>
  </si>
  <si>
    <t>Prep for CS meeting</t>
  </si>
  <si>
    <t>Clean up Capsule so that revenue projections are accurate</t>
  </si>
  <si>
    <t>Send Steve a snapshot of the pipeline after the sales meeting</t>
  </si>
  <si>
    <t>Alison &amp; Steve to finalise elevator pitch doc</t>
  </si>
  <si>
    <t>Ask Shokubai to update the valantic pitch deck</t>
  </si>
  <si>
    <t>make the POC work for SIGMA</t>
  </si>
  <si>
    <t>Invite MArcus</t>
  </si>
  <si>
    <t>get back to mizuho in Japan</t>
  </si>
  <si>
    <t>Confirm how Endava account for holidays</t>
  </si>
  <si>
    <t>Spec out Sales Trader dashboard</t>
  </si>
  <si>
    <t>Review valantic term sheet</t>
  </si>
  <si>
    <t>give andy an overview of how to think about product strategy / UI</t>
  </si>
  <si>
    <t>Create weekly excel file from Capsule and export to Alison</t>
  </si>
  <si>
    <t>Send Grant Thornton slides from meeting</t>
  </si>
  <si>
    <t>build mockup multi asset STW screen out of SDP screenshots</t>
  </si>
  <si>
    <t>reset valantic daily check-in series</t>
  </si>
  <si>
    <t>Follow up with Giles re demo for HSBC and RBC</t>
  </si>
  <si>
    <t>Feedback from the Fido presentation</t>
  </si>
  <si>
    <t>Explain ULTUMUS to Alison</t>
  </si>
  <si>
    <t>discuss with Exe about how to interface with Endava</t>
  </si>
  <si>
    <t>joachim article</t>
  </si>
  <si>
    <t>BMO scale</t>
  </si>
  <si>
    <t>Raptor (in Stifel)</t>
  </si>
  <si>
    <t>Beacon</t>
  </si>
  <si>
    <t>3Forge</t>
  </si>
  <si>
    <t>Hazelcast</t>
  </si>
  <si>
    <t>Materialize</t>
  </si>
  <si>
    <t>Unqork</t>
  </si>
  <si>
    <t>Review Andy deck sent covering latest valantic agreement</t>
  </si>
  <si>
    <t>magdeburgh presso and govinf</t>
  </si>
  <si>
    <t>Create process for prepping client meetings</t>
  </si>
  <si>
    <t>Rapid</t>
  </si>
  <si>
    <t>new FI mgmt dashboard for Luigi</t>
  </si>
  <si>
    <t>Respond to Joachim on the Endava issue</t>
  </si>
  <si>
    <t>TRADS_FX_ASIA</t>
  </si>
  <si>
    <t>VALANTIC_BUILDFASTER</t>
  </si>
  <si>
    <t>HSBC_GROB</t>
  </si>
  <si>
    <t>give Grob the total interop pitch</t>
  </si>
  <si>
    <t>send out meeting minutes for Grob HSBC call</t>
  </si>
  <si>
    <t>prep for head of eq tech Nordea 8/24</t>
  </si>
  <si>
    <t>prep for week on Aug 26th trip to Chicago</t>
  </si>
  <si>
    <t>give giles info about BMLL</t>
  </si>
  <si>
    <t>find out from giles about BMO opportunity</t>
  </si>
  <si>
    <t>ping barclays/steffen/ankur to find out why gone quiet</t>
  </si>
  <si>
    <t>Mckinsey article on measuring dev productivity</t>
  </si>
  <si>
    <t>Driving efficiency with tools</t>
  </si>
  <si>
    <t>Streamlining invoices/payments</t>
  </si>
  <si>
    <t>way to dump illustrator to images</t>
  </si>
  <si>
    <t>use case doc generated saved to pitch deck use-cases</t>
  </si>
  <si>
    <t>make sure velox invoices are set up correctly at SIX</t>
  </si>
  <si>
    <t>prep for Allianz board member</t>
  </si>
  <si>
    <t>Retail &amp; Single Names</t>
  </si>
  <si>
    <t>give mike a adobe account so can use illustrator etc</t>
  </si>
  <si>
    <t>Cleared Derivatives Use Case #2</t>
  </si>
  <si>
    <t>Create budget for Lined In Boosting</t>
  </si>
  <si>
    <t>Exchange Use Case #1</t>
  </si>
  <si>
    <t>Exchange Use Case #2</t>
  </si>
  <si>
    <t>Cash Equity Leaders Use Case #1</t>
  </si>
  <si>
    <t>Cash Equity Leaders Use Case #2</t>
  </si>
  <si>
    <t>COSMOS Use Case #2</t>
  </si>
  <si>
    <t>Cleared Derivatives Use Case #1</t>
  </si>
  <si>
    <t>investigate professional associations of interest</t>
  </si>
  <si>
    <t>stack rank</t>
  </si>
  <si>
    <t>MarketsMedia</t>
  </si>
  <si>
    <t>Agree incremental changes</t>
  </si>
  <si>
    <t>Agree contractor/resourcing/timeframes</t>
  </si>
  <si>
    <t>Agree content/assets for each phase of sales cycle</t>
  </si>
  <si>
    <t>5054031372</t>
  </si>
  <si>
    <t>5091624766</t>
  </si>
  <si>
    <t>5087044992</t>
  </si>
  <si>
    <t>5084778121</t>
  </si>
  <si>
    <t>5084573127</t>
  </si>
  <si>
    <t>5079081846</t>
  </si>
  <si>
    <t>5077164731</t>
  </si>
  <si>
    <t>5072161044</t>
  </si>
  <si>
    <t>5064700254</t>
  </si>
  <si>
    <t>5064700125</t>
  </si>
  <si>
    <t>5063539780</t>
  </si>
  <si>
    <t>5058478694</t>
  </si>
  <si>
    <t>5055325057</t>
  </si>
  <si>
    <t>5055325319</t>
  </si>
  <si>
    <t>5055326248</t>
  </si>
  <si>
    <t>5054051998</t>
  </si>
  <si>
    <t>5054052027</t>
  </si>
  <si>
    <t>5049065043</t>
  </si>
  <si>
    <t>5020852440</t>
  </si>
  <si>
    <t>5045503837</t>
  </si>
  <si>
    <t>5043856126</t>
  </si>
  <si>
    <t>5041234016</t>
  </si>
  <si>
    <t>5041216449</t>
  </si>
  <si>
    <t>5040626094</t>
  </si>
  <si>
    <t>5039790538</t>
  </si>
  <si>
    <t>5040185006</t>
  </si>
  <si>
    <t>5039964140</t>
  </si>
  <si>
    <t>5039966553</t>
  </si>
  <si>
    <t>5039956635</t>
  </si>
  <si>
    <t>5020852490</t>
  </si>
  <si>
    <t>5028500322</t>
  </si>
  <si>
    <t>5017866912</t>
  </si>
  <si>
    <t>5016876615</t>
  </si>
  <si>
    <t>5016875384</t>
  </si>
  <si>
    <t>5016871459</t>
  </si>
  <si>
    <t>5016871080</t>
  </si>
  <si>
    <t>5016861469</t>
  </si>
  <si>
    <t>5016776702</t>
  </si>
  <si>
    <t>5016754932</t>
  </si>
  <si>
    <t>5012800426</t>
  </si>
  <si>
    <t>4909439311</t>
  </si>
  <si>
    <t>4912674093</t>
  </si>
  <si>
    <t>4909420719</t>
  </si>
  <si>
    <t>4972516368</t>
  </si>
  <si>
    <t>4909439203</t>
  </si>
  <si>
    <t>4909441462</t>
  </si>
  <si>
    <t>4909442883</t>
  </si>
  <si>
    <t>4909446639</t>
  </si>
  <si>
    <t>4909408828</t>
  </si>
  <si>
    <t>4912693639</t>
  </si>
  <si>
    <t>4912606429</t>
  </si>
  <si>
    <t>4912393199</t>
  </si>
  <si>
    <t>4912373887</t>
  </si>
  <si>
    <t>4909414425</t>
  </si>
  <si>
    <t>4912345129</t>
  </si>
  <si>
    <t>4909879986</t>
  </si>
  <si>
    <t>4909881699</t>
  </si>
  <si>
    <t>4909531121</t>
  </si>
  <si>
    <t>4909533924</t>
  </si>
  <si>
    <t>4909540856</t>
  </si>
  <si>
    <t>4909542040</t>
  </si>
  <si>
    <t>4909543629</t>
  </si>
  <si>
    <t>4909545812</t>
  </si>
  <si>
    <t>4909340672</t>
  </si>
  <si>
    <t>4909340661</t>
  </si>
  <si>
    <t>4909474838</t>
  </si>
  <si>
    <t>4909446723</t>
  </si>
  <si>
    <t>4909446757</t>
  </si>
  <si>
    <t>4909446798</t>
  </si>
  <si>
    <t>4909439361</t>
  </si>
  <si>
    <t>4909439393</t>
  </si>
  <si>
    <t>4909441550</t>
  </si>
  <si>
    <t>4909441584</t>
  </si>
  <si>
    <t>4909441603</t>
  </si>
  <si>
    <t>4909443179</t>
  </si>
  <si>
    <t>4909443227</t>
  </si>
  <si>
    <t>4909443261</t>
  </si>
  <si>
    <t>4909420776</t>
  </si>
  <si>
    <t>4909420823</t>
  </si>
  <si>
    <t>4909420861</t>
  </si>
  <si>
    <t>4909408907</t>
  </si>
  <si>
    <t>4909408976</t>
  </si>
  <si>
    <t>4909409040</t>
  </si>
  <si>
    <t>4909414576</t>
  </si>
  <si>
    <t>4909414620</t>
  </si>
  <si>
    <t>4909414648</t>
  </si>
  <si>
    <t>4909397271</t>
  </si>
  <si>
    <t>4909398058</t>
  </si>
  <si>
    <t>4909394434</t>
  </si>
  <si>
    <t>cube design for banners</t>
  </si>
  <si>
    <t>leverage ATeam linked in comms</t>
  </si>
  <si>
    <t>create loader so can auto load 4k records every 1 hour</t>
  </si>
  <si>
    <t>Train Mo on how to use the demo</t>
  </si>
  <si>
    <t>Prep for Terry session no. 2</t>
  </si>
  <si>
    <t>create a new file on the webserver that is the concat of all the board files</t>
  </si>
  <si>
    <t>ability to select monday tasks</t>
  </si>
  <si>
    <t>reduce number of columns</t>
  </si>
  <si>
    <t>specify video, deck for artefacts</t>
  </si>
  <si>
    <t>speeding up the monday viewer</t>
  </si>
  <si>
    <t>interop x velox explainer</t>
  </si>
  <si>
    <t>give Add Item the ability to add Tags</t>
  </si>
  <si>
    <t>create a spreadsheet viewer that can just get anythign updated in 10 days</t>
  </si>
  <si>
    <t>get draft of deck and demo to Steve</t>
  </si>
  <si>
    <t>prep for 8/22 CIO</t>
  </si>
  <si>
    <t>Create a spec for a Flow Monitor demo</t>
  </si>
  <si>
    <t>foo dee doo</t>
  </si>
  <si>
    <t>Invoice for PoC</t>
  </si>
  <si>
    <t>Slides</t>
  </si>
  <si>
    <t>Topic: Credit/rates CLOB and RFQ system</t>
  </si>
  <si>
    <t>Topic: Consolidate post-trade platforms/data</t>
  </si>
  <si>
    <t>Topic: Build full-stack OMS</t>
  </si>
  <si>
    <t>Topic: Consolidate and leverage data from multiple legacy systems (STFL)</t>
  </si>
  <si>
    <t>Topic: Lightweight performant trading GUI</t>
  </si>
  <si>
    <t>Topic: Data consolidation to build TCA and perf reporting</t>
  </si>
  <si>
    <t>Agree topics</t>
  </si>
  <si>
    <t>Schedule meetings - JB/T Flan</t>
  </si>
  <si>
    <t>Draft Review</t>
  </si>
  <si>
    <t>Publish</t>
  </si>
  <si>
    <t>Socialize</t>
  </si>
  <si>
    <t>One-Pager</t>
  </si>
  <si>
    <t>Video</t>
  </si>
  <si>
    <t>YES</t>
  </si>
  <si>
    <t>DATA URL</t>
  </si>
  <si>
    <t>https://www.veloxfintech.com/datafiles</t>
  </si>
  <si>
    <t>Board Name</t>
  </si>
  <si>
    <t>Board ID</t>
  </si>
  <si>
    <t>Group ID</t>
  </si>
  <si>
    <t>Item ID</t>
  </si>
  <si>
    <t>New Item Name</t>
  </si>
  <si>
    <t>New Sub Item Name</t>
  </si>
  <si>
    <t>New Item Update</t>
  </si>
  <si>
    <t>This is an update</t>
  </si>
  <si>
    <t>this is a sub itewm</t>
  </si>
  <si>
    <t>SELECT</t>
  </si>
  <si>
    <t>SELECT_ONE</t>
  </si>
  <si>
    <t>Jon Butler</t>
  </si>
  <si>
    <t>Sales People</t>
  </si>
  <si>
    <t>onboard elias</t>
  </si>
  <si>
    <t>5095280112</t>
  </si>
  <si>
    <t>5095280126</t>
  </si>
  <si>
    <t>5095244215</t>
  </si>
  <si>
    <t>5095244142</t>
  </si>
  <si>
    <t>use the elias job description as template going forwards</t>
  </si>
  <si>
    <t>send him docs to get up to speed</t>
  </si>
  <si>
    <t>C:\Users\burtn\Deploy</t>
  </si>
  <si>
    <t>thought leadership</t>
  </si>
  <si>
    <t>Press</t>
  </si>
  <si>
    <t>Staff</t>
  </si>
  <si>
    <t>Agree NDA</t>
  </si>
  <si>
    <t>TestItem1</t>
  </si>
  <si>
    <t>Markets Media</t>
  </si>
  <si>
    <t>Create a vCore sales playbook2</t>
  </si>
  <si>
    <t>AN update</t>
  </si>
  <si>
    <t>CMC Markets</t>
  </si>
  <si>
    <t>GreySpark</t>
  </si>
  <si>
    <t>posting the FIX event interview</t>
  </si>
  <si>
    <t>prep for Market Axes</t>
  </si>
  <si>
    <t>use case aggregation</t>
  </si>
  <si>
    <t>BP/COSMOS PR</t>
  </si>
  <si>
    <t>Salary Reconciliation</t>
  </si>
  <si>
    <t>announcing BNP golive</t>
  </si>
  <si>
    <t>ATeam 2024 Buy and Build Briefings</t>
  </si>
  <si>
    <t>FIX Paris</t>
  </si>
  <si>
    <t>Lessons Learned from Ibanking</t>
  </si>
  <si>
    <t>prep for pseudo tech deep-dive with TSIMAGINE</t>
  </si>
  <si>
    <t>Contract for Jonathan in Canada</t>
  </si>
  <si>
    <t>Create November 2023 pack</t>
  </si>
  <si>
    <t>front office of the future post</t>
  </si>
  <si>
    <t>why do legacy systems...become legacy systems</t>
  </si>
  <si>
    <t>landing page for cash eq campaign</t>
  </si>
  <si>
    <t>Cleared Derivs Campaign</t>
  </si>
  <si>
    <t>Give Nancy access to the inventory of postings</t>
  </si>
  <si>
    <t>Ateam Review</t>
  </si>
  <si>
    <t>Update from FIX event in Oct 23 NY</t>
  </si>
  <si>
    <t>Supply &amp; Demand repost</t>
  </si>
  <si>
    <t>halloween post</t>
  </si>
  <si>
    <t>demo to schonfeld</t>
  </si>
  <si>
    <t>demo to ULTUMUS team Index Rebal</t>
  </si>
  <si>
    <t>putting together an agenda for the TT deep dive followup session</t>
  </si>
  <si>
    <t>Chief Data Officer Campaign</t>
  </si>
  <si>
    <t>Catchall for MW / Nikolai / Fi work</t>
  </si>
  <si>
    <t>followups from meeting 3</t>
  </si>
  <si>
    <t>Mo cash eq campaign</t>
  </si>
  <si>
    <t>Schonfeld Strategic</t>
  </si>
  <si>
    <t>Rainmaker</t>
  </si>
  <si>
    <t>prep for WF meeting in person</t>
  </si>
  <si>
    <t>prep for santander meeting 3 - demo</t>
  </si>
  <si>
    <t>Modernize to next gen</t>
  </si>
  <si>
    <t>put together a deck for CRUX</t>
  </si>
  <si>
    <t>POC- Standard Menu</t>
  </si>
  <si>
    <t>Document Operating Processes</t>
  </si>
  <si>
    <t>vendors of the future</t>
  </si>
  <si>
    <t>identify strategy w/elias for Cosmos</t>
  </si>
  <si>
    <t>write a script to put a tag in a notes field to show this contact needs a newsletter</t>
  </si>
  <si>
    <t>prep for SG presso on Fidessa</t>
  </si>
  <si>
    <t>ETFS Monthly  Update</t>
  </si>
  <si>
    <t>Comp Intel - create and centralize</t>
  </si>
  <si>
    <t>Prep for OPCO velox presentation</t>
  </si>
  <si>
    <t>JB to update brad cooke on whats happening re: hiring sales people</t>
  </si>
  <si>
    <t>where do vendors go next ?</t>
  </si>
  <si>
    <t>prep for app server deep dive</t>
  </si>
  <si>
    <t>what would it take to make the state engine faster ?</t>
  </si>
  <si>
    <t>build sheet to add new records from excel</t>
  </si>
  <si>
    <t>GreySpark - content &amp; engagement</t>
  </si>
  <si>
    <t>using vCore to replace Fidessa</t>
  </si>
  <si>
    <t>create a excel script to compose a distribution list for email post chasers</t>
  </si>
  <si>
    <t>vendors at a crossroads ?</t>
  </si>
  <si>
    <t>what have vendors been doing wrong ?</t>
  </si>
  <si>
    <t>So what have vendors been doing right ?</t>
  </si>
  <si>
    <t>So many applications so little integration</t>
  </si>
  <si>
    <t>More auto makers becoming tech firsm</t>
  </si>
  <si>
    <t>Still dipping toes in dig Tran</t>
  </si>
  <si>
    <t>Tech debt rising</t>
  </si>
  <si>
    <t>80pc of execs say their orgs tech needs not met</t>
  </si>
  <si>
    <t>The data decision gap</t>
  </si>
  <si>
    <t>How to avoid high-risk  low-success system rebuilds</t>
  </si>
  <si>
    <t>Focusing on Big-data is looking through the wrong end of the Telescope</t>
  </si>
  <si>
    <t>Evolving role of the tech vendor</t>
  </si>
  <si>
    <t>Minecraft PC</t>
  </si>
  <si>
    <t>Software License Agreement</t>
  </si>
  <si>
    <t>LoE for HG build</t>
  </si>
  <si>
    <t>desktop manager for excel apps</t>
  </si>
  <si>
    <t>use the Ateam event prep to create a post on UI/UX?</t>
  </si>
  <si>
    <t>prep for 1st convo with armando on renewal</t>
  </si>
  <si>
    <t>prep for 2nd convo with armando - compromised offer</t>
  </si>
  <si>
    <t>HSBC</t>
  </si>
  <si>
    <t>generate lessons learnt from nordic</t>
  </si>
  <si>
    <t>File the EMI annual status update to HMRC</t>
  </si>
  <si>
    <t>prep for nordic capital 091523 2nd meeting</t>
  </si>
  <si>
    <t>docs for grob showing how RA and Velox hang together</t>
  </si>
  <si>
    <t>Misc.</t>
  </si>
  <si>
    <t>how to use illustrator, photoshop, Mid Journey</t>
  </si>
  <si>
    <t>Add ATeam event leads to capsule</t>
  </si>
  <si>
    <t>Giles - Intro to Wells Fargo</t>
  </si>
  <si>
    <t>Prep for final pitch to Elad/Bharat</t>
  </si>
  <si>
    <t>prep for newday - meeting 1</t>
  </si>
  <si>
    <t>commercial discussion with bharat / elad</t>
  </si>
  <si>
    <t>see if we can postpone q4 payment for valantic</t>
  </si>
  <si>
    <t>job description email for elias</t>
  </si>
  <si>
    <t>check nothing was deleted by accident during capsule clean up (i.e. credit agricole)</t>
  </si>
  <si>
    <t>updates Notes to show that person meta has been updated</t>
  </si>
  <si>
    <t>create a script to create pickles of entity indexes so we can dump out queries outputfiles as well as all data</t>
  </si>
  <si>
    <t>Create some document search tools</t>
  </si>
  <si>
    <t>5765091616</t>
  </si>
  <si>
    <t>5678612071</t>
  </si>
  <si>
    <t>5693722329</t>
  </si>
  <si>
    <t>5376000493</t>
  </si>
  <si>
    <t>5611221478</t>
  </si>
  <si>
    <t>5678610506</t>
  </si>
  <si>
    <t>5675175640</t>
  </si>
  <si>
    <t>5638037165</t>
  </si>
  <si>
    <t>5638022985</t>
  </si>
  <si>
    <t>5636963782</t>
  </si>
  <si>
    <t>5618157900</t>
  </si>
  <si>
    <t>5601757361</t>
  </si>
  <si>
    <t>5601382064</t>
  </si>
  <si>
    <t>5394174597</t>
  </si>
  <si>
    <t>5574316308</t>
  </si>
  <si>
    <t>5555537543</t>
  </si>
  <si>
    <t>5554781725</t>
  </si>
  <si>
    <t>5432206892</t>
  </si>
  <si>
    <t>5499685773</t>
  </si>
  <si>
    <t>5444063454</t>
  </si>
  <si>
    <t>5476881913</t>
  </si>
  <si>
    <t>5164943989</t>
  </si>
  <si>
    <t>5462827608</t>
  </si>
  <si>
    <t>5276920373</t>
  </si>
  <si>
    <t>5379547175</t>
  </si>
  <si>
    <t>5395268021</t>
  </si>
  <si>
    <t>5429598691</t>
  </si>
  <si>
    <t>5433857637</t>
  </si>
  <si>
    <t>5419165606</t>
  </si>
  <si>
    <t>5409868786</t>
  </si>
  <si>
    <t>5225586697</t>
  </si>
  <si>
    <t>5390844619</t>
  </si>
  <si>
    <t>5389383749</t>
  </si>
  <si>
    <t>5240675246</t>
  </si>
  <si>
    <t>5242573371</t>
  </si>
  <si>
    <t>5242574629</t>
  </si>
  <si>
    <t>5378664276</t>
  </si>
  <si>
    <t>5346723062</t>
  </si>
  <si>
    <t>5342379889</t>
  </si>
  <si>
    <t>5336833911</t>
  </si>
  <si>
    <t>5327811410</t>
  </si>
  <si>
    <t>5325483320</t>
  </si>
  <si>
    <t>5323725423</t>
  </si>
  <si>
    <t>5316325168</t>
  </si>
  <si>
    <t>5309777960</t>
  </si>
  <si>
    <t>5309775745</t>
  </si>
  <si>
    <t>5309773184</t>
  </si>
  <si>
    <t>5309758868</t>
  </si>
  <si>
    <t>5309750249</t>
  </si>
  <si>
    <t>5299092267</t>
  </si>
  <si>
    <t>5275379659</t>
  </si>
  <si>
    <t>5270856244</t>
  </si>
  <si>
    <t>5270815844</t>
  </si>
  <si>
    <t>5262866793</t>
  </si>
  <si>
    <t>5254369142</t>
  </si>
  <si>
    <t>5254367855</t>
  </si>
  <si>
    <t>5252323664</t>
  </si>
  <si>
    <t>5242069600</t>
  </si>
  <si>
    <t>5228324053</t>
  </si>
  <si>
    <t>5225628226</t>
  </si>
  <si>
    <t>5221922378</t>
  </si>
  <si>
    <t>5221912338</t>
  </si>
  <si>
    <t>5221903987</t>
  </si>
  <si>
    <t>5218482503</t>
  </si>
  <si>
    <t>5216774083</t>
  </si>
  <si>
    <t>5215889252</t>
  </si>
  <si>
    <t>5212383224</t>
  </si>
  <si>
    <t>5161007425</t>
  </si>
  <si>
    <t>5188622755</t>
  </si>
  <si>
    <t>5169928833</t>
  </si>
  <si>
    <t>5169673120</t>
  </si>
  <si>
    <t>5168627977</t>
  </si>
  <si>
    <t>5168339962</t>
  </si>
  <si>
    <t>5154615020</t>
  </si>
  <si>
    <t>5164685091</t>
  </si>
  <si>
    <t>5164445151</t>
  </si>
  <si>
    <t>5162090102</t>
  </si>
  <si>
    <t>5133764437</t>
  </si>
  <si>
    <t>5128250394</t>
  </si>
  <si>
    <t>5114126782</t>
  </si>
  <si>
    <t>5114114950</t>
  </si>
  <si>
    <t>5107442908</t>
  </si>
  <si>
    <t>5097936068</t>
  </si>
  <si>
    <t>5097924212</t>
  </si>
  <si>
    <t>5096834760</t>
  </si>
  <si>
    <t>5096570038</t>
  </si>
  <si>
    <t>5765095809</t>
  </si>
  <si>
    <t>5765099466</t>
  </si>
  <si>
    <t>5765212573</t>
  </si>
  <si>
    <t>5678611328</t>
  </si>
  <si>
    <t>5678613750</t>
  </si>
  <si>
    <t>5678610856</t>
  </si>
  <si>
    <t>5678611679</t>
  </si>
  <si>
    <t>5376009583</t>
  </si>
  <si>
    <t>5268202769</t>
  </si>
  <si>
    <t>5394176946</t>
  </si>
  <si>
    <t>5394177571</t>
  </si>
  <si>
    <t>5240679196</t>
  </si>
  <si>
    <t>5155021362</t>
  </si>
  <si>
    <t>5155022589</t>
  </si>
  <si>
    <t>5155023418</t>
  </si>
  <si>
    <t>5314555353</t>
  </si>
  <si>
    <t>5377890215</t>
  </si>
  <si>
    <t>5240681818</t>
  </si>
  <si>
    <t>5376007190</t>
  </si>
  <si>
    <t>5376009095</t>
  </si>
  <si>
    <t>5164371681</t>
  </si>
  <si>
    <t>5309744203</t>
  </si>
  <si>
    <t>5309735406</t>
  </si>
  <si>
    <t>5309733613</t>
  </si>
  <si>
    <t>5309731345</t>
  </si>
  <si>
    <t>5309728915</t>
  </si>
  <si>
    <t>5305115714</t>
  </si>
  <si>
    <t>5275382697</t>
  </si>
  <si>
    <t>5275385803</t>
  </si>
  <si>
    <t>5273140985</t>
  </si>
  <si>
    <t>5273137938</t>
  </si>
  <si>
    <t>5216467108</t>
  </si>
  <si>
    <t>5216468032</t>
  </si>
  <si>
    <t>5252468875</t>
  </si>
  <si>
    <t>5268176967</t>
  </si>
  <si>
    <t>5165011168</t>
  </si>
  <si>
    <t>5225589418</t>
  </si>
  <si>
    <t>5165040294</t>
  </si>
  <si>
    <t>5225591769</t>
  </si>
  <si>
    <t>5227585082</t>
  </si>
  <si>
    <t>5216531167</t>
  </si>
  <si>
    <t>5225590559</t>
  </si>
  <si>
    <t>5165011486</t>
  </si>
  <si>
    <t>5216539858</t>
  </si>
  <si>
    <t>5216544607</t>
  </si>
  <si>
    <t>5196073095</t>
  </si>
  <si>
    <t>5216533474</t>
  </si>
  <si>
    <t>5164367519</t>
  </si>
  <si>
    <t>5171893542</t>
  </si>
  <si>
    <t>5167600950</t>
  </si>
  <si>
    <t>5166006669</t>
  </si>
  <si>
    <t>5165012268</t>
  </si>
  <si>
    <t>5165003295</t>
  </si>
  <si>
    <t>5165005782</t>
  </si>
  <si>
    <t>5165007434</t>
  </si>
  <si>
    <t>5164962687</t>
  </si>
  <si>
    <t>5164370166</t>
  </si>
  <si>
    <t>5164372247</t>
  </si>
  <si>
    <t>5164364191</t>
  </si>
  <si>
    <t>5164365867</t>
  </si>
  <si>
    <t>5155020945</t>
  </si>
  <si>
    <t>5148553777</t>
  </si>
  <si>
    <t>5133634913</t>
  </si>
  <si>
    <t>5114098300</t>
  </si>
  <si>
    <t>5108495181</t>
  </si>
  <si>
    <t>TestSubItem1</t>
  </si>
  <si>
    <t>TestSubItem2</t>
  </si>
  <si>
    <t>TestSubItem3</t>
  </si>
  <si>
    <t>article 1</t>
  </si>
  <si>
    <t>ETF C/R arrticle</t>
  </si>
  <si>
    <t>contract</t>
  </si>
  <si>
    <t>article 2</t>
  </si>
  <si>
    <t>LP</t>
  </si>
  <si>
    <t>followups - chicago meetings</t>
  </si>
  <si>
    <t>Mo email copy</t>
  </si>
  <si>
    <t>Mo social tile</t>
  </si>
  <si>
    <t>Buyer's guide top 10 - the cube</t>
  </si>
  <si>
    <t>JB speaker pass</t>
  </si>
  <si>
    <t>MW delegate pass</t>
  </si>
  <si>
    <t>JB prep</t>
  </si>
  <si>
    <t>JB slide deck for quickfire preso</t>
  </si>
  <si>
    <t>LI Post recap</t>
  </si>
  <si>
    <t>email 1</t>
  </si>
  <si>
    <t>email 2</t>
  </si>
  <si>
    <t>email 3</t>
  </si>
  <si>
    <t>register MW member pass</t>
  </si>
  <si>
    <t>give Jim a paragraph describing how to identify a velox oppo</t>
  </si>
  <si>
    <t>automate the migration of new articles to the webpage</t>
  </si>
  <si>
    <t>automate the creation of a newsletter</t>
  </si>
  <si>
    <t>clean up newsletter again and make ready for use</t>
  </si>
  <si>
    <t>create an example folder and artefacts so mike can follow</t>
  </si>
  <si>
    <t>JB on Fintech Focus TV</t>
  </si>
  <si>
    <t>Venn overview (from existing deck)</t>
  </si>
  <si>
    <t>specific battlecards</t>
  </si>
  <si>
    <t>get dev environment up and running</t>
  </si>
  <si>
    <t>refresh on newsletter make sure ready for use</t>
  </si>
  <si>
    <t>cleared derivs  on microsite</t>
  </si>
  <si>
    <t>QR cards</t>
  </si>
  <si>
    <t>HG TT Ladder demo</t>
  </si>
  <si>
    <t>recap</t>
  </si>
  <si>
    <t>Email sequence 1 content (harness data)</t>
  </si>
  <si>
    <t>email content</t>
  </si>
  <si>
    <t>create template</t>
  </si>
  <si>
    <t>target list</t>
  </si>
  <si>
    <t>followups - schoenfeld/rainmaker</t>
  </si>
  <si>
    <t>contacts in capsule</t>
  </si>
  <si>
    <t>sequence in ample</t>
  </si>
  <si>
    <t>email sequence 2 content (kickstart innovation)</t>
  </si>
  <si>
    <t>postevent LI</t>
  </si>
  <si>
    <t>pdf artefacts and QR flyer</t>
  </si>
  <si>
    <t>postevent blog</t>
  </si>
  <si>
    <t>Two pager for attendees - upload to docs site and QR</t>
  </si>
  <si>
    <t>Book meetings</t>
  </si>
  <si>
    <t>review core value prop</t>
  </si>
  <si>
    <t>integrating with interop.io for a desktop interop demo</t>
  </si>
  <si>
    <t>setting up the CA Demo for bernie</t>
  </si>
  <si>
    <t>email sequence 3 content (build trading systems)</t>
  </si>
  <si>
    <t>Enhance pitch deck</t>
  </si>
  <si>
    <t>FF Case study (hypothetical)</t>
  </si>
  <si>
    <t>Broker/Dealer case study</t>
  </si>
  <si>
    <t>Demographic stats</t>
  </si>
  <si>
    <t>Register JB speaker pass</t>
  </si>
  <si>
    <t>JB panel prep</t>
  </si>
  <si>
    <t>registration</t>
  </si>
  <si>
    <t>travel</t>
  </si>
  <si>
    <t>JB headshot and bio to organizers</t>
  </si>
  <si>
    <t>Prepare Schedule B</t>
  </si>
  <si>
    <t>tablecloth</t>
  </si>
  <si>
    <t>JB talking points on buy to build</t>
  </si>
  <si>
    <t>Draft paperwork</t>
  </si>
  <si>
    <t>Cosmos Project Plan</t>
  </si>
  <si>
    <t>Tasks</t>
  </si>
  <si>
    <t>new_group29179</t>
  </si>
  <si>
    <t>Housekeeping</t>
  </si>
  <si>
    <t>new_group16043</t>
  </si>
  <si>
    <t>Not signed yet</t>
  </si>
  <si>
    <t>new_group43041</t>
  </si>
  <si>
    <t>Project Overview</t>
  </si>
  <si>
    <t>New Form</t>
  </si>
  <si>
    <t>Incoming responses</t>
  </si>
  <si>
    <t>new_group73185</t>
  </si>
  <si>
    <t>new_group14937</t>
  </si>
  <si>
    <t>new_group62250</t>
  </si>
  <si>
    <t>new_group43625</t>
  </si>
  <si>
    <t>new_group62342</t>
  </si>
  <si>
    <t>new_group90299</t>
  </si>
  <si>
    <t>new_group61510</t>
  </si>
  <si>
    <t>Cleared Derivatives</t>
  </si>
  <si>
    <t>new_group72037</t>
  </si>
  <si>
    <t>new_group29253</t>
  </si>
  <si>
    <t>fia-expo</t>
  </si>
  <si>
    <t>clearedderivatives</t>
  </si>
  <si>
    <t>purestream</t>
  </si>
  <si>
    <t>six</t>
  </si>
  <si>
    <t>allianz_velox</t>
  </si>
  <si>
    <t>Xiaolu Ye</t>
  </si>
  <si>
    <t>Greg</t>
  </si>
  <si>
    <t>Shridhar</t>
  </si>
  <si>
    <t>Elias Diamantis</t>
  </si>
  <si>
    <t>Mike Wilkins</t>
  </si>
  <si>
    <t>Mohamed ARKATE</t>
  </si>
  <si>
    <t>Juarez Neto</t>
  </si>
  <si>
    <t>Govind Jajoo</t>
  </si>
  <si>
    <t>Christian Schuler</t>
  </si>
  <si>
    <t>Jason Yan</t>
  </si>
  <si>
    <t>Alison Hood</t>
  </si>
  <si>
    <t>Archive</t>
  </si>
  <si>
    <t>Stuck</t>
  </si>
  <si>
    <t>Added Sub Item ID</t>
  </si>
  <si>
    <t>Foobar</t>
  </si>
  <si>
    <t>New Item Folder</t>
  </si>
  <si>
    <t>New Item URL</t>
  </si>
  <si>
    <t>Added Item ID</t>
  </si>
  <si>
    <t>New Item Tag</t>
  </si>
  <si>
    <t>New Item Owner</t>
  </si>
  <si>
    <t>New Item Status</t>
  </si>
  <si>
    <t>Field</t>
  </si>
  <si>
    <t>Value</t>
  </si>
  <si>
    <t>Status</t>
  </si>
  <si>
    <t>actions__additem</t>
  </si>
  <si>
    <t>refreshdata__users</t>
  </si>
  <si>
    <t>refreshdata__groups</t>
  </si>
  <si>
    <t>refreshdata__tags</t>
  </si>
  <si>
    <t>refreshdata__items</t>
  </si>
  <si>
    <t>refreshdata__mvreport</t>
  </si>
  <si>
    <t>config__checkinchanges</t>
  </si>
  <si>
    <t>config__dataurl</t>
  </si>
  <si>
    <t>ribbonpointer</t>
  </si>
  <si>
    <t>rs:200</t>
  </si>
  <si>
    <t>sirs:200</t>
  </si>
  <si>
    <t>New Sub Item Status</t>
  </si>
  <si>
    <t>New Sub Item Update</t>
  </si>
  <si>
    <t>New Sub Item Owner</t>
  </si>
  <si>
    <t>New Item Tag [2]</t>
  </si>
  <si>
    <t>New Sub Item Tag</t>
  </si>
  <si>
    <t>New Sub Item Tag [2]</t>
  </si>
  <si>
    <t>monday_viewer_20240102_JonButler</t>
  </si>
  <si>
    <t>Ultumus COSMOS</t>
  </si>
  <si>
    <t>Issue paperwork to Yuchen and Shridhar</t>
  </si>
  <si>
    <t>Nancy Catch up</t>
  </si>
  <si>
    <t>Catch up with Chris</t>
  </si>
  <si>
    <t>Foo</t>
  </si>
  <si>
    <t>Payroll report &amp; bank statements for Canada</t>
  </si>
  <si>
    <t>Elias contract finalised</t>
  </si>
  <si>
    <t>Finalise Contract</t>
  </si>
  <si>
    <t>Update cap table</t>
  </si>
  <si>
    <t>Share split &amp; new share class</t>
  </si>
  <si>
    <t>Update Pitchbook data</t>
  </si>
  <si>
    <t>R&amp;D ta credits for 2023</t>
  </si>
  <si>
    <t>Quickbooks for Canada</t>
  </si>
  <si>
    <t>Set up Shridhar's company</t>
  </si>
  <si>
    <t>5765608089</t>
  </si>
  <si>
    <t>5768369043</t>
  </si>
  <si>
    <t>5767435042</t>
  </si>
  <si>
    <t>5767428094</t>
  </si>
  <si>
    <t>5765833187</t>
  </si>
  <si>
    <t>5765603664</t>
  </si>
  <si>
    <t>5765622358</t>
  </si>
  <si>
    <t>5765617656</t>
  </si>
  <si>
    <t>5765615890</t>
  </si>
  <si>
    <t>5765613785</t>
  </si>
  <si>
    <t>5765609817</t>
  </si>
  <si>
    <t>5765597001</t>
  </si>
  <si>
    <t>5765602086</t>
  </si>
  <si>
    <t>5765599753</t>
  </si>
  <si>
    <t>5768852946</t>
  </si>
  <si>
    <t>5768407847</t>
  </si>
  <si>
    <t>5768403244</t>
  </si>
  <si>
    <t>5765833230</t>
  </si>
  <si>
    <t>5765608490</t>
  </si>
  <si>
    <t>5765607046</t>
  </si>
  <si>
    <t>5765605482</t>
  </si>
  <si>
    <t>5765605711</t>
  </si>
  <si>
    <t>Invoice for NBC</t>
  </si>
  <si>
    <t>new item</t>
  </si>
  <si>
    <t>Track agreed enhancements with Janet</t>
  </si>
  <si>
    <t>Add 2023 total income to report</t>
  </si>
  <si>
    <t>List R&amp;D Projects</t>
  </si>
  <si>
    <t>Finalise contractor pay</t>
  </si>
  <si>
    <t>rt:{"data":{"create_update":{"id":"2638706672"}},"account_id":6690985}</t>
  </si>
  <si>
    <t>sirt:{"data":{"change_multiple_column_values":{"id":"5769576102"}},"account_id":6690985}</t>
  </si>
  <si>
    <t>TestItem2</t>
  </si>
  <si>
    <t>TestItem3</t>
  </si>
  <si>
    <t>5765208405</t>
  </si>
  <si>
    <t>5765208584</t>
  </si>
  <si>
    <t>5769108188</t>
  </si>
  <si>
    <t>Calculate Strike price</t>
  </si>
  <si>
    <t>ITEM_GROUP_NAMES:1591</t>
  </si>
  <si>
    <t>ITEM_NAMES:1591</t>
  </si>
  <si>
    <t>ITEM_ITEMIDS:1591</t>
  </si>
  <si>
    <t>SUBITEM_ITEMNAMES:1138</t>
  </si>
  <si>
    <t>SUBITEM_SUBITEMIDS:1138</t>
  </si>
  <si>
    <t>SUBITEM_SUBITEMNAMES:1138</t>
  </si>
  <si>
    <t>C:\Users\burtn\Deploy\monday_viewer_20240102_JonButler.xlsm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</si>
</sst>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6CC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31345C"/>
      <name val="Calibri"/>
      <family val="2"/>
      <scheme val="minor"/>
    </font>
    <font>
      <sz val="11"/>
      <color rgb="FF63ADE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3F3F3F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3ADEC"/>
        <bgColor indexed="64"/>
      </patternFill>
    </fill>
    <fill>
      <patternFill patternType="solid">
        <fgColor rgb="FF22233D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/>
      <bottom style="thin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2" borderId="1" applyNumberFormat="0" applyAlignment="0" applyProtection="0"/>
    <xf numFmtId="0" fontId="14" fillId="10" borderId="6" applyNumberFormat="0" applyAlignment="0" applyProtection="0"/>
  </cellStyleXfs>
  <cellXfs count="50">
    <xf numFmtId="0" fontId="0" fillId="0" borderId="0" xfId="0"/>
    <xf numFmtId="0" fontId="1" fillId="0" borderId="0" xfId="1"/>
    <xf numFmtId="14" fontId="0" fillId="0" borderId="0" xfId="0" applyNumberFormat="1"/>
    <xf numFmtId="0" fontId="2" fillId="0" borderId="0" xfId="0" applyFont="1"/>
    <xf numFmtId="2" fontId="2" fillId="0" borderId="0" xfId="0" applyNumberFormat="1" applyFon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0" fontId="5" fillId="3" borderId="2" xfId="0" applyFont="1" applyFill="1" applyBorder="1"/>
    <xf numFmtId="0" fontId="0" fillId="0" borderId="2" xfId="0" applyBorder="1"/>
    <xf numFmtId="0" fontId="5" fillId="3" borderId="2" xfId="0" applyFont="1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3" borderId="0" xfId="0" applyFill="1"/>
    <xf numFmtId="0" fontId="8" fillId="4" borderId="4" xfId="0" applyFont="1" applyFill="1" applyBorder="1"/>
    <xf numFmtId="49" fontId="8" fillId="4" borderId="4" xfId="0" applyNumberFormat="1" applyFont="1" applyFill="1" applyBorder="1"/>
    <xf numFmtId="0" fontId="9" fillId="0" borderId="0" xfId="0" applyFont="1"/>
    <xf numFmtId="0" fontId="0" fillId="0" borderId="0" xfId="0" quotePrefix="1"/>
    <xf numFmtId="49" fontId="8" fillId="4" borderId="5" xfId="0" applyNumberFormat="1" applyFont="1" applyFill="1" applyBorder="1"/>
    <xf numFmtId="0" fontId="0" fillId="0" borderId="4" xfId="0" applyBorder="1"/>
    <xf numFmtId="0" fontId="8" fillId="4" borderId="0" xfId="0" applyFont="1" applyFill="1"/>
    <xf numFmtId="49" fontId="8" fillId="4" borderId="0" xfId="0" applyNumberFormat="1" applyFont="1" applyFill="1"/>
    <xf numFmtId="0" fontId="0" fillId="5" borderId="0" xfId="0" applyFill="1"/>
    <xf numFmtId="0" fontId="0" fillId="6" borderId="0" xfId="0" applyFill="1"/>
    <xf numFmtId="0" fontId="10" fillId="7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0" fillId="0" borderId="0" xfId="0" applyFont="1"/>
    <xf numFmtId="0" fontId="13" fillId="9" borderId="0" xfId="0" applyFont="1" applyFill="1" applyAlignment="1">
      <alignment vertical="center"/>
    </xf>
    <xf numFmtId="0" fontId="5" fillId="0" borderId="0" xfId="0" applyFont="1" applyAlignment="1">
      <alignment wrapText="1"/>
    </xf>
    <xf numFmtId="0" fontId="5" fillId="3" borderId="3" xfId="0" applyFont="1" applyFill="1" applyBorder="1"/>
    <xf numFmtId="0" fontId="7" fillId="0" borderId="0" xfId="0" applyFont="1"/>
    <xf numFmtId="0" fontId="5" fillId="0" borderId="0" xfId="0" applyFont="1"/>
    <xf numFmtId="0" fontId="6" fillId="0" borderId="0" xfId="0" applyFont="1"/>
    <xf numFmtId="0" fontId="4" fillId="0" borderId="0" xfId="2" applyFont="1" applyFill="1" applyBorder="1"/>
    <xf numFmtId="0" fontId="12" fillId="8" borderId="7" xfId="0" applyFont="1" applyFill="1" applyBorder="1" applyAlignment="1">
      <alignment vertical="center"/>
    </xf>
    <xf numFmtId="0" fontId="12" fillId="8" borderId="8" xfId="0" applyFont="1" applyFill="1" applyBorder="1" applyAlignment="1">
      <alignment vertical="center"/>
    </xf>
    <xf numFmtId="0" fontId="12" fillId="8" borderId="9" xfId="0" applyFont="1" applyFill="1" applyBorder="1" applyAlignment="1">
      <alignment vertical="center"/>
    </xf>
    <xf numFmtId="0" fontId="3" fillId="2" borderId="1" xfId="2" applyAlignment="1">
      <alignment horizontal="left" vertical="center" wrapText="1"/>
    </xf>
    <xf numFmtId="0" fontId="15" fillId="10" borderId="6" xfId="3" applyFont="1" applyAlignment="1">
      <alignment horizontal="right" vertical="center" wrapText="1"/>
    </xf>
    <xf numFmtId="0" fontId="1" fillId="10" borderId="6" xfId="1" applyFill="1" applyBorder="1" applyAlignment="1">
      <alignment horizontal="right" vertical="center" wrapText="1"/>
    </xf>
    <xf numFmtId="0" fontId="16" fillId="8" borderId="8" xfId="0" applyFont="1" applyFill="1" applyBorder="1" applyAlignment="1">
      <alignment vertical="center"/>
    </xf>
    <xf numFmtId="0" fontId="0" fillId="0" borderId="5" xfId="0" applyBorder="1"/>
  </cellXfs>
  <cellStyles count="4">
    <cellStyle name="Hyperlink" xfId="1" builtinId="8"/>
    <cellStyle name="Input" xfId="2" builtinId="20"/>
    <cellStyle name="Normal" xfId="0" builtinId="0"/>
    <cellStyle name="Output" xfId="3" builtinId="21"/>
  </cellStyles>
  <dxfs count="2">
    <dxf>
      <fill>
        <patternFill>
          <bgColor rgb="FFFF5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FFDC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</xdr:row>
          <xdr:rowOff>160020</xdr:rowOff>
        </xdr:from>
        <xdr:to>
          <xdr:col>32</xdr:col>
          <xdr:colOff>464820</xdr:colOff>
          <xdr:row>6</xdr:row>
          <xdr:rowOff>15240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11</xdr:row>
          <xdr:rowOff>45720</xdr:rowOff>
        </xdr:from>
        <xdr:to>
          <xdr:col>17</xdr:col>
          <xdr:colOff>502920</xdr:colOff>
          <xdr:row>15</xdr:row>
          <xdr:rowOff>30480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ExportAll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n Butler" id="{F40023FD-D685-4E45-A9A6-6EDC7243AB83}" userId="Jon Butler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2-06-20T10:18:09.24" personId="{F40023FD-D685-4E45-A9A6-6EDC7243AB83}" id="{3BFF0474-7E58-4010-8412-CD2C94888678}">
    <text>also will use whatever font color and borders are used</text>
  </threadedComment>
  <threadedComment ref="F1" dT="2022-06-20T10:18:37.50" personId="{F40023FD-D685-4E45-A9A6-6EDC7243AB83}" id="{D470466E-416F-4CBB-88BA-C0565888151B}">
    <text>@ is a string, -1 is just use the default</text>
  </threadedComment>
  <threadedComment ref="H1" dT="2022-06-20T10:17:45.28" personId="{F40023FD-D685-4E45-A9A6-6EDC7243AB83}" id="{5DFEB50C-0BEC-4690-95D0-4507635AF32E}">
    <text>format of the header</text>
  </threadedComment>
  <threadedComment ref="I1" dT="2022-06-20T10:19:00.94" personId="{F40023FD-D685-4E45-A9A6-6EDC7243AB83}" id="{E96137DA-FF13-4643-8597-257B18EE3DDC}">
    <text>if not -1 will use this as default value in every cell</text>
  </threadedComment>
  <threadedComment ref="N1" dT="2022-06-20T10:19:37.29" personId="{F40023FD-D685-4E45-A9A6-6EDC7243AB83}" id="{B928A03A-FBE2-49F1-A48F-7CF12AA36FEE}">
    <text>the name you want to use for the board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3E5A8-B251-44A4-A44D-88D5EF8E7BC2}">
  <sheetPr codeName="Sheet7"/>
  <dimension ref="A1:Y88"/>
  <sheetViews>
    <sheetView topLeftCell="A4" zoomScale="130" zoomScaleNormal="130" workbookViewId="0">
      <selection activeCell="G9" sqref="G9"/>
    </sheetView>
  </sheetViews>
  <sheetFormatPr defaultRowHeight="14.4" outlineLevelCol="1" x14ac:dyDescent="0.3"/>
  <cols>
    <col min="1" max="1" width="12.21875" bestFit="1" customWidth="1"/>
    <col min="2" max="2" width="30.109375" customWidth="1"/>
    <col min="3" max="3" width="56" style="29" customWidth="1"/>
    <col min="4" max="8" width="12.21875" customWidth="1"/>
    <col min="9" max="9" width="17.88671875" customWidth="1" outlineLevel="1"/>
    <col min="10" max="10" width="18.21875" customWidth="1" outlineLevel="1"/>
    <col min="11" max="16" width="2.6640625" customWidth="1" outlineLevel="1"/>
    <col min="17" max="17" width="17.88671875" customWidth="1" outlineLevel="1"/>
    <col min="18" max="18" width="18.21875" customWidth="1" outlineLevel="1"/>
    <col min="19" max="19" width="2.109375" customWidth="1" outlineLevel="1"/>
    <col min="20" max="20" width="17.88671875" customWidth="1" outlineLevel="1"/>
    <col min="21" max="21" width="20.5546875" customWidth="1" outlineLevel="1"/>
    <col min="22" max="22" width="11.33203125" customWidth="1" outlineLevel="1"/>
    <col min="23" max="23" width="17.88671875" customWidth="1" outlineLevel="1"/>
    <col min="24" max="24" width="16.109375" customWidth="1" outlineLevel="1"/>
    <col min="25" max="25" width="8.77734375" customWidth="1" outlineLevel="1"/>
  </cols>
  <sheetData>
    <row r="1" spans="1:24" x14ac:dyDescent="0.3">
      <c r="A1" s="25"/>
      <c r="C1" s="28"/>
      <c r="D1" s="16"/>
      <c r="E1" s="16"/>
      <c r="F1" s="16"/>
      <c r="G1" s="16"/>
      <c r="H1" s="16"/>
      <c r="R1" s="17"/>
      <c r="W1" s="17"/>
    </row>
    <row r="2" spans="1:24" x14ac:dyDescent="0.3">
      <c r="A2" s="35" t="s">
        <v>5703</v>
      </c>
      <c r="B2" s="35" t="s">
        <v>5701</v>
      </c>
      <c r="C2" s="35" t="s">
        <v>5702</v>
      </c>
      <c r="F2" s="16"/>
      <c r="G2" s="16"/>
      <c r="H2" s="16"/>
    </row>
    <row r="3" spans="1:24" x14ac:dyDescent="0.3">
      <c r="B3" s="42" t="s">
        <v>1697</v>
      </c>
      <c r="C3" s="45" t="s">
        <v>5317</v>
      </c>
      <c r="G3" s="34"/>
      <c r="H3" s="16"/>
      <c r="I3" s="24" t="s">
        <v>1</v>
      </c>
      <c r="J3" s="24" t="s">
        <v>60</v>
      </c>
      <c r="Q3" s="24" t="s">
        <v>60</v>
      </c>
      <c r="R3" s="24" t="s">
        <v>62</v>
      </c>
      <c r="T3" s="24" t="s">
        <v>62</v>
      </c>
      <c r="U3" s="24" t="s">
        <v>111</v>
      </c>
      <c r="V3" s="24" t="s">
        <v>214</v>
      </c>
      <c r="W3" s="24" t="s">
        <v>61</v>
      </c>
      <c r="X3" s="24" t="s">
        <v>60</v>
      </c>
    </row>
    <row r="4" spans="1:24" x14ac:dyDescent="0.3">
      <c r="A4" s="33" t="str" cm="1">
        <f t="array" ref="A4">INDEX(BOARD_NAMES,MATCH(ADDITEM_BOARD_NAME,BOARD_NAMES,0))</f>
        <v>Test 2</v>
      </c>
      <c r="B4" s="43" t="s">
        <v>5320</v>
      </c>
      <c r="C4" s="45" t="s">
        <v>1379</v>
      </c>
      <c r="F4" s="16"/>
      <c r="H4" s="16"/>
      <c r="I4" s="22" t="s">
        <v>1379</v>
      </c>
      <c r="J4" t="s">
        <v>5330</v>
      </c>
      <c r="Q4" s="22" t="s">
        <v>28</v>
      </c>
      <c r="R4" s="23" t="s">
        <v>122</v>
      </c>
      <c r="T4" s="22" t="s">
        <v>122</v>
      </c>
      <c r="U4" s="23" t="s">
        <v>216</v>
      </c>
      <c r="V4" s="23"/>
      <c r="W4" t="s">
        <v>5330</v>
      </c>
      <c r="X4" s="24" t="s">
        <v>5329</v>
      </c>
    </row>
    <row r="5" spans="1:24" x14ac:dyDescent="0.3">
      <c r="A5" s="31" t="str" cm="1">
        <f t="array" ref="A5">INDEX(GROUP_IDS,MATCH(NEWITEM_GROUP_ID,GROUP_IDS,0))</f>
        <v>topics</v>
      </c>
      <c r="B5" s="43" t="str">
        <f>"Group Name ("&amp;COUNTA(SELECT_GROUP_NAMES)&amp;")"</f>
        <v>Group Name (1)</v>
      </c>
      <c r="C5" s="45" t="s">
        <v>28</v>
      </c>
      <c r="F5" s="16" t="s">
        <v>1695</v>
      </c>
      <c r="H5" s="16"/>
      <c r="I5" s="22"/>
      <c r="J5" s="23" t="str" cm="1">
        <f t="array" ref="J5">_xlfn._xlws.FILTER(GROUP_NAMES,BOARD_NAMES=I4,"")</f>
        <v>Group Title</v>
      </c>
      <c r="Q5" s="22"/>
      <c r="R5" s="23" t="str" cm="1">
        <f t="array" ref="R5:R7">_xlfn._xlws.SORT(_xlfn._xlws.FILTER(ITEM_NAMES,ITEM_GROUP_NAMES=Q4,""))</f>
        <v>TestItem1</v>
      </c>
      <c r="T5" s="22"/>
      <c r="U5" s="23" t="str" cm="1">
        <f t="array" ref="U5">_xlfn._xlws.SORT(_xlfn._xlws.FILTER(SUBITEM_SUBITEMNAMES,SUBITEM_ITEMNAMES=T4,""))</f>
        <v/>
      </c>
      <c r="V5" s="23" t="str" cm="1">
        <f t="array" ref="V5">_xlfn._xlws.SORT(_xlfn._xlws.FILTER(SUBITEM_SUBITEMIDS,SUBITEM_ITEMNAMES=T4,""))</f>
        <v/>
      </c>
      <c r="W5" s="22" t="str" cm="1">
        <f t="array" ref="W5:W18">_xlfn.UNIQUE(BOARD_NAMES)</f>
        <v>Cosmos Project Plan</v>
      </c>
      <c r="X5" s="23" t="str" cm="1">
        <f t="array" ref="X5:X88">_xlfn.UNIQUE(GROUP_NAMES)</f>
        <v>Tasks</v>
      </c>
    </row>
    <row r="6" spans="1:24" x14ac:dyDescent="0.3">
      <c r="A6" s="31"/>
      <c r="B6" s="43" t="s">
        <v>5321</v>
      </c>
      <c r="C6" s="45">
        <f>IF(ISERROR(INDEX(BOARD_IDS,MATCH(C4,BOARD_NAMES,0))),"",INDEX(BOARD_IDS,MATCH(C4,BOARD_NAMES,0)))</f>
        <v>4977328922</v>
      </c>
      <c r="F6" s="16" t="s">
        <v>1695</v>
      </c>
      <c r="H6" s="16"/>
      <c r="I6" s="22"/>
      <c r="J6" s="23"/>
      <c r="Q6" s="22"/>
      <c r="R6" s="23" t="str">
        <v>TestItem2</v>
      </c>
      <c r="T6" s="22"/>
      <c r="U6" s="23"/>
      <c r="V6" s="23"/>
      <c r="W6" s="22" t="str">
        <v>Project Overview</v>
      </c>
      <c r="X6" s="23" t="str">
        <v>Housekeeping</v>
      </c>
    </row>
    <row r="7" spans="1:24" x14ac:dyDescent="0.3">
      <c r="B7" s="43" t="s">
        <v>5322</v>
      </c>
      <c r="C7" s="46" t="str">
        <f>IF(ISERROR(INDEX(GROUP_IDS,MATCH(C5,GROUP_NAMES,0))),"",INDEX(GROUP_IDS,MATCH(C5,GROUP_NAMES,0)))</f>
        <v>topics</v>
      </c>
      <c r="F7" s="16" t="s">
        <v>1695</v>
      </c>
      <c r="H7" s="16"/>
      <c r="I7" s="22"/>
      <c r="J7" s="23"/>
      <c r="Q7" s="22"/>
      <c r="R7" s="23" t="str">
        <v>TestItem3</v>
      </c>
      <c r="T7" s="22"/>
      <c r="U7" s="23"/>
      <c r="V7" s="23"/>
      <c r="W7" s="22" t="str">
        <v>New Form</v>
      </c>
      <c r="X7" s="23" t="str">
        <v>Not signed yet</v>
      </c>
    </row>
    <row r="8" spans="1:24" x14ac:dyDescent="0.3">
      <c r="A8" s="31" t="e" cm="1">
        <f t="array" ref="A8">IF(COUNTIF(SELECT_ITEM_NAMES,"?*")&gt;0,INDEX(ITEM_NAMES,MATCH(ADD_ITEM_ITEM_NAMES,ITEM_NAMES,0)))</f>
        <v>#N/A</v>
      </c>
      <c r="B8" s="43" t="str">
        <f>"Item Name ("&amp;COUNTIF(SELECT_ITEM_NAMES,"?*")&amp;")"</f>
        <v>Item Name (3)</v>
      </c>
      <c r="C8" s="45" t="s">
        <v>122</v>
      </c>
      <c r="F8" s="16" t="s">
        <v>1695</v>
      </c>
      <c r="H8" s="16"/>
      <c r="I8" s="22"/>
      <c r="J8" s="23"/>
      <c r="Q8" s="22"/>
      <c r="R8" s="23"/>
      <c r="T8" s="22"/>
      <c r="U8" s="23"/>
      <c r="V8" s="23"/>
      <c r="W8" s="22" t="str">
        <v>Test 2</v>
      </c>
      <c r="X8" s="23" t="str">
        <v>Group Title</v>
      </c>
    </row>
    <row r="9" spans="1:24" x14ac:dyDescent="0.3">
      <c r="A9" s="31"/>
      <c r="B9" s="43" t="s">
        <v>5323</v>
      </c>
      <c r="C9" s="46" t="str">
        <f>IF(ISERROR(INDEX(ITEM_ITEMIDS,MATCH(C8,ITEM_NAMES,0))),"",INDEX(ITEM_ITEMIDS,MATCH(C8,ITEM_NAMES,0)))</f>
        <v/>
      </c>
      <c r="F9" s="16" t="s">
        <v>1695</v>
      </c>
      <c r="H9" s="16"/>
      <c r="I9" s="22"/>
      <c r="J9" s="23"/>
      <c r="Q9" s="22"/>
      <c r="R9" s="23"/>
      <c r="T9" s="22"/>
      <c r="U9" s="23"/>
      <c r="V9" s="23"/>
      <c r="W9" s="22" t="str">
        <v>Curating Messaging/Collateral</v>
      </c>
      <c r="X9" s="23" t="str">
        <v>Incoming responses</v>
      </c>
    </row>
    <row r="10" spans="1:24" x14ac:dyDescent="0.3">
      <c r="A10" s="31"/>
      <c r="B10" s="43" t="s">
        <v>5324</v>
      </c>
      <c r="C10" s="45" t="s">
        <v>5694</v>
      </c>
      <c r="F10" s="16" t="s">
        <v>1695</v>
      </c>
      <c r="H10" s="16"/>
      <c r="I10" s="22"/>
      <c r="J10" s="23"/>
      <c r="Q10" s="22"/>
      <c r="R10" s="23"/>
      <c r="T10" s="22"/>
      <c r="U10" s="23"/>
      <c r="V10" s="23"/>
      <c r="W10" s="22" t="str">
        <v>Servicing Existing Prospects</v>
      </c>
      <c r="X10" s="23" t="str">
        <v>thought leadership</v>
      </c>
    </row>
    <row r="11" spans="1:24" x14ac:dyDescent="0.3">
      <c r="A11" s="32"/>
      <c r="B11" s="48" t="str">
        <f>"Sub Item Name ("&amp;COUNTA(SELECT_SUBITEM_NAMES)&amp;")"</f>
        <v>Sub Item Name (1)</v>
      </c>
      <c r="C11" s="45"/>
      <c r="F11" s="16" t="s">
        <v>1695</v>
      </c>
      <c r="H11" s="16"/>
      <c r="I11" s="22"/>
      <c r="J11" s="23"/>
      <c r="Q11" s="22"/>
      <c r="R11" s="23"/>
      <c r="T11" s="22"/>
      <c r="U11" s="23"/>
      <c r="V11" s="23"/>
      <c r="W11" s="22" t="str">
        <v>Managing Clients/Partners</v>
      </c>
      <c r="X11" s="23" t="str">
        <v>Demos</v>
      </c>
    </row>
    <row r="12" spans="1:24" x14ac:dyDescent="0.3">
      <c r="A12" s="31"/>
      <c r="B12" s="48" t="s">
        <v>5325</v>
      </c>
      <c r="C12" s="45" t="s">
        <v>5328</v>
      </c>
      <c r="F12" s="16" t="s">
        <v>1695</v>
      </c>
      <c r="H12" s="16"/>
      <c r="I12" s="22"/>
      <c r="J12" s="23"/>
      <c r="Q12" s="22"/>
      <c r="R12" s="23"/>
      <c r="T12" s="22"/>
      <c r="U12" s="23"/>
      <c r="V12" s="23"/>
      <c r="W12" s="22" t="str">
        <v>Marketing Objectives and Key Results</v>
      </c>
      <c r="X12" s="23" t="str">
        <v>Curating Content for Posting</v>
      </c>
    </row>
    <row r="13" spans="1:24" x14ac:dyDescent="0.3">
      <c r="A13" s="31"/>
      <c r="B13" s="43" t="s">
        <v>5326</v>
      </c>
      <c r="C13" s="45" t="s">
        <v>5327</v>
      </c>
      <c r="F13" s="16" t="s">
        <v>1695</v>
      </c>
      <c r="H13" s="16"/>
      <c r="I13" s="22"/>
      <c r="J13" s="23"/>
      <c r="Q13" s="22"/>
      <c r="R13" s="23"/>
      <c r="T13" s="22"/>
      <c r="U13" s="23"/>
      <c r="V13" s="23"/>
      <c r="W13" s="22" t="str">
        <v>Management</v>
      </c>
      <c r="X13" s="23" t="str">
        <v>Messaging</v>
      </c>
    </row>
    <row r="14" spans="1:24" x14ac:dyDescent="0.3">
      <c r="A14" s="31"/>
      <c r="B14" s="48" t="s">
        <v>5716</v>
      </c>
      <c r="C14" s="45" t="s">
        <v>223</v>
      </c>
      <c r="F14" s="16" t="s">
        <v>1695</v>
      </c>
      <c r="H14" s="16"/>
      <c r="I14" s="22"/>
      <c r="J14" s="23"/>
      <c r="Q14" s="22"/>
      <c r="R14" s="23"/>
      <c r="T14" s="22"/>
      <c r="U14" s="23"/>
      <c r="V14" s="23"/>
      <c r="W14" s="22" t="str">
        <v>My Items</v>
      </c>
      <c r="X14" s="23" t="str">
        <v>Managing Website</v>
      </c>
    </row>
    <row r="15" spans="1:24" x14ac:dyDescent="0.3">
      <c r="A15" s="31" t="str" cm="1">
        <f t="array" ref="A15">INDEX(STATUS_LABELS,MATCH(NEWITEM_STATUS,STATUS_LABELS,0))</f>
        <v>Working</v>
      </c>
      <c r="B15" s="43" t="s">
        <v>5700</v>
      </c>
      <c r="C15" s="45" t="s">
        <v>222</v>
      </c>
      <c r="F15" s="16" t="s">
        <v>1695</v>
      </c>
      <c r="H15" s="16"/>
      <c r="I15" s="22"/>
      <c r="J15" s="23"/>
      <c r="Q15" s="22"/>
      <c r="R15" s="23"/>
      <c r="T15" s="22"/>
      <c r="U15" s="23"/>
      <c r="V15" s="23"/>
      <c r="W15" s="22" t="str">
        <v>Marketing</v>
      </c>
      <c r="X15" s="23" t="str">
        <v>Building General Collateral</v>
      </c>
    </row>
    <row r="16" spans="1:24" x14ac:dyDescent="0.3">
      <c r="A16" s="31" t="e">
        <f>INDEX(STATUS_LABELS,MATCH(NEWSUBITEM_STATUS,STATUS_LABELS,0))</f>
        <v>#N/A</v>
      </c>
      <c r="B16" s="48" t="s">
        <v>5715</v>
      </c>
      <c r="C16" s="45"/>
      <c r="F16" s="16" t="s">
        <v>1695</v>
      </c>
      <c r="H16" s="16"/>
      <c r="I16" s="22"/>
      <c r="J16" s="23"/>
      <c r="Q16" s="22"/>
      <c r="R16" s="23"/>
      <c r="T16" s="22"/>
      <c r="U16" s="23"/>
      <c r="V16" s="23"/>
      <c r="W16" s="22" t="str">
        <v>Generating Leads/Prospects</v>
      </c>
      <c r="X16" s="23" t="str">
        <v>Building Pitch Decks</v>
      </c>
    </row>
    <row r="17" spans="1:24" x14ac:dyDescent="0.3">
      <c r="A17" s="31" cm="1">
        <f t="array" ref="A17">INDEX(USERS_ID,MATCH(NEWITEM_OWNER,USERS_NAMES,0))</f>
        <v>15163107</v>
      </c>
      <c r="B17" s="43" t="s">
        <v>5699</v>
      </c>
      <c r="C17" s="45" t="s">
        <v>5331</v>
      </c>
      <c r="F17" s="16" t="s">
        <v>1695</v>
      </c>
      <c r="H17" s="16"/>
      <c r="I17" s="22"/>
      <c r="J17" s="23"/>
      <c r="Q17" s="22"/>
      <c r="R17" s="23"/>
      <c r="T17" s="22"/>
      <c r="U17" s="23"/>
      <c r="V17" s="23"/>
      <c r="W17" s="22" t="str">
        <v>Team Tasks</v>
      </c>
      <c r="X17" s="23" t="str">
        <v>Ideas</v>
      </c>
    </row>
    <row r="18" spans="1:24" x14ac:dyDescent="0.3">
      <c r="A18" s="31">
        <f>INDEX(USERS_ID,MATCH(NEWSUBITEM_OWNER,USERS_NAMES,0))</f>
        <v>22027695</v>
      </c>
      <c r="B18" s="48" t="s">
        <v>5717</v>
      </c>
      <c r="C18" s="45" t="s">
        <v>5690</v>
      </c>
      <c r="F18" s="16" t="s">
        <v>1695</v>
      </c>
      <c r="H18" s="16"/>
      <c r="I18" s="22"/>
      <c r="J18" s="23"/>
      <c r="Q18" s="22"/>
      <c r="R18" s="23"/>
      <c r="T18" s="22"/>
      <c r="U18" s="23"/>
      <c r="V18" s="23"/>
      <c r="W18" s="22" t="str">
        <v>Running the Business</v>
      </c>
      <c r="X18" s="23" t="str">
        <v>New Group</v>
      </c>
    </row>
    <row r="19" spans="1:24" x14ac:dyDescent="0.3">
      <c r="A19" s="31" t="e" cm="1">
        <f t="array" ref="A19">INDEX(TAGS_NAMES,MATCH(NEWITEM_TAG,TAGS_NAMES,0))</f>
        <v>#N/A</v>
      </c>
      <c r="B19" s="43" t="s">
        <v>5698</v>
      </c>
      <c r="C19" s="45" t="s">
        <v>223</v>
      </c>
      <c r="F19" s="16" t="s">
        <v>1695</v>
      </c>
      <c r="H19" s="16"/>
      <c r="I19" s="22"/>
      <c r="J19" s="23"/>
      <c r="Q19" s="22"/>
      <c r="R19" s="23"/>
      <c r="T19" s="22"/>
      <c r="U19" s="23"/>
      <c r="V19" s="23"/>
      <c r="W19" s="22"/>
      <c r="X19" s="23" t="str">
        <v>Preparing for Presentations</v>
      </c>
    </row>
    <row r="20" spans="1:24" x14ac:dyDescent="0.3">
      <c r="A20" s="31" t="str">
        <f>INDEX(TAGS_NAMES,MATCH(NEWITEM_TAG2,TAGS_NAMES,0))</f>
        <v>SELECT_ONE</v>
      </c>
      <c r="B20" s="43" t="s">
        <v>5718</v>
      </c>
      <c r="C20" s="45" t="s">
        <v>5330</v>
      </c>
      <c r="F20" s="16" t="s">
        <v>1695</v>
      </c>
      <c r="H20" s="16"/>
      <c r="I20" s="22"/>
      <c r="J20" s="23"/>
      <c r="Q20" s="22"/>
      <c r="R20" s="23"/>
      <c r="T20" s="22"/>
      <c r="U20" s="23"/>
      <c r="V20" s="23"/>
      <c r="W20" s="22"/>
      <c r="X20" s="23" t="str">
        <v>Meeting followups</v>
      </c>
    </row>
    <row r="21" spans="1:24" x14ac:dyDescent="0.3">
      <c r="A21" s="31" t="str">
        <f>INDEX(TAGS_NAMES,MATCH(NEWSUBITEM_TAG,TAGS_NAMES,0))</f>
        <v>SELECT_ONE</v>
      </c>
      <c r="B21" s="43" t="s">
        <v>5719</v>
      </c>
      <c r="C21" s="45" t="s">
        <v>5330</v>
      </c>
      <c r="F21" s="16" t="s">
        <v>1695</v>
      </c>
      <c r="H21" s="16"/>
      <c r="I21" s="22"/>
      <c r="J21" s="23"/>
      <c r="Q21" s="22"/>
      <c r="R21" s="23"/>
      <c r="T21" s="22"/>
      <c r="U21" s="23"/>
      <c r="V21" s="23"/>
      <c r="W21" s="22"/>
      <c r="X21" s="23" t="str">
        <v>Preparing for PoC</v>
      </c>
    </row>
    <row r="22" spans="1:24" x14ac:dyDescent="0.3">
      <c r="A22" s="31" t="str">
        <f>INDEX(TAGS_NAMES,MATCH(NEWSUBITEM_TAG2,TAGS_NAMES,0))</f>
        <v>SELECT_ONE</v>
      </c>
      <c r="B22" s="43" t="s">
        <v>5720</v>
      </c>
      <c r="C22" s="45" t="s">
        <v>5330</v>
      </c>
      <c r="F22" s="16" t="s">
        <v>1695</v>
      </c>
      <c r="H22" s="16"/>
      <c r="I22" s="22"/>
      <c r="J22" s="23"/>
      <c r="Q22" s="22"/>
      <c r="R22" s="23"/>
      <c r="T22" s="22"/>
      <c r="U22" s="23"/>
      <c r="V22" s="23"/>
      <c r="W22" s="22"/>
      <c r="X22" s="23" t="str">
        <v>Tooling</v>
      </c>
    </row>
    <row r="23" spans="1:24" x14ac:dyDescent="0.3">
      <c r="A23" s="31"/>
      <c r="B23" s="43" t="s">
        <v>5697</v>
      </c>
      <c r="C23" s="46">
        <v>5769576000</v>
      </c>
      <c r="F23" s="16" t="s">
        <v>1695</v>
      </c>
      <c r="H23" s="16"/>
      <c r="I23" s="22"/>
      <c r="J23" s="23"/>
      <c r="Q23" s="22"/>
      <c r="R23" s="23"/>
      <c r="T23" s="22"/>
      <c r="U23" s="23"/>
      <c r="V23" s="23"/>
      <c r="W23" s="22"/>
      <c r="X23" s="23" t="str">
        <v>Washing up after Presentation</v>
      </c>
    </row>
    <row r="24" spans="1:24" x14ac:dyDescent="0.3">
      <c r="A24" s="31"/>
      <c r="B24" s="48" t="s">
        <v>5693</v>
      </c>
      <c r="C24" s="46">
        <v>5769576102</v>
      </c>
      <c r="F24" s="16" t="s">
        <v>1695</v>
      </c>
      <c r="H24" s="16"/>
      <c r="I24" s="22"/>
      <c r="J24" s="23"/>
      <c r="Q24" s="22"/>
      <c r="R24" s="23"/>
      <c r="T24" s="22"/>
      <c r="U24" s="23"/>
      <c r="V24" s="23"/>
      <c r="W24" s="22"/>
      <c r="X24" s="23" t="str">
        <v>Scheduling Followups</v>
      </c>
    </row>
    <row r="25" spans="1:24" x14ac:dyDescent="0.3">
      <c r="A25" s="31"/>
      <c r="B25" s="43" t="s">
        <v>5696</v>
      </c>
      <c r="C25" s="47" t="str">
        <f>HYPERLINK("https://veloxfintech.monday.com/boards/4978854654/pulses/5769576000")</f>
        <v>https://veloxfintech.monday.com/boards/4978854654/pulses/5769576000</v>
      </c>
      <c r="F25" s="16" t="s">
        <v>1695</v>
      </c>
      <c r="H25" s="16"/>
      <c r="I25" s="22"/>
      <c r="J25" s="23"/>
      <c r="Q25" s="22"/>
      <c r="R25" s="23"/>
      <c r="T25" s="22"/>
      <c r="U25" s="23"/>
      <c r="V25" s="23"/>
      <c r="W25" s="22"/>
      <c r="X25" s="23" t="str">
        <v>Preparing for Commercials</v>
      </c>
    </row>
    <row r="26" spans="1:24" x14ac:dyDescent="0.3">
      <c r="A26" s="31"/>
      <c r="B26" s="44" t="s">
        <v>5695</v>
      </c>
      <c r="C26" s="47" t="str">
        <f>HYPERLINK("E:\Velox Financial Technology\Velox Shared Drive - Documents\General\Monday\5769576000 this_is_a_sub_itewm")</f>
        <v>E:\Velox Financial Technology\Velox Shared Drive - Documents\General\Monday\5769576000 this_is_a_sub_itewm</v>
      </c>
      <c r="F26" s="16" t="s">
        <v>1695</v>
      </c>
      <c r="H26" s="16"/>
      <c r="I26" s="22"/>
      <c r="J26" s="23"/>
      <c r="Q26" s="22"/>
      <c r="R26" s="23"/>
      <c r="T26" s="22"/>
      <c r="U26" s="23"/>
      <c r="V26" s="23"/>
      <c r="W26" s="22"/>
      <c r="X26" s="23" t="str">
        <v>Chasing</v>
      </c>
    </row>
    <row r="27" spans="1:24" x14ac:dyDescent="0.3">
      <c r="A27" s="35" t="s">
        <v>5703</v>
      </c>
      <c r="B27" s="35" t="s">
        <v>5701</v>
      </c>
      <c r="C27" s="35"/>
      <c r="F27" s="16" t="s">
        <v>1695</v>
      </c>
      <c r="H27" s="16"/>
      <c r="I27" s="22"/>
      <c r="J27" s="23"/>
      <c r="Q27" s="22"/>
      <c r="R27" s="23"/>
      <c r="T27" s="22"/>
      <c r="U27" s="23"/>
      <c r="V27" s="23"/>
      <c r="W27" s="22"/>
      <c r="X27" s="23" t="str">
        <v>Agree NDA</v>
      </c>
    </row>
    <row r="28" spans="1:24" x14ac:dyDescent="0.3">
      <c r="B28" s="26"/>
      <c r="C28" s="27"/>
      <c r="F28" s="16" t="s">
        <v>1695</v>
      </c>
      <c r="H28" s="16"/>
      <c r="I28" s="22"/>
      <c r="J28" s="23"/>
      <c r="Q28" s="22"/>
      <c r="R28" s="23"/>
      <c r="T28" s="22"/>
      <c r="U28" s="23"/>
      <c r="V28" s="23"/>
      <c r="W28" s="22"/>
      <c r="X28" s="23" t="str">
        <v>Prospecting &amp; Lead Gen</v>
      </c>
    </row>
    <row r="29" spans="1:24" x14ac:dyDescent="0.3">
      <c r="B29" s="26"/>
      <c r="C29" s="27"/>
      <c r="F29" s="16" t="s">
        <v>1695</v>
      </c>
      <c r="H29" s="16"/>
      <c r="I29" s="22"/>
      <c r="J29" s="23"/>
      <c r="Q29" s="22"/>
      <c r="R29" s="23"/>
      <c r="T29" s="22"/>
      <c r="U29" s="23"/>
      <c r="V29" s="23"/>
      <c r="W29" s="22"/>
      <c r="X29" s="23" t="str">
        <v>Existing Clients</v>
      </c>
    </row>
    <row r="30" spans="1:24" x14ac:dyDescent="0.3">
      <c r="B30" s="26"/>
      <c r="C30" s="30"/>
      <c r="F30" s="16" t="s">
        <v>1695</v>
      </c>
      <c r="H30" s="16"/>
      <c r="I30" s="22"/>
      <c r="J30" s="23"/>
      <c r="Q30" s="22"/>
      <c r="R30" s="23"/>
      <c r="T30" s="22"/>
      <c r="U30" s="23"/>
      <c r="V30" s="23"/>
      <c r="W30" s="22"/>
      <c r="X30" s="23" t="str">
        <v>Strategy / Getting new prospects</v>
      </c>
    </row>
    <row r="31" spans="1:24" x14ac:dyDescent="0.3">
      <c r="B31" s="26"/>
      <c r="C31" s="30"/>
      <c r="F31" s="16" t="s">
        <v>1695</v>
      </c>
      <c r="H31" s="16"/>
      <c r="I31" s="22"/>
      <c r="J31" s="23"/>
      <c r="Q31" s="22"/>
      <c r="R31" s="23"/>
      <c r="T31" s="22"/>
      <c r="U31" s="23"/>
      <c r="V31" s="23"/>
      <c r="W31" s="22"/>
      <c r="X31" s="23" t="str">
        <v>Servicing existing prospects</v>
      </c>
    </row>
    <row r="32" spans="1:24" x14ac:dyDescent="0.3">
      <c r="B32" s="26"/>
      <c r="C32" s="30"/>
      <c r="F32" s="16" t="s">
        <v>1695</v>
      </c>
      <c r="H32" s="16"/>
      <c r="I32" s="22"/>
      <c r="J32" s="23"/>
      <c r="Q32" s="22"/>
      <c r="R32" s="23"/>
      <c r="T32" s="22"/>
      <c r="U32" s="23"/>
      <c r="V32" s="23"/>
      <c r="W32" s="22"/>
      <c r="X32" s="23" t="str">
        <v>Campaigns Misc</v>
      </c>
    </row>
    <row r="33" spans="2:24" x14ac:dyDescent="0.3">
      <c r="B33" s="26"/>
      <c r="C33" s="30"/>
      <c r="F33" s="16" t="s">
        <v>1695</v>
      </c>
      <c r="H33" s="16"/>
      <c r="I33" s="22"/>
      <c r="J33" s="23"/>
      <c r="Q33" s="22"/>
      <c r="R33" s="23"/>
      <c r="T33" s="22"/>
      <c r="U33" s="23"/>
      <c r="V33" s="23"/>
      <c r="W33" s="22"/>
      <c r="X33" s="23" t="str">
        <v>Partners</v>
      </c>
    </row>
    <row r="34" spans="2:24" x14ac:dyDescent="0.3">
      <c r="F34" s="16" t="s">
        <v>1695</v>
      </c>
      <c r="H34" s="16"/>
      <c r="I34" s="22"/>
      <c r="J34" s="23"/>
      <c r="Q34" s="22"/>
      <c r="R34" s="23"/>
      <c r="T34" s="22"/>
      <c r="U34" s="23"/>
      <c r="V34" s="23"/>
      <c r="W34" s="22"/>
      <c r="X34" s="23" t="str">
        <v>Account Management</v>
      </c>
    </row>
    <row r="35" spans="2:24" x14ac:dyDescent="0.3">
      <c r="F35" s="16" t="s">
        <v>1695</v>
      </c>
      <c r="H35" s="16"/>
      <c r="I35" s="22"/>
      <c r="J35" s="23"/>
      <c r="Q35" s="22"/>
      <c r="R35" s="23"/>
      <c r="T35" s="22"/>
      <c r="U35" s="23"/>
      <c r="V35" s="23"/>
      <c r="W35" s="22"/>
      <c r="X35" s="23" t="str">
        <v>Streamlining invoices/payments</v>
      </c>
    </row>
    <row r="36" spans="2:24" x14ac:dyDescent="0.3">
      <c r="F36" s="16" t="s">
        <v>1695</v>
      </c>
      <c r="H36" s="16"/>
      <c r="I36" s="22"/>
      <c r="J36" s="23"/>
      <c r="Q36" s="22"/>
      <c r="R36" s="23"/>
      <c r="T36" s="22"/>
      <c r="U36" s="23"/>
      <c r="V36" s="23"/>
      <c r="W36" s="22"/>
      <c r="X36" s="23" t="str">
        <v>Reporting</v>
      </c>
    </row>
    <row r="37" spans="2:24" x14ac:dyDescent="0.3">
      <c r="F37" s="16"/>
      <c r="H37" s="16"/>
      <c r="W37" s="22"/>
      <c r="X37" s="23" t="str">
        <v>TestGroup</v>
      </c>
    </row>
    <row r="38" spans="2:24" x14ac:dyDescent="0.3">
      <c r="F38" s="16"/>
      <c r="H38" s="16"/>
      <c r="X38" s="23" t="str">
        <v>Formalize use cases to reinforce Velox platform capabilities by campaign stream</v>
      </c>
    </row>
    <row r="39" spans="2:24" x14ac:dyDescent="0.3">
      <c r="X39" s="23" t="str">
        <v>Update our website to reflect growth, generate demand and support e2e sales cycle</v>
      </c>
    </row>
    <row r="40" spans="2:24" x14ac:dyDescent="0.3">
      <c r="X40" s="23" t="str">
        <v>Use media partners to tell &amp; amplify our story</v>
      </c>
    </row>
    <row r="41" spans="2:24" x14ac:dyDescent="0.3">
      <c r="X41" s="23" t="str">
        <v>stay visible through consistent social posting and newsletter distribution</v>
      </c>
    </row>
    <row r="42" spans="2:24" x14ac:dyDescent="0.3">
      <c r="X42" s="23" t="str">
        <v>Raise awareness by expanding participation at industry events</v>
      </c>
    </row>
    <row r="43" spans="2:24" x14ac:dyDescent="0.3">
      <c r="X43" s="23" t="str">
        <v>India Team</v>
      </c>
    </row>
    <row r="44" spans="2:24" x14ac:dyDescent="0.3">
      <c r="X44" s="23" t="str">
        <v>Hiring</v>
      </c>
    </row>
    <row r="45" spans="2:24" x14ac:dyDescent="0.3">
      <c r="X45" s="23" t="str">
        <v>Misc</v>
      </c>
    </row>
    <row r="46" spans="2:24" x14ac:dyDescent="0.3">
      <c r="X46" s="23" t="str">
        <v>Ross</v>
      </c>
    </row>
    <row r="47" spans="2:24" x14ac:dyDescent="0.3">
      <c r="X47" s="23" t="str">
        <v>Chris</v>
      </c>
    </row>
    <row r="48" spans="2:24" x14ac:dyDescent="0.3">
      <c r="X48" s="23" t="str">
        <v>Finances</v>
      </c>
    </row>
    <row r="49" spans="24:24" x14ac:dyDescent="0.3">
      <c r="X49" s="23" t="str">
        <v>Ali</v>
      </c>
    </row>
    <row r="50" spans="24:24" x14ac:dyDescent="0.3">
      <c r="X50" s="23" t="str">
        <v>Neto</v>
      </c>
    </row>
    <row r="51" spans="24:24" x14ac:dyDescent="0.3">
      <c r="X51" s="23" t="str">
        <v>Funding</v>
      </c>
    </row>
    <row r="52" spans="24:24" x14ac:dyDescent="0.3">
      <c r="X52" s="23" t="str">
        <v>Compensation</v>
      </c>
    </row>
    <row r="53" spans="24:24" x14ac:dyDescent="0.3">
      <c r="X53" s="23" t="str">
        <v>ETFS Capital</v>
      </c>
    </row>
    <row r="54" spans="24:24" x14ac:dyDescent="0.3">
      <c r="X54" s="23" t="str">
        <v>Sales Strategy</v>
      </c>
    </row>
    <row r="55" spans="24:24" x14ac:dyDescent="0.3">
      <c r="X55" s="23" t="str">
        <v>Alison</v>
      </c>
    </row>
    <row r="56" spans="24:24" x14ac:dyDescent="0.3">
      <c r="X56" s="23" t="str">
        <v>Jon</v>
      </c>
    </row>
    <row r="57" spans="24:24" x14ac:dyDescent="0.3">
      <c r="X57" s="23" t="str">
        <v>Creating a Solutions Business</v>
      </c>
    </row>
    <row r="58" spans="24:24" x14ac:dyDescent="0.3">
      <c r="X58" s="23" t="str">
        <v>COSMOS</v>
      </c>
    </row>
    <row r="59" spans="24:24" x14ac:dyDescent="0.3">
      <c r="X59" s="23" t="str">
        <v>Nikolai</v>
      </c>
    </row>
    <row r="60" spans="24:24" x14ac:dyDescent="0.3">
      <c r="X60" s="23" t="str">
        <v>Legal</v>
      </c>
    </row>
    <row r="61" spans="24:24" x14ac:dyDescent="0.3">
      <c r="X61" s="23" t="str">
        <v>Staff</v>
      </c>
    </row>
    <row r="62" spans="24:24" x14ac:dyDescent="0.3">
      <c r="X62" s="23" t="str">
        <v>Sales</v>
      </c>
    </row>
    <row r="63" spans="24:24" x14ac:dyDescent="0.3">
      <c r="X63" s="23" t="str">
        <v>Marketing</v>
      </c>
    </row>
    <row r="64" spans="24:24" x14ac:dyDescent="0.3">
      <c r="X64" s="23" t="str">
        <v>Press</v>
      </c>
    </row>
    <row r="65" spans="24:24" x14ac:dyDescent="0.3">
      <c r="X65" s="23" t="str">
        <v>Publishing Content</v>
      </c>
    </row>
    <row r="66" spans="24:24" x14ac:dyDescent="0.3">
      <c r="X66" s="23" t="str">
        <v>Membership &amp; Events</v>
      </c>
    </row>
    <row r="67" spans="24:24" x14ac:dyDescent="0.3">
      <c r="X67" s="23" t="str">
        <v>General Marketing</v>
      </c>
    </row>
    <row r="68" spans="24:24" x14ac:dyDescent="0.3">
      <c r="X68" t="str">
        <v>Competitors</v>
      </c>
    </row>
    <row r="69" spans="24:24" x14ac:dyDescent="0.3">
      <c r="X69" t="str">
        <v>Use Cases</v>
      </c>
    </row>
    <row r="70" spans="24:24" x14ac:dyDescent="0.3">
      <c r="X70" t="str">
        <v>Digital Marketing</v>
      </c>
    </row>
    <row r="71" spans="24:24" x14ac:dyDescent="0.3">
      <c r="X71" t="str">
        <v>Memberships</v>
      </c>
    </row>
    <row r="72" spans="24:24" x14ac:dyDescent="0.3">
      <c r="X72" t="str">
        <v>Events</v>
      </c>
    </row>
    <row r="73" spans="24:24" x14ac:dyDescent="0.3">
      <c r="X73" t="str">
        <v>Driving efficiency with tools</v>
      </c>
    </row>
    <row r="74" spans="24:24" x14ac:dyDescent="0.3">
      <c r="X74" t="str">
        <v>Cleared Derivatives</v>
      </c>
    </row>
    <row r="75" spans="24:24" x14ac:dyDescent="0.3">
      <c r="X75" t="str">
        <v>Temp / Misc</v>
      </c>
    </row>
    <row r="76" spans="24:24" x14ac:dyDescent="0.3">
      <c r="X76" t="str">
        <v>This Week</v>
      </c>
    </row>
    <row r="77" spans="24:24" x14ac:dyDescent="0.3">
      <c r="X77" t="str">
        <v>Next Week</v>
      </c>
    </row>
    <row r="78" spans="24:24" x14ac:dyDescent="0.3">
      <c r="X78" t="str">
        <v>Weekly Team Status</v>
      </c>
    </row>
    <row r="79" spans="24:24" x14ac:dyDescent="0.3">
      <c r="X79" t="str">
        <v>General Admin Test</v>
      </c>
    </row>
    <row r="80" spans="24:24" x14ac:dyDescent="0.3">
      <c r="X80" t="str">
        <v>Product</v>
      </c>
    </row>
    <row r="81" spans="24:24" x14ac:dyDescent="0.3">
      <c r="X81" t="str">
        <v>Funding / Investor</v>
      </c>
    </row>
    <row r="82" spans="24:24" x14ac:dyDescent="0.3">
      <c r="X82" t="str">
        <v>Tools</v>
      </c>
    </row>
    <row r="83" spans="24:24" x14ac:dyDescent="0.3">
      <c r="X83" t="str">
        <v>Client support</v>
      </c>
    </row>
    <row r="84" spans="24:24" x14ac:dyDescent="0.3">
      <c r="X84" t="str">
        <v>TIME TRACKING</v>
      </c>
    </row>
    <row r="85" spans="24:24" x14ac:dyDescent="0.3">
      <c r="X85" t="str">
        <v>Process</v>
      </c>
    </row>
    <row r="86" spans="24:24" x14ac:dyDescent="0.3">
      <c r="X86" t="str">
        <v>Admin</v>
      </c>
    </row>
    <row r="87" spans="24:24" x14ac:dyDescent="0.3">
      <c r="X87" t="str">
        <v>HR</v>
      </c>
    </row>
    <row r="88" spans="24:24" x14ac:dyDescent="0.3">
      <c r="X88" t="str">
        <v>Emailed items</v>
      </c>
    </row>
  </sheetData>
  <conditionalFormatting sqref="A4:A5 A8 A15:A22">
    <cfRule type="notContainsErrors" dxfId="1" priority="4">
      <formula>NOT(ISERROR(A4))</formula>
    </cfRule>
  </conditionalFormatting>
  <conditionalFormatting sqref="A4:A6 A8:A26">
    <cfRule type="containsErrors" dxfId="0" priority="5">
      <formula>ISERROR(A4)</formula>
    </cfRule>
  </conditionalFormatting>
  <dataValidations count="8">
    <dataValidation type="list" allowBlank="1" showInputMessage="1" showErrorMessage="1" sqref="I4" xr:uid="{F0FA5297-CB3C-41CF-8C4A-BAFCA7ED1D12}">
      <formula1>$W$5:$W$16</formula1>
    </dataValidation>
    <dataValidation type="list" allowBlank="1" showInputMessage="1" showErrorMessage="1" sqref="Q4" xr:uid="{FC434611-8407-4AD3-A3D8-F01C9388AB4F}">
      <formula1>$X$5:$X$62</formula1>
    </dataValidation>
    <dataValidation type="list" allowBlank="1" showInputMessage="1" showErrorMessage="1" sqref="J5" xr:uid="{14749C25-DE5A-457E-9666-B72AC52D775E}">
      <formula1>#REF!</formula1>
    </dataValidation>
    <dataValidation type="list" allowBlank="1" showInputMessage="1" showErrorMessage="1" sqref="C4" xr:uid="{70416A83-F68B-4DBC-8503-51A06B606AFC}">
      <formula1>$W$4:$W$18</formula1>
    </dataValidation>
    <dataValidation type="list" allowBlank="1" showInputMessage="1" showErrorMessage="1" sqref="L4" xr:uid="{5957E313-529D-4E74-8165-90E80127BF16}">
      <formula1>$J$5:$J$5</formula1>
    </dataValidation>
    <dataValidation type="list" allowBlank="1" showInputMessage="1" showErrorMessage="1" sqref="C5" xr:uid="{9BCE8B8B-FBB3-4F60-BCCD-D37F9D42D5FA}">
      <formula1>$J$4:$J$5</formula1>
    </dataValidation>
    <dataValidation type="list" allowBlank="1" showInputMessage="1" showErrorMessage="1" sqref="C11" xr:uid="{1A4AD2AD-0E57-4238-B196-EDA03647B7A9}">
      <formula1>$U$4:$U$5</formula1>
    </dataValidation>
    <dataValidation type="list" allowBlank="1" showInputMessage="1" showErrorMessage="1" sqref="C8" xr:uid="{1C6B9202-2003-424B-821E-E2CEF37FD4C6}">
      <formula1>$R$4:$R$21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D5E42A-DD43-46E1-8EC3-6154ED3D978B}">
          <x14:formula1>
            <xm:f>Reference!$AV$1:$AV$6</xm:f>
          </x14:formula1>
          <xm:sqref>C15:C16</xm:sqref>
        </x14:dataValidation>
        <x14:dataValidation type="list" allowBlank="1" showInputMessage="1" showErrorMessage="1" xr:uid="{95F08AD4-3A52-41A2-A5D0-E6CB0937F8E3}">
          <x14:formula1>
            <xm:f>Reference!$AT$1:$AT$13</xm:f>
          </x14:formula1>
          <xm:sqref>C17:C18</xm:sqref>
        </x14:dataValidation>
        <x14:dataValidation type="list" allowBlank="1" showInputMessage="1" showErrorMessage="1" xr:uid="{EEA8C4B1-3AFF-4F8B-B32B-6029F27FA2F8}">
          <x14:formula1>
            <xm:f>Reference!$AQ$1:$AQ$129</xm:f>
          </x14:formula1>
          <xm:sqref>C19:C22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07E7-2761-4211-8764-DA42D2636C0A}">
  <sheetPr codeName="Sheet1"/>
  <dimension ref="B11:C21"/>
  <sheetViews>
    <sheetView workbookViewId="0">
      <selection activeCell="C22" sqref="C22"/>
    </sheetView>
  </sheetViews>
  <sheetFormatPr defaultRowHeight="14.4" x14ac:dyDescent="0.3"/>
  <cols>
    <col min="3" max="3" width="59.88671875" customWidth="1"/>
  </cols>
  <sheetData>
    <row r="11" spans="2:3" x14ac:dyDescent="0.3">
      <c r="B11" s="17" t="s">
        <v>1390</v>
      </c>
      <c r="C11" t="s">
        <v>1391</v>
      </c>
    </row>
    <row r="12" spans="2:3" x14ac:dyDescent="0.3">
      <c r="B12" s="17" t="s">
        <v>1390</v>
      </c>
      <c r="C12" t="s">
        <v>1392</v>
      </c>
    </row>
    <row r="13" spans="2:3" x14ac:dyDescent="0.3">
      <c r="B13" s="17" t="s">
        <v>1390</v>
      </c>
      <c r="C13" t="s">
        <v>1393</v>
      </c>
    </row>
    <row r="14" spans="2:3" x14ac:dyDescent="0.3">
      <c r="B14" s="17" t="s">
        <v>1390</v>
      </c>
      <c r="C14" t="s">
        <v>1492</v>
      </c>
    </row>
    <row r="15" spans="2:3" x14ac:dyDescent="0.3">
      <c r="B15" s="17" t="s">
        <v>1691</v>
      </c>
      <c r="C15" t="s">
        <v>1692</v>
      </c>
    </row>
    <row r="16" spans="2:3" x14ac:dyDescent="0.3">
      <c r="B16" s="17" t="s">
        <v>1691</v>
      </c>
      <c r="C16" t="s">
        <v>1693</v>
      </c>
    </row>
    <row r="17" spans="2:3" x14ac:dyDescent="0.3">
      <c r="B17" s="17" t="s">
        <v>1691</v>
      </c>
      <c r="C17" t="s">
        <v>1694</v>
      </c>
    </row>
    <row r="18" spans="2:3" x14ac:dyDescent="0.3">
      <c r="B18" s="17" t="s">
        <v>1691</v>
      </c>
      <c r="C18" t="s">
        <v>1696</v>
      </c>
    </row>
    <row r="19" spans="2:3" x14ac:dyDescent="0.3">
      <c r="B19" s="17" t="s">
        <v>1698</v>
      </c>
      <c r="C19" t="s">
        <v>1699</v>
      </c>
    </row>
    <row r="20" spans="2:3" x14ac:dyDescent="0.3">
      <c r="B20" s="17" t="s">
        <v>1700</v>
      </c>
      <c r="C20" t="s">
        <v>1701</v>
      </c>
    </row>
    <row r="21" spans="2:3" x14ac:dyDescent="0.3">
      <c r="B21" s="17" t="s">
        <v>1700</v>
      </c>
      <c r="C21" t="s">
        <v>1702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5B691-3FE8-4223-8912-7E9648F22A7D}">
  <sheetPr codeName="Sheet5"/>
  <dimension ref="A1:G9"/>
  <sheetViews>
    <sheetView workbookViewId="0">
      <selection activeCell="B24" sqref="B24"/>
    </sheetView>
  </sheetViews>
  <sheetFormatPr defaultRowHeight="14.4" x14ac:dyDescent="0.3"/>
  <cols>
    <col min="1" max="1" width="23.77734375" customWidth="1"/>
    <col min="2" max="2" width="57.6640625" customWidth="1"/>
    <col min="3" max="5" width="26.21875" customWidth="1"/>
    <col min="6" max="6" width="24.6640625" bestFit="1" customWidth="1"/>
    <col min="7" max="7" width="30.109375" customWidth="1"/>
  </cols>
  <sheetData>
    <row r="1" spans="1:7" x14ac:dyDescent="0.3">
      <c r="A1" t="s">
        <v>5704</v>
      </c>
      <c r="B1" t="s">
        <v>5713</v>
      </c>
      <c r="C1" t="s">
        <v>5764</v>
      </c>
      <c r="D1" t="s">
        <v>5714</v>
      </c>
      <c r="E1" t="s">
        <v>5765</v>
      </c>
    </row>
    <row r="2" spans="1:7" x14ac:dyDescent="0.3">
      <c r="A2" t="s">
        <v>5705</v>
      </c>
      <c r="B2">
        <v>12</v>
      </c>
    </row>
    <row r="3" spans="1:7" x14ac:dyDescent="0.3">
      <c r="A3" t="s">
        <v>5707</v>
      </c>
      <c r="B3">
        <v>128</v>
      </c>
    </row>
    <row r="4" spans="1:7" x14ac:dyDescent="0.3">
      <c r="A4" t="s">
        <v>5706</v>
      </c>
      <c r="B4">
        <v>108</v>
      </c>
    </row>
    <row r="5" spans="1:7" x14ac:dyDescent="0.3">
      <c r="A5" t="s">
        <v>5708</v>
      </c>
      <c r="B5" t="s">
        <v>5772</v>
      </c>
      <c r="C5" t="s">
        <v>5773</v>
      </c>
      <c r="D5" t="s">
        <v>5774</v>
      </c>
      <c r="E5" t="s">
        <v>5775</v>
      </c>
      <c r="F5" t="s">
        <v>5776</v>
      </c>
      <c r="G5" t="s">
        <v>5777</v>
      </c>
    </row>
    <row r="6" spans="1:7" x14ac:dyDescent="0.3">
      <c r="A6" t="s">
        <v>5709</v>
      </c>
      <c r="B6" t="s">
        <v>5778</v>
      </c>
    </row>
    <row r="7" spans="1:7" x14ac:dyDescent="0.3">
      <c r="A7" t="s">
        <v>5710</v>
      </c>
    </row>
    <row r="8" spans="1:7" x14ac:dyDescent="0.3">
      <c r="A8" t="s">
        <v>5711</v>
      </c>
      <c r="B8" t="s">
        <v>5710</v>
      </c>
    </row>
    <row r="9" spans="1:7" x14ac:dyDescent="0.3">
      <c r="A9" t="s">
        <v>5712</v>
      </c>
      <c r="B9">
        <v>3048157600624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7E79-B954-42ED-AE19-6587A4255C73}">
  <sheetPr codeName="Sheet3"/>
  <dimension ref="A1:AV2564"/>
  <sheetViews>
    <sheetView tabSelected="1" topLeftCell="T1" zoomScale="70" zoomScaleNormal="70" workbookViewId="0">
      <selection activeCell="AD33" sqref="AD33"/>
    </sheetView>
  </sheetViews>
  <sheetFormatPr defaultRowHeight="14.4" x14ac:dyDescent="0.3"/>
  <cols>
    <col min="1" max="1" width="21.77734375" customWidth="1"/>
    <col min="2" max="6" width="8.5546875" customWidth="1"/>
    <col min="7" max="7" width="9.77734375" bestFit="1" customWidth="1"/>
    <col min="8" max="8" width="9.5546875" customWidth="1"/>
    <col min="9" max="12" width="8.5546875" customWidth="1"/>
    <col min="13" max="13" width="21.21875" bestFit="1" customWidth="1"/>
    <col min="14" max="14" width="34.5546875" customWidth="1"/>
    <col min="19" max="19" width="17.109375" customWidth="1"/>
    <col min="20" max="20" width="25.21875" customWidth="1"/>
    <col min="21" max="21" width="22.6640625" customWidth="1"/>
    <col min="22" max="22" width="14.77734375" customWidth="1"/>
    <col min="25" max="25" width="20.77734375" customWidth="1"/>
    <col min="26" max="26" width="56.44140625" customWidth="1"/>
    <col min="27" max="27" width="16.33203125" customWidth="1"/>
    <col min="28" max="28" width="13.5546875" customWidth="1"/>
    <col min="35" max="35" width="15.77734375" customWidth="1"/>
    <col min="36" max="36" width="11.77734375" customWidth="1"/>
    <col min="37" max="37" width="14.109375" customWidth="1"/>
    <col min="38" max="38" width="18.21875" customWidth="1"/>
    <col min="39" max="39" width="18.77734375" customWidth="1"/>
    <col min="42" max="42" width="10" bestFit="1" customWidth="1"/>
    <col min="48" max="48" width="13" customWidth="1"/>
  </cols>
  <sheetData>
    <row r="1" spans="1:48" s="6" customFormat="1" ht="28.8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M1" s="36"/>
      <c r="N1" s="36"/>
      <c r="Q1" s="7"/>
      <c r="S1" s="11" t="s">
        <v>0</v>
      </c>
      <c r="T1" s="11" t="s">
        <v>1</v>
      </c>
      <c r="U1" s="11" t="s">
        <v>60</v>
      </c>
      <c r="V1" s="10" t="s">
        <v>59</v>
      </c>
      <c r="W1"/>
      <c r="Y1" s="11" t="s">
        <v>97</v>
      </c>
      <c r="Z1" s="11" t="s">
        <v>62</v>
      </c>
      <c r="AA1" s="11" t="s">
        <v>215</v>
      </c>
      <c r="AB1" s="11" t="s">
        <v>217</v>
      </c>
      <c r="AC1" s="11" t="s">
        <v>219</v>
      </c>
      <c r="AE1" s="13" t="s">
        <v>5340</v>
      </c>
      <c r="AI1" s="11" t="s">
        <v>62</v>
      </c>
      <c r="AJ1" s="11" t="s">
        <v>111</v>
      </c>
      <c r="AK1" s="11" t="s">
        <v>214</v>
      </c>
      <c r="AL1" s="11" t="s">
        <v>218</v>
      </c>
      <c r="AM1" s="11" t="s">
        <v>220</v>
      </c>
      <c r="AQ1" s="6" t="s">
        <v>5330</v>
      </c>
      <c r="AT1" s="6" t="s">
        <v>5330</v>
      </c>
      <c r="AV1" s="6" t="s">
        <v>5330</v>
      </c>
    </row>
    <row r="2" spans="1:48" x14ac:dyDescent="0.3">
      <c r="A2" s="17"/>
      <c r="F2" s="17"/>
      <c r="H2" s="38"/>
      <c r="S2">
        <v>5581969235</v>
      </c>
      <c r="T2" t="s">
        <v>5655</v>
      </c>
      <c r="U2" t="s">
        <v>5656</v>
      </c>
      <c r="V2" t="s">
        <v>5657</v>
      </c>
      <c r="W2" s="6"/>
      <c r="Y2" s="19" t="s">
        <v>28</v>
      </c>
      <c r="Z2" s="19" t="s">
        <v>5766</v>
      </c>
      <c r="AA2" s="19" t="s">
        <v>5768</v>
      </c>
      <c r="AB2" s="15"/>
      <c r="AE2" s="13" t="s">
        <v>5721</v>
      </c>
      <c r="AI2" s="15" t="s">
        <v>5723</v>
      </c>
      <c r="AJ2" s="15" t="s">
        <v>5771</v>
      </c>
      <c r="AK2" s="15" t="s">
        <v>5770</v>
      </c>
      <c r="AP2" t="s">
        <v>5330</v>
      </c>
      <c r="AQ2" t="s">
        <v>5330</v>
      </c>
      <c r="AS2">
        <v>53205248</v>
      </c>
      <c r="AT2" t="s">
        <v>5680</v>
      </c>
      <c r="AV2" t="s">
        <v>222</v>
      </c>
    </row>
    <row r="3" spans="1:48" ht="13.8" customHeight="1" x14ac:dyDescent="0.3">
      <c r="A3" s="17"/>
      <c r="F3" s="17"/>
      <c r="H3" s="38"/>
      <c r="S3">
        <v>5581969235</v>
      </c>
      <c r="T3" t="s">
        <v>5655</v>
      </c>
      <c r="U3" t="s">
        <v>5658</v>
      </c>
      <c r="V3" t="s">
        <v>5659</v>
      </c>
      <c r="Y3" s="19" t="s">
        <v>28</v>
      </c>
      <c r="Z3" s="19" t="s">
        <v>5767</v>
      </c>
      <c r="AA3" s="19" t="s">
        <v>5769</v>
      </c>
      <c r="AB3" s="15"/>
      <c r="AI3" s="19" t="s">
        <v>5722</v>
      </c>
      <c r="AJ3" s="19" t="s">
        <v>5758</v>
      </c>
      <c r="AK3" s="19" t="s">
        <v>5750</v>
      </c>
      <c r="AP3">
        <v>20253605</v>
      </c>
      <c r="AQ3" t="s">
        <v>5675</v>
      </c>
      <c r="AS3">
        <v>53205241</v>
      </c>
      <c r="AT3" t="s">
        <v>5681</v>
      </c>
      <c r="AV3" t="s">
        <v>4</v>
      </c>
    </row>
    <row r="4" spans="1:48" x14ac:dyDescent="0.3">
      <c r="F4" s="17"/>
      <c r="H4" s="38"/>
      <c r="S4">
        <v>5581969235</v>
      </c>
      <c r="T4" t="s">
        <v>5655</v>
      </c>
      <c r="U4" t="s">
        <v>5660</v>
      </c>
      <c r="V4" t="s">
        <v>5661</v>
      </c>
      <c r="Y4" s="14" t="s">
        <v>249</v>
      </c>
      <c r="Z4" s="15" t="s">
        <v>5723</v>
      </c>
      <c r="AA4" s="15" t="s">
        <v>5737</v>
      </c>
      <c r="AB4" s="15"/>
      <c r="AI4" s="19" t="s">
        <v>5345</v>
      </c>
      <c r="AJ4" s="19" t="s">
        <v>5759</v>
      </c>
      <c r="AK4" s="19" t="s">
        <v>5751</v>
      </c>
      <c r="AP4">
        <v>20079427</v>
      </c>
      <c r="AQ4" t="s">
        <v>5676</v>
      </c>
      <c r="AS4">
        <v>52480913</v>
      </c>
      <c r="AT4" t="s">
        <v>5682</v>
      </c>
      <c r="AV4" t="s">
        <v>221</v>
      </c>
    </row>
    <row r="5" spans="1:48" x14ac:dyDescent="0.3">
      <c r="F5" s="17"/>
      <c r="H5" s="38"/>
      <c r="S5">
        <v>5581969223</v>
      </c>
      <c r="T5" t="s">
        <v>5662</v>
      </c>
      <c r="U5" t="s">
        <v>28</v>
      </c>
      <c r="V5" t="s">
        <v>24</v>
      </c>
      <c r="Y5" s="19" t="s">
        <v>7</v>
      </c>
      <c r="Z5" s="19" t="s">
        <v>5722</v>
      </c>
      <c r="AA5" s="19" t="s">
        <v>5736</v>
      </c>
      <c r="AB5" s="15"/>
      <c r="AI5" s="19" t="s">
        <v>5345</v>
      </c>
      <c r="AJ5" s="19" t="s">
        <v>5759</v>
      </c>
      <c r="AK5" s="19" t="s">
        <v>5752</v>
      </c>
      <c r="AP5">
        <v>20070722</v>
      </c>
      <c r="AQ5" t="s">
        <v>5677</v>
      </c>
      <c r="AS5">
        <v>48347286</v>
      </c>
      <c r="AT5" t="s">
        <v>5683</v>
      </c>
      <c r="AV5" t="s">
        <v>5691</v>
      </c>
    </row>
    <row r="6" spans="1:48" x14ac:dyDescent="0.3">
      <c r="F6" s="17"/>
      <c r="H6" s="38"/>
      <c r="P6" s="9"/>
      <c r="S6">
        <v>5162067689</v>
      </c>
      <c r="T6" t="s">
        <v>5663</v>
      </c>
      <c r="U6" t="s">
        <v>5664</v>
      </c>
      <c r="V6" t="s">
        <v>24</v>
      </c>
      <c r="Y6" s="19" t="s">
        <v>28</v>
      </c>
      <c r="Z6" s="19" t="s">
        <v>5345</v>
      </c>
      <c r="AA6" s="19" t="s">
        <v>5439</v>
      </c>
      <c r="AB6" s="15"/>
      <c r="AI6" s="19" t="s">
        <v>5726</v>
      </c>
      <c r="AJ6" s="19" t="s">
        <v>5328</v>
      </c>
      <c r="AK6" s="19" t="s">
        <v>5753</v>
      </c>
      <c r="AP6">
        <v>19917501</v>
      </c>
      <c r="AQ6" t="s">
        <v>5678</v>
      </c>
      <c r="AS6">
        <v>42178151</v>
      </c>
      <c r="AT6" t="s">
        <v>5684</v>
      </c>
      <c r="AV6" t="s">
        <v>5692</v>
      </c>
    </row>
    <row r="7" spans="1:48" x14ac:dyDescent="0.3">
      <c r="F7" s="17"/>
      <c r="H7" s="38"/>
      <c r="S7">
        <v>4977328922</v>
      </c>
      <c r="T7" t="s">
        <v>1379</v>
      </c>
      <c r="U7" t="s">
        <v>28</v>
      </c>
      <c r="V7" t="s">
        <v>24</v>
      </c>
      <c r="Y7" s="14" t="s">
        <v>246</v>
      </c>
      <c r="Z7" s="15" t="s">
        <v>5724</v>
      </c>
      <c r="AA7" s="15" t="s">
        <v>5738</v>
      </c>
      <c r="AB7" s="15"/>
      <c r="AI7" s="19" t="s">
        <v>5722</v>
      </c>
      <c r="AJ7" s="19" t="s">
        <v>5760</v>
      </c>
      <c r="AK7" s="19" t="s">
        <v>5754</v>
      </c>
      <c r="AP7">
        <v>19893657</v>
      </c>
      <c r="AQ7" t="s">
        <v>5679</v>
      </c>
      <c r="AS7">
        <v>37171150</v>
      </c>
      <c r="AT7" t="s">
        <v>5685</v>
      </c>
    </row>
    <row r="8" spans="1:48" x14ac:dyDescent="0.3">
      <c r="H8" s="38"/>
      <c r="S8">
        <v>4974012540</v>
      </c>
      <c r="T8" t="s">
        <v>1362</v>
      </c>
      <c r="U8" t="s">
        <v>5341</v>
      </c>
      <c r="V8" t="s">
        <v>5665</v>
      </c>
      <c r="Y8" s="14" t="s">
        <v>246</v>
      </c>
      <c r="Z8" s="15" t="s">
        <v>5725</v>
      </c>
      <c r="AA8" s="15" t="s">
        <v>5739</v>
      </c>
      <c r="AB8" s="15"/>
      <c r="AI8" s="15" t="s">
        <v>5733</v>
      </c>
      <c r="AJ8" s="15" t="s">
        <v>5761</v>
      </c>
      <c r="AK8" s="15" t="s">
        <v>5755</v>
      </c>
      <c r="AP8">
        <v>19828842</v>
      </c>
      <c r="AQ8" t="s">
        <v>1719</v>
      </c>
      <c r="AS8">
        <v>33929468</v>
      </c>
      <c r="AT8" t="s">
        <v>5686</v>
      </c>
    </row>
    <row r="9" spans="1:48" x14ac:dyDescent="0.3">
      <c r="F9" s="17"/>
      <c r="H9" s="38"/>
      <c r="N9" s="17"/>
      <c r="S9">
        <v>4974012540</v>
      </c>
      <c r="T9" t="s">
        <v>1362</v>
      </c>
      <c r="U9" t="s">
        <v>98</v>
      </c>
      <c r="V9" t="s">
        <v>1363</v>
      </c>
      <c r="Y9" s="19" t="s">
        <v>5341</v>
      </c>
      <c r="Z9" s="19" t="s">
        <v>5726</v>
      </c>
      <c r="AA9" s="19" t="s">
        <v>5740</v>
      </c>
      <c r="AB9" s="15"/>
      <c r="AI9" s="15" t="s">
        <v>5733</v>
      </c>
      <c r="AJ9" s="15" t="s">
        <v>5762</v>
      </c>
      <c r="AK9" s="15" t="s">
        <v>5756</v>
      </c>
      <c r="AP9">
        <v>19828703</v>
      </c>
      <c r="AQ9" t="s">
        <v>1718</v>
      </c>
      <c r="AS9">
        <v>31645300</v>
      </c>
      <c r="AT9" t="s">
        <v>5687</v>
      </c>
    </row>
    <row r="10" spans="1:48" x14ac:dyDescent="0.3">
      <c r="F10" s="17"/>
      <c r="H10" s="38"/>
      <c r="S10">
        <v>4974012540</v>
      </c>
      <c r="T10" t="s">
        <v>1362</v>
      </c>
      <c r="U10" t="s">
        <v>1364</v>
      </c>
      <c r="V10" t="s">
        <v>1330</v>
      </c>
      <c r="Y10" s="14" t="s">
        <v>29</v>
      </c>
      <c r="Z10" s="15" t="s">
        <v>5727</v>
      </c>
      <c r="AA10" s="15" t="s">
        <v>5741</v>
      </c>
      <c r="AB10" s="15"/>
      <c r="AI10" s="15" t="s">
        <v>5733</v>
      </c>
      <c r="AJ10" s="15" t="s">
        <v>5763</v>
      </c>
      <c r="AK10" s="15" t="s">
        <v>5757</v>
      </c>
      <c r="AP10">
        <v>19828531</v>
      </c>
      <c r="AQ10" t="s">
        <v>1717</v>
      </c>
      <c r="AS10">
        <v>30123732</v>
      </c>
      <c r="AT10" t="s">
        <v>5688</v>
      </c>
    </row>
    <row r="11" spans="1:48" x14ac:dyDescent="0.3">
      <c r="F11" s="17"/>
      <c r="H11" s="38"/>
      <c r="S11">
        <v>4974012540</v>
      </c>
      <c r="T11" t="s">
        <v>1362</v>
      </c>
      <c r="U11" t="s">
        <v>11</v>
      </c>
      <c r="V11" t="s">
        <v>26</v>
      </c>
      <c r="Y11" s="14" t="s">
        <v>249</v>
      </c>
      <c r="Z11" s="15" t="s">
        <v>5728</v>
      </c>
      <c r="AA11" s="15" t="s">
        <v>5742</v>
      </c>
      <c r="AB11" s="15"/>
      <c r="AI11" s="19" t="s">
        <v>5345</v>
      </c>
      <c r="AJ11" s="19" t="s">
        <v>5590</v>
      </c>
      <c r="AK11" s="19" t="s">
        <v>5525</v>
      </c>
      <c r="AP11">
        <v>19828523</v>
      </c>
      <c r="AQ11" t="s">
        <v>1716</v>
      </c>
      <c r="AS11">
        <v>27514106</v>
      </c>
      <c r="AT11" t="s">
        <v>5689</v>
      </c>
    </row>
    <row r="12" spans="1:48" x14ac:dyDescent="0.3">
      <c r="H12" s="38"/>
      <c r="S12">
        <v>4974012540</v>
      </c>
      <c r="T12" t="s">
        <v>1362</v>
      </c>
      <c r="U12" t="s">
        <v>1365</v>
      </c>
      <c r="V12" t="s">
        <v>38</v>
      </c>
      <c r="Y12" s="14" t="s">
        <v>1049</v>
      </c>
      <c r="Z12" s="15" t="s">
        <v>1351</v>
      </c>
      <c r="AA12" s="15" t="s">
        <v>2403</v>
      </c>
      <c r="AB12" s="15"/>
      <c r="AI12" s="19" t="s">
        <v>5345</v>
      </c>
      <c r="AJ12" s="19" t="s">
        <v>5591</v>
      </c>
      <c r="AK12" s="19" t="s">
        <v>5526</v>
      </c>
      <c r="AP12">
        <v>19827366</v>
      </c>
      <c r="AQ12" t="s">
        <v>1715</v>
      </c>
      <c r="AS12">
        <v>22027695</v>
      </c>
      <c r="AT12" t="s">
        <v>5690</v>
      </c>
    </row>
    <row r="13" spans="1:48" x14ac:dyDescent="0.3">
      <c r="F13" s="17"/>
      <c r="H13" s="38"/>
      <c r="M13" s="39"/>
      <c r="N13" s="39"/>
      <c r="O13" s="37" t="s">
        <v>2</v>
      </c>
      <c r="S13">
        <v>4974012540</v>
      </c>
      <c r="T13" t="s">
        <v>1362</v>
      </c>
      <c r="U13" t="s">
        <v>1366</v>
      </c>
      <c r="V13" t="s">
        <v>39</v>
      </c>
      <c r="Y13" s="14" t="s">
        <v>1051</v>
      </c>
      <c r="Z13" s="15" t="s">
        <v>5729</v>
      </c>
      <c r="AA13" s="15" t="s">
        <v>5743</v>
      </c>
      <c r="AB13" s="15"/>
      <c r="AI13" s="19" t="s">
        <v>5345</v>
      </c>
      <c r="AJ13" s="19" t="s">
        <v>5592</v>
      </c>
      <c r="AK13" s="19" t="s">
        <v>5527</v>
      </c>
      <c r="AP13">
        <v>19826422</v>
      </c>
      <c r="AQ13" t="s">
        <v>1714</v>
      </c>
      <c r="AS13">
        <v>15163107</v>
      </c>
      <c r="AT13" t="s">
        <v>5331</v>
      </c>
    </row>
    <row r="14" spans="1:48" x14ac:dyDescent="0.3">
      <c r="F14" s="17"/>
      <c r="H14" s="38"/>
      <c r="O14" s="12">
        <v>16</v>
      </c>
      <c r="S14">
        <v>4974012540</v>
      </c>
      <c r="T14" t="s">
        <v>1362</v>
      </c>
      <c r="U14" t="s">
        <v>1367</v>
      </c>
      <c r="V14" t="s">
        <v>40</v>
      </c>
      <c r="Y14" s="14" t="s">
        <v>249</v>
      </c>
      <c r="Z14" s="15" t="s">
        <v>1343</v>
      </c>
      <c r="AA14" s="15" t="s">
        <v>2390</v>
      </c>
      <c r="AB14" s="15"/>
      <c r="AI14" s="19" t="s">
        <v>5350</v>
      </c>
      <c r="AJ14" s="19" t="s">
        <v>5593</v>
      </c>
      <c r="AK14" s="19" t="s">
        <v>5528</v>
      </c>
      <c r="AP14">
        <v>19792544</v>
      </c>
      <c r="AQ14" t="s">
        <v>1713</v>
      </c>
    </row>
    <row r="15" spans="1:48" x14ac:dyDescent="0.3">
      <c r="F15" s="17"/>
      <c r="H15" s="38"/>
      <c r="O15" s="12">
        <v>22</v>
      </c>
      <c r="S15">
        <v>4974012540</v>
      </c>
      <c r="T15" t="s">
        <v>1362</v>
      </c>
      <c r="U15" t="s">
        <v>20</v>
      </c>
      <c r="V15" t="s">
        <v>42</v>
      </c>
      <c r="Y15" s="14" t="s">
        <v>1051</v>
      </c>
      <c r="Z15" s="15" t="s">
        <v>1342</v>
      </c>
      <c r="AA15" s="15" t="s">
        <v>2389</v>
      </c>
      <c r="AB15" s="15"/>
      <c r="AI15" s="19" t="s">
        <v>5346</v>
      </c>
      <c r="AJ15" s="19" t="s">
        <v>5594</v>
      </c>
      <c r="AK15" s="19" t="s">
        <v>5529</v>
      </c>
      <c r="AP15">
        <v>19766717</v>
      </c>
      <c r="AQ15" t="s">
        <v>1491</v>
      </c>
    </row>
    <row r="16" spans="1:48" x14ac:dyDescent="0.3">
      <c r="F16" s="17"/>
      <c r="H16" s="38"/>
      <c r="S16">
        <v>4974012540</v>
      </c>
      <c r="T16" t="s">
        <v>1362</v>
      </c>
      <c r="U16" t="s">
        <v>1295</v>
      </c>
      <c r="V16" t="s">
        <v>5666</v>
      </c>
      <c r="Y16" s="14" t="s">
        <v>249</v>
      </c>
      <c r="Z16" s="15" t="s">
        <v>5730</v>
      </c>
      <c r="AA16" s="15" t="s">
        <v>5744</v>
      </c>
      <c r="AB16" s="15"/>
      <c r="AI16" s="19" t="s">
        <v>5350</v>
      </c>
      <c r="AJ16" s="19" t="s">
        <v>5595</v>
      </c>
      <c r="AK16" s="19" t="s">
        <v>5530</v>
      </c>
      <c r="AP16">
        <v>19764110</v>
      </c>
      <c r="AQ16" t="s">
        <v>1490</v>
      </c>
    </row>
    <row r="17" spans="3:43" x14ac:dyDescent="0.3">
      <c r="C17" s="40"/>
      <c r="F17" s="17"/>
      <c r="H17" s="38"/>
      <c r="S17">
        <v>4973959122</v>
      </c>
      <c r="T17" t="s">
        <v>1368</v>
      </c>
      <c r="U17" t="s">
        <v>1380</v>
      </c>
      <c r="V17" t="s">
        <v>1369</v>
      </c>
      <c r="Y17" s="14" t="s">
        <v>249</v>
      </c>
      <c r="Z17" s="15" t="s">
        <v>5731</v>
      </c>
      <c r="AA17" s="15" t="s">
        <v>5745</v>
      </c>
      <c r="AB17" s="15"/>
      <c r="AI17" s="19" t="s">
        <v>5350</v>
      </c>
      <c r="AJ17" s="19" t="s">
        <v>5596</v>
      </c>
      <c r="AK17" s="19" t="s">
        <v>5531</v>
      </c>
      <c r="AP17">
        <v>19745238</v>
      </c>
      <c r="AQ17" t="s">
        <v>1489</v>
      </c>
    </row>
    <row r="18" spans="3:43" x14ac:dyDescent="0.3">
      <c r="F18" s="17"/>
      <c r="H18" s="38"/>
      <c r="S18">
        <v>4973959122</v>
      </c>
      <c r="T18" t="s">
        <v>1368</v>
      </c>
      <c r="U18" t="s">
        <v>1381</v>
      </c>
      <c r="V18" t="s">
        <v>1382</v>
      </c>
      <c r="Y18" s="14" t="s">
        <v>5343</v>
      </c>
      <c r="Z18" s="15" t="s">
        <v>5361</v>
      </c>
      <c r="AA18" s="15" t="s">
        <v>5455</v>
      </c>
      <c r="AB18" s="15"/>
      <c r="AI18" s="15" t="s">
        <v>5378</v>
      </c>
      <c r="AJ18" s="15" t="s">
        <v>5597</v>
      </c>
      <c r="AK18" s="15" t="s">
        <v>5532</v>
      </c>
      <c r="AP18">
        <v>19726317</v>
      </c>
      <c r="AQ18" t="s">
        <v>1488</v>
      </c>
    </row>
    <row r="19" spans="3:43" x14ac:dyDescent="0.3">
      <c r="F19" s="17"/>
      <c r="H19" s="38"/>
      <c r="S19">
        <v>4973959122</v>
      </c>
      <c r="T19" t="s">
        <v>1368</v>
      </c>
      <c r="U19" t="s">
        <v>1383</v>
      </c>
      <c r="V19" t="s">
        <v>1384</v>
      </c>
      <c r="Y19" s="14" t="s">
        <v>114</v>
      </c>
      <c r="Z19" s="15" t="s">
        <v>5732</v>
      </c>
      <c r="AA19" s="15" t="s">
        <v>5746</v>
      </c>
      <c r="AB19" s="15"/>
      <c r="AI19" s="15" t="s">
        <v>1333</v>
      </c>
      <c r="AJ19" s="15" t="s">
        <v>5598</v>
      </c>
      <c r="AK19" s="15" t="s">
        <v>5533</v>
      </c>
      <c r="AP19">
        <v>19709124</v>
      </c>
      <c r="AQ19" t="s">
        <v>1487</v>
      </c>
    </row>
    <row r="20" spans="3:43" x14ac:dyDescent="0.3">
      <c r="F20" s="17"/>
      <c r="H20" s="38"/>
      <c r="M20" s="39"/>
      <c r="S20">
        <v>4973959122</v>
      </c>
      <c r="T20" t="s">
        <v>1368</v>
      </c>
      <c r="U20" t="s">
        <v>13</v>
      </c>
      <c r="V20" t="s">
        <v>46</v>
      </c>
      <c r="Y20" s="14" t="s">
        <v>29</v>
      </c>
      <c r="Z20" s="15" t="s">
        <v>5733</v>
      </c>
      <c r="AA20" s="15" t="s">
        <v>5747</v>
      </c>
      <c r="AB20" s="15"/>
      <c r="AI20" s="15" t="s">
        <v>5358</v>
      </c>
      <c r="AJ20" s="15" t="s">
        <v>5599</v>
      </c>
      <c r="AK20" s="15" t="s">
        <v>5534</v>
      </c>
      <c r="AP20">
        <v>19708547</v>
      </c>
      <c r="AQ20" t="s">
        <v>1486</v>
      </c>
    </row>
    <row r="21" spans="3:43" x14ac:dyDescent="0.3">
      <c r="F21" s="17"/>
      <c r="H21" s="38"/>
      <c r="S21">
        <v>4973959122</v>
      </c>
      <c r="T21" t="s">
        <v>1368</v>
      </c>
      <c r="U21" t="s">
        <v>1385</v>
      </c>
      <c r="V21" t="s">
        <v>1386</v>
      </c>
      <c r="Y21" s="14" t="s">
        <v>1049</v>
      </c>
      <c r="Z21" s="15" t="s">
        <v>5333</v>
      </c>
      <c r="AA21" s="15" t="s">
        <v>5337</v>
      </c>
      <c r="AB21" s="15"/>
      <c r="AI21" s="15" t="s">
        <v>5358</v>
      </c>
      <c r="AJ21" s="15" t="s">
        <v>5600</v>
      </c>
      <c r="AK21" s="15" t="s">
        <v>5535</v>
      </c>
      <c r="AP21">
        <v>19708541</v>
      </c>
      <c r="AQ21" t="s">
        <v>1485</v>
      </c>
    </row>
    <row r="22" spans="3:43" x14ac:dyDescent="0.3">
      <c r="F22" s="17"/>
      <c r="H22" s="38"/>
      <c r="S22">
        <v>4973959122</v>
      </c>
      <c r="T22" t="s">
        <v>1368</v>
      </c>
      <c r="U22" t="s">
        <v>1387</v>
      </c>
      <c r="V22" t="s">
        <v>1388</v>
      </c>
      <c r="Y22" s="14" t="s">
        <v>29</v>
      </c>
      <c r="Z22" s="15" t="s">
        <v>5734</v>
      </c>
      <c r="AA22" s="15" t="s">
        <v>5748</v>
      </c>
      <c r="AB22" s="15"/>
      <c r="AI22" s="15" t="s">
        <v>5378</v>
      </c>
      <c r="AJ22" s="15" t="s">
        <v>5601</v>
      </c>
      <c r="AK22" s="15" t="s">
        <v>5536</v>
      </c>
      <c r="AP22">
        <v>19708535</v>
      </c>
      <c r="AQ22" t="s">
        <v>1484</v>
      </c>
    </row>
    <row r="23" spans="3:43" x14ac:dyDescent="0.3">
      <c r="C23" s="40"/>
      <c r="F23" s="17"/>
      <c r="H23" s="38"/>
      <c r="S23">
        <v>4973959122</v>
      </c>
      <c r="T23" t="s">
        <v>1368</v>
      </c>
      <c r="U23" t="s">
        <v>1709</v>
      </c>
      <c r="V23" t="s">
        <v>1710</v>
      </c>
      <c r="Y23" s="14" t="s">
        <v>1050</v>
      </c>
      <c r="Z23" s="15" t="s">
        <v>1093</v>
      </c>
      <c r="AA23" s="15" t="s">
        <v>2408</v>
      </c>
      <c r="AB23" s="15"/>
      <c r="AI23" s="15" t="s">
        <v>1499</v>
      </c>
      <c r="AJ23" s="15" t="s">
        <v>5602</v>
      </c>
      <c r="AK23" s="15" t="s">
        <v>5537</v>
      </c>
      <c r="AP23">
        <v>19708306</v>
      </c>
      <c r="AQ23" t="s">
        <v>1483</v>
      </c>
    </row>
    <row r="24" spans="3:43" x14ac:dyDescent="0.3">
      <c r="F24" s="17"/>
      <c r="H24" s="38"/>
      <c r="S24">
        <v>4973959122</v>
      </c>
      <c r="T24" t="s">
        <v>1368</v>
      </c>
      <c r="U24" t="s">
        <v>1711</v>
      </c>
      <c r="V24" t="s">
        <v>1712</v>
      </c>
      <c r="Y24" s="14" t="s">
        <v>1050</v>
      </c>
      <c r="Z24" s="15" t="s">
        <v>1353</v>
      </c>
      <c r="AA24" s="15" t="s">
        <v>2407</v>
      </c>
      <c r="AB24" s="15"/>
      <c r="AI24" s="15" t="s">
        <v>1499</v>
      </c>
      <c r="AJ24" s="15" t="s">
        <v>5603</v>
      </c>
      <c r="AK24" s="15" t="s">
        <v>5538</v>
      </c>
      <c r="AP24">
        <v>19708269</v>
      </c>
      <c r="AQ24" t="s">
        <v>1482</v>
      </c>
    </row>
    <row r="25" spans="3:43" x14ac:dyDescent="0.3">
      <c r="F25" s="17"/>
      <c r="H25" s="38"/>
      <c r="S25">
        <v>4973959122</v>
      </c>
      <c r="T25" t="s">
        <v>1368</v>
      </c>
      <c r="U25" t="s">
        <v>5344</v>
      </c>
      <c r="V25" t="s">
        <v>5667</v>
      </c>
      <c r="Y25" s="14" t="s">
        <v>1050</v>
      </c>
      <c r="Z25" s="15" t="s">
        <v>1350</v>
      </c>
      <c r="AA25" s="15" t="s">
        <v>1922</v>
      </c>
      <c r="AB25" s="15"/>
      <c r="AI25" s="15" t="s">
        <v>1499</v>
      </c>
      <c r="AJ25" s="15" t="s">
        <v>5604</v>
      </c>
      <c r="AK25" s="15" t="s">
        <v>5539</v>
      </c>
      <c r="AP25">
        <v>19706222</v>
      </c>
      <c r="AQ25" t="s">
        <v>1481</v>
      </c>
    </row>
    <row r="26" spans="3:43" x14ac:dyDescent="0.3">
      <c r="F26" s="17"/>
      <c r="H26" s="38"/>
      <c r="S26">
        <v>4973204278</v>
      </c>
      <c r="T26" t="s">
        <v>1370</v>
      </c>
      <c r="U26" t="s">
        <v>1295</v>
      </c>
      <c r="V26" t="s">
        <v>1305</v>
      </c>
      <c r="Y26" s="14" t="s">
        <v>1050</v>
      </c>
      <c r="Z26" s="15" t="s">
        <v>5355</v>
      </c>
      <c r="AA26" s="15" t="s">
        <v>5449</v>
      </c>
      <c r="AB26" s="15"/>
      <c r="AI26" s="15" t="s">
        <v>1499</v>
      </c>
      <c r="AJ26" s="15" t="s">
        <v>5605</v>
      </c>
      <c r="AK26" s="15" t="s">
        <v>5540</v>
      </c>
      <c r="AP26">
        <v>19706182</v>
      </c>
      <c r="AQ26" t="s">
        <v>1480</v>
      </c>
    </row>
    <row r="27" spans="3:43" x14ac:dyDescent="0.3">
      <c r="F27" s="17"/>
      <c r="H27" s="38"/>
      <c r="M27" s="41"/>
      <c r="S27">
        <v>4973204278</v>
      </c>
      <c r="T27" t="s">
        <v>1370</v>
      </c>
      <c r="U27" t="s">
        <v>233</v>
      </c>
      <c r="V27" t="s">
        <v>45</v>
      </c>
      <c r="Y27" s="14" t="s">
        <v>1050</v>
      </c>
      <c r="Z27" s="15" t="s">
        <v>5735</v>
      </c>
      <c r="AA27" s="15" t="s">
        <v>5749</v>
      </c>
      <c r="AB27" s="15"/>
      <c r="AI27" s="15" t="s">
        <v>1499</v>
      </c>
      <c r="AJ27" s="15" t="s">
        <v>5606</v>
      </c>
      <c r="AK27" s="15" t="s">
        <v>5541</v>
      </c>
      <c r="AP27">
        <v>19706160</v>
      </c>
      <c r="AQ27" t="s">
        <v>1479</v>
      </c>
    </row>
    <row r="28" spans="3:43" x14ac:dyDescent="0.3">
      <c r="F28" s="17"/>
      <c r="H28" s="38"/>
      <c r="M28" s="41"/>
      <c r="S28">
        <v>4973204278</v>
      </c>
      <c r="T28" t="s">
        <v>1370</v>
      </c>
      <c r="U28" t="s">
        <v>13</v>
      </c>
      <c r="V28" t="s">
        <v>46</v>
      </c>
      <c r="Y28" s="14" t="s">
        <v>29</v>
      </c>
      <c r="Z28" s="15" t="s">
        <v>1137</v>
      </c>
      <c r="AA28" s="15" t="s">
        <v>2385</v>
      </c>
      <c r="AB28" s="15"/>
      <c r="AI28" s="15" t="s">
        <v>5378</v>
      </c>
      <c r="AJ28" s="15" t="s">
        <v>5607</v>
      </c>
      <c r="AK28" s="15" t="s">
        <v>5542</v>
      </c>
      <c r="AP28">
        <v>19706078</v>
      </c>
      <c r="AQ28" t="s">
        <v>1478</v>
      </c>
    </row>
    <row r="29" spans="3:43" x14ac:dyDescent="0.3">
      <c r="F29" s="17"/>
      <c r="H29" s="38"/>
      <c r="M29" s="41"/>
      <c r="S29">
        <v>4973204278</v>
      </c>
      <c r="T29" t="s">
        <v>1370</v>
      </c>
      <c r="U29" t="s">
        <v>7</v>
      </c>
      <c r="V29" t="s">
        <v>24</v>
      </c>
      <c r="Y29" s="19" t="s">
        <v>5341</v>
      </c>
      <c r="Z29" s="19" t="s">
        <v>5346</v>
      </c>
      <c r="AA29" s="19" t="s">
        <v>5440</v>
      </c>
      <c r="AB29" s="15"/>
      <c r="AI29" s="15" t="s">
        <v>5378</v>
      </c>
      <c r="AJ29" s="15" t="s">
        <v>5608</v>
      </c>
      <c r="AK29" s="15" t="s">
        <v>5543</v>
      </c>
      <c r="AP29">
        <v>19705075</v>
      </c>
      <c r="AQ29" t="s">
        <v>1477</v>
      </c>
    </row>
    <row r="30" spans="3:43" x14ac:dyDescent="0.3">
      <c r="F30" s="17"/>
      <c r="H30" s="38"/>
      <c r="S30">
        <v>4973204278</v>
      </c>
      <c r="T30" t="s">
        <v>1370</v>
      </c>
      <c r="U30" t="s">
        <v>22</v>
      </c>
      <c r="V30" t="s">
        <v>47</v>
      </c>
      <c r="Y30" s="14" t="s">
        <v>33</v>
      </c>
      <c r="Z30" s="15" t="s">
        <v>5347</v>
      </c>
      <c r="AA30" s="15" t="s">
        <v>5441</v>
      </c>
      <c r="AB30" s="15"/>
      <c r="AI30" s="15" t="s">
        <v>5378</v>
      </c>
      <c r="AJ30" s="15" t="s">
        <v>5609</v>
      </c>
      <c r="AK30" s="15" t="s">
        <v>5544</v>
      </c>
      <c r="AP30">
        <v>19705028</v>
      </c>
      <c r="AQ30" t="s">
        <v>1476</v>
      </c>
    </row>
    <row r="31" spans="3:43" x14ac:dyDescent="0.3">
      <c r="F31" s="17"/>
      <c r="H31" s="38"/>
      <c r="S31">
        <v>4973204278</v>
      </c>
      <c r="T31" t="s">
        <v>1370</v>
      </c>
      <c r="U31" t="s">
        <v>6</v>
      </c>
      <c r="V31" t="s">
        <v>26</v>
      </c>
      <c r="Y31" s="14" t="s">
        <v>233</v>
      </c>
      <c r="Z31" s="15" t="s">
        <v>5348</v>
      </c>
      <c r="AA31" s="15" t="s">
        <v>5442</v>
      </c>
      <c r="AB31" s="15"/>
      <c r="AI31" s="15" t="s">
        <v>1340</v>
      </c>
      <c r="AJ31" s="15" t="s">
        <v>5610</v>
      </c>
      <c r="AK31" s="15" t="s">
        <v>5545</v>
      </c>
      <c r="AP31">
        <v>19705018</v>
      </c>
      <c r="AQ31" t="s">
        <v>1475</v>
      </c>
    </row>
    <row r="32" spans="3:43" x14ac:dyDescent="0.3">
      <c r="F32" s="17"/>
      <c r="H32" s="38"/>
      <c r="M32" s="41"/>
      <c r="S32">
        <v>4973204278</v>
      </c>
      <c r="T32" t="s">
        <v>1370</v>
      </c>
      <c r="U32" t="s">
        <v>1048</v>
      </c>
      <c r="V32" t="s">
        <v>1306</v>
      </c>
      <c r="Y32" s="14" t="s">
        <v>1380</v>
      </c>
      <c r="Z32" s="15" t="s">
        <v>5349</v>
      </c>
      <c r="AA32" s="15" t="s">
        <v>5443</v>
      </c>
      <c r="AB32" s="15"/>
      <c r="AI32" s="19" t="s">
        <v>110</v>
      </c>
      <c r="AJ32" s="19" t="s">
        <v>5611</v>
      </c>
      <c r="AK32" s="19" t="s">
        <v>5546</v>
      </c>
      <c r="AP32">
        <v>19704953</v>
      </c>
      <c r="AQ32" t="s">
        <v>1474</v>
      </c>
    </row>
    <row r="33" spans="3:43" x14ac:dyDescent="0.3">
      <c r="C33" s="40"/>
      <c r="F33" s="17"/>
      <c r="H33" s="38"/>
      <c r="M33" s="41"/>
      <c r="S33">
        <v>4973204278</v>
      </c>
      <c r="T33" t="s">
        <v>1370</v>
      </c>
      <c r="U33" t="s">
        <v>18</v>
      </c>
      <c r="V33" t="s">
        <v>48</v>
      </c>
      <c r="Y33" s="19" t="s">
        <v>5341</v>
      </c>
      <c r="Z33" s="19" t="s">
        <v>5350</v>
      </c>
      <c r="AA33" s="19" t="s">
        <v>5444</v>
      </c>
      <c r="AB33" s="15"/>
      <c r="AI33" s="15" t="s">
        <v>252</v>
      </c>
      <c r="AJ33" s="15" t="s">
        <v>5612</v>
      </c>
      <c r="AK33" s="15" t="s">
        <v>5547</v>
      </c>
      <c r="AP33">
        <v>19704819</v>
      </c>
      <c r="AQ33" t="s">
        <v>1473</v>
      </c>
    </row>
    <row r="34" spans="3:43" x14ac:dyDescent="0.3">
      <c r="F34" s="17"/>
      <c r="H34" s="38"/>
      <c r="M34" s="41"/>
      <c r="S34">
        <v>4973204278</v>
      </c>
      <c r="T34" t="s">
        <v>1370</v>
      </c>
      <c r="U34" t="s">
        <v>23</v>
      </c>
      <c r="V34" t="s">
        <v>49</v>
      </c>
      <c r="Y34" s="19" t="s">
        <v>1364</v>
      </c>
      <c r="Z34" s="19" t="s">
        <v>5351</v>
      </c>
      <c r="AA34" s="19" t="s">
        <v>5445</v>
      </c>
      <c r="AB34" s="15"/>
      <c r="AI34" s="15" t="s">
        <v>252</v>
      </c>
      <c r="AJ34" s="15" t="s">
        <v>5613</v>
      </c>
      <c r="AK34" s="15" t="s">
        <v>5548</v>
      </c>
      <c r="AP34">
        <v>19703931</v>
      </c>
      <c r="AQ34" t="s">
        <v>1472</v>
      </c>
    </row>
    <row r="35" spans="3:43" x14ac:dyDescent="0.3">
      <c r="F35" s="17"/>
      <c r="H35" s="38"/>
      <c r="S35">
        <v>4973204278</v>
      </c>
      <c r="T35" t="s">
        <v>1370</v>
      </c>
      <c r="U35" t="s">
        <v>5175</v>
      </c>
      <c r="V35" t="s">
        <v>5668</v>
      </c>
      <c r="Y35" s="14" t="s">
        <v>1380</v>
      </c>
      <c r="Z35" s="15" t="s">
        <v>5352</v>
      </c>
      <c r="AA35" s="15" t="s">
        <v>5446</v>
      </c>
      <c r="AB35" s="15"/>
      <c r="AI35" s="15" t="s">
        <v>252</v>
      </c>
      <c r="AJ35" s="15" t="s">
        <v>5614</v>
      </c>
      <c r="AK35" s="15" t="s">
        <v>5549</v>
      </c>
      <c r="AP35">
        <v>19703930</v>
      </c>
      <c r="AQ35" t="s">
        <v>1471</v>
      </c>
    </row>
    <row r="36" spans="3:43" x14ac:dyDescent="0.3">
      <c r="F36" s="17"/>
      <c r="H36" s="38"/>
      <c r="S36">
        <v>4973204278</v>
      </c>
      <c r="T36" t="s">
        <v>1370</v>
      </c>
      <c r="U36" t="s">
        <v>8</v>
      </c>
      <c r="V36" t="s">
        <v>50</v>
      </c>
      <c r="Y36" s="19" t="s">
        <v>1366</v>
      </c>
      <c r="Z36" s="19" t="s">
        <v>5353</v>
      </c>
      <c r="AA36" s="19" t="s">
        <v>5447</v>
      </c>
      <c r="AB36" s="15"/>
      <c r="AI36" s="15" t="s">
        <v>252</v>
      </c>
      <c r="AJ36" s="15" t="s">
        <v>5615</v>
      </c>
      <c r="AK36" s="15" t="s">
        <v>5550</v>
      </c>
      <c r="AP36">
        <v>19703833</v>
      </c>
      <c r="AQ36" t="s">
        <v>1470</v>
      </c>
    </row>
    <row r="37" spans="3:43" x14ac:dyDescent="0.3">
      <c r="F37" s="17"/>
      <c r="H37" s="38"/>
      <c r="M37" s="41"/>
      <c r="S37">
        <v>4973204278</v>
      </c>
      <c r="T37" t="s">
        <v>1370</v>
      </c>
      <c r="U37" t="s">
        <v>229</v>
      </c>
      <c r="V37" t="s">
        <v>1307</v>
      </c>
      <c r="Y37" s="14" t="s">
        <v>5342</v>
      </c>
      <c r="Z37" s="15" t="s">
        <v>5354</v>
      </c>
      <c r="AA37" s="15" t="s">
        <v>5448</v>
      </c>
      <c r="AB37" s="15"/>
      <c r="AI37" s="15" t="s">
        <v>1499</v>
      </c>
      <c r="AJ37" s="15" t="s">
        <v>5616</v>
      </c>
      <c r="AK37" s="15" t="s">
        <v>5551</v>
      </c>
      <c r="AP37">
        <v>19703831</v>
      </c>
      <c r="AQ37" t="s">
        <v>1469</v>
      </c>
    </row>
    <row r="38" spans="3:43" x14ac:dyDescent="0.3">
      <c r="F38" s="17"/>
      <c r="H38" s="38"/>
      <c r="M38" s="41"/>
      <c r="S38">
        <v>4973204278</v>
      </c>
      <c r="T38" t="s">
        <v>1370</v>
      </c>
      <c r="U38" t="s">
        <v>1295</v>
      </c>
      <c r="V38" t="s">
        <v>1308</v>
      </c>
      <c r="Y38" s="19" t="s">
        <v>1364</v>
      </c>
      <c r="Z38" s="19" t="s">
        <v>5356</v>
      </c>
      <c r="AA38" s="19" t="s">
        <v>5450</v>
      </c>
      <c r="AB38" s="15"/>
      <c r="AI38" s="15" t="s">
        <v>5392</v>
      </c>
      <c r="AJ38" s="15" t="s">
        <v>5617</v>
      </c>
      <c r="AK38" s="15" t="s">
        <v>5552</v>
      </c>
      <c r="AP38">
        <v>19703829</v>
      </c>
      <c r="AQ38" t="s">
        <v>1468</v>
      </c>
    </row>
    <row r="39" spans="3:43" x14ac:dyDescent="0.3">
      <c r="F39" s="17"/>
      <c r="H39" s="38"/>
      <c r="M39" s="41"/>
      <c r="S39">
        <v>4973204278</v>
      </c>
      <c r="T39" t="s">
        <v>1370</v>
      </c>
      <c r="U39" t="s">
        <v>1295</v>
      </c>
      <c r="V39" t="s">
        <v>1309</v>
      </c>
      <c r="Y39" s="14" t="s">
        <v>1331</v>
      </c>
      <c r="Z39" s="15" t="s">
        <v>5357</v>
      </c>
      <c r="AA39" s="15" t="s">
        <v>5451</v>
      </c>
      <c r="AB39" s="15"/>
      <c r="AI39" s="15" t="s">
        <v>5392</v>
      </c>
      <c r="AJ39" s="15" t="s">
        <v>5618</v>
      </c>
      <c r="AK39" s="15" t="s">
        <v>5553</v>
      </c>
      <c r="AP39">
        <v>19703820</v>
      </c>
      <c r="AQ39" t="s">
        <v>1467</v>
      </c>
    </row>
    <row r="40" spans="3:43" x14ac:dyDescent="0.3">
      <c r="C40" s="38"/>
      <c r="F40" s="17"/>
      <c r="H40" s="38"/>
      <c r="S40">
        <v>4909340518</v>
      </c>
      <c r="T40" t="s">
        <v>1321</v>
      </c>
      <c r="U40" t="s">
        <v>1322</v>
      </c>
      <c r="V40" t="s">
        <v>24</v>
      </c>
      <c r="Y40" s="14" t="s">
        <v>1331</v>
      </c>
      <c r="Z40" s="15" t="s">
        <v>1333</v>
      </c>
      <c r="AA40" s="15" t="s">
        <v>1863</v>
      </c>
      <c r="AB40" s="15"/>
      <c r="AI40" s="15" t="s">
        <v>1645</v>
      </c>
      <c r="AJ40" s="15" t="s">
        <v>5619</v>
      </c>
      <c r="AK40" s="15" t="s">
        <v>5554</v>
      </c>
      <c r="AP40">
        <v>19703818</v>
      </c>
      <c r="AQ40" t="s">
        <v>1466</v>
      </c>
    </row>
    <row r="41" spans="3:43" x14ac:dyDescent="0.3">
      <c r="C41" s="38"/>
      <c r="F41" s="17"/>
      <c r="H41" s="38"/>
      <c r="S41">
        <v>4909340518</v>
      </c>
      <c r="T41" t="s">
        <v>1321</v>
      </c>
      <c r="U41" t="s">
        <v>1323</v>
      </c>
      <c r="V41" t="s">
        <v>25</v>
      </c>
      <c r="Y41" s="14" t="s">
        <v>1331</v>
      </c>
      <c r="Z41" s="15" t="s">
        <v>1499</v>
      </c>
      <c r="AA41" s="15" t="s">
        <v>2015</v>
      </c>
      <c r="AB41" s="15"/>
      <c r="AI41" s="15" t="s">
        <v>252</v>
      </c>
      <c r="AJ41" s="15" t="s">
        <v>5620</v>
      </c>
      <c r="AK41" s="15" t="s">
        <v>5555</v>
      </c>
      <c r="AP41">
        <v>19703814</v>
      </c>
      <c r="AQ41" t="s">
        <v>1465</v>
      </c>
    </row>
    <row r="42" spans="3:43" x14ac:dyDescent="0.3">
      <c r="C42" s="38"/>
      <c r="F42" s="17"/>
      <c r="G42" s="17"/>
      <c r="H42" s="38"/>
      <c r="S42">
        <v>4909340518</v>
      </c>
      <c r="T42" t="s">
        <v>1321</v>
      </c>
      <c r="U42" t="s">
        <v>1324</v>
      </c>
      <c r="V42" t="s">
        <v>26</v>
      </c>
      <c r="Y42" s="14" t="s">
        <v>1331</v>
      </c>
      <c r="Z42" s="15" t="s">
        <v>5358</v>
      </c>
      <c r="AA42" s="15" t="s">
        <v>5452</v>
      </c>
      <c r="AB42" s="15"/>
      <c r="AI42" s="15" t="s">
        <v>1333</v>
      </c>
      <c r="AJ42" s="15" t="s">
        <v>5621</v>
      </c>
      <c r="AK42" s="15" t="s">
        <v>5556</v>
      </c>
      <c r="AP42">
        <v>19703809</v>
      </c>
      <c r="AQ42" t="s">
        <v>1464</v>
      </c>
    </row>
    <row r="43" spans="3:43" x14ac:dyDescent="0.3">
      <c r="F43" s="17"/>
      <c r="H43" s="38"/>
      <c r="S43">
        <v>4909340518</v>
      </c>
      <c r="T43" t="s">
        <v>1321</v>
      </c>
      <c r="U43" t="s">
        <v>1325</v>
      </c>
      <c r="V43" t="s">
        <v>1326</v>
      </c>
      <c r="Y43" s="19" t="s">
        <v>1364</v>
      </c>
      <c r="Z43" s="19" t="s">
        <v>5359</v>
      </c>
      <c r="AA43" s="19" t="s">
        <v>5453</v>
      </c>
      <c r="AB43" s="15"/>
      <c r="AI43" s="15" t="s">
        <v>1333</v>
      </c>
      <c r="AJ43" s="15" t="s">
        <v>5622</v>
      </c>
      <c r="AK43" s="15" t="s">
        <v>5557</v>
      </c>
      <c r="AP43">
        <v>19703804</v>
      </c>
      <c r="AQ43" t="s">
        <v>1463</v>
      </c>
    </row>
    <row r="44" spans="3:43" x14ac:dyDescent="0.3">
      <c r="S44">
        <v>4909340518</v>
      </c>
      <c r="T44" t="s">
        <v>1321</v>
      </c>
      <c r="U44" t="s">
        <v>1327</v>
      </c>
      <c r="V44" t="s">
        <v>1328</v>
      </c>
      <c r="Y44" s="14" t="s">
        <v>1380</v>
      </c>
      <c r="Z44" s="15" t="s">
        <v>5360</v>
      </c>
      <c r="AA44" s="15" t="s">
        <v>5454</v>
      </c>
      <c r="AB44" s="15"/>
      <c r="AI44" s="15" t="s">
        <v>1333</v>
      </c>
      <c r="AJ44" s="15" t="s">
        <v>5623</v>
      </c>
      <c r="AK44" s="15" t="s">
        <v>5558</v>
      </c>
      <c r="AP44">
        <v>19703750</v>
      </c>
      <c r="AQ44" t="s">
        <v>1462</v>
      </c>
    </row>
    <row r="45" spans="3:43" x14ac:dyDescent="0.3">
      <c r="S45">
        <v>2763786972</v>
      </c>
      <c r="T45" t="s">
        <v>27</v>
      </c>
      <c r="U45" t="s">
        <v>1050</v>
      </c>
      <c r="V45" t="s">
        <v>1297</v>
      </c>
      <c r="Y45" s="14" t="s">
        <v>118</v>
      </c>
      <c r="Z45" s="15" t="s">
        <v>5362</v>
      </c>
      <c r="AA45" s="15" t="s">
        <v>5456</v>
      </c>
      <c r="AB45" s="15"/>
      <c r="AI45" s="15" t="s">
        <v>1333</v>
      </c>
      <c r="AJ45" s="15" t="s">
        <v>5624</v>
      </c>
      <c r="AK45" s="15" t="s">
        <v>5559</v>
      </c>
      <c r="AP45">
        <v>19703743</v>
      </c>
      <c r="AQ45" t="s">
        <v>1461</v>
      </c>
    </row>
    <row r="46" spans="3:43" x14ac:dyDescent="0.3">
      <c r="S46">
        <v>2763786972</v>
      </c>
      <c r="T46" t="s">
        <v>27</v>
      </c>
      <c r="U46" t="s">
        <v>1049</v>
      </c>
      <c r="V46" t="s">
        <v>1298</v>
      </c>
      <c r="Y46" s="19" t="s">
        <v>1364</v>
      </c>
      <c r="Z46" s="19" t="s">
        <v>5363</v>
      </c>
      <c r="AA46" s="19" t="s">
        <v>5457</v>
      </c>
      <c r="AB46" s="15"/>
      <c r="AI46" s="15" t="s">
        <v>5366</v>
      </c>
      <c r="AJ46" s="15" t="s">
        <v>5625</v>
      </c>
      <c r="AK46" s="15" t="s">
        <v>5560</v>
      </c>
      <c r="AP46">
        <v>19703710</v>
      </c>
      <c r="AQ46" t="s">
        <v>1460</v>
      </c>
    </row>
    <row r="47" spans="3:43" x14ac:dyDescent="0.3">
      <c r="N47" s="8" t="s">
        <v>5318</v>
      </c>
      <c r="S47">
        <v>2763786972</v>
      </c>
      <c r="T47" t="s">
        <v>27</v>
      </c>
      <c r="U47" t="s">
        <v>231</v>
      </c>
      <c r="V47" t="s">
        <v>24</v>
      </c>
      <c r="Y47" s="19" t="s">
        <v>1364</v>
      </c>
      <c r="Z47" s="19" t="s">
        <v>5364</v>
      </c>
      <c r="AA47" s="19" t="s">
        <v>5458</v>
      </c>
      <c r="AB47" s="15"/>
      <c r="AI47" s="15" t="s">
        <v>5375</v>
      </c>
      <c r="AJ47" s="15" t="s">
        <v>5626</v>
      </c>
      <c r="AK47" s="15" t="s">
        <v>5561</v>
      </c>
      <c r="AP47">
        <v>19676602</v>
      </c>
      <c r="AQ47" t="s">
        <v>1459</v>
      </c>
    </row>
    <row r="48" spans="3:43" x14ac:dyDescent="0.3">
      <c r="N48" t="s">
        <v>5319</v>
      </c>
      <c r="S48">
        <v>2763786972</v>
      </c>
      <c r="T48" t="s">
        <v>27</v>
      </c>
      <c r="U48" t="s">
        <v>16</v>
      </c>
      <c r="V48" t="s">
        <v>25</v>
      </c>
      <c r="Y48" s="14" t="s">
        <v>1048</v>
      </c>
      <c r="Z48" s="15" t="s">
        <v>5365</v>
      </c>
      <c r="AA48" s="15" t="s">
        <v>5459</v>
      </c>
      <c r="AB48" s="15"/>
      <c r="AI48" s="15" t="s">
        <v>5366</v>
      </c>
      <c r="AJ48" s="15" t="s">
        <v>5627</v>
      </c>
      <c r="AK48" s="15" t="s">
        <v>5562</v>
      </c>
      <c r="AP48">
        <v>19578368</v>
      </c>
      <c r="AQ48" t="s">
        <v>1458</v>
      </c>
    </row>
    <row r="49" spans="13:43" x14ac:dyDescent="0.3">
      <c r="S49">
        <v>2763786972</v>
      </c>
      <c r="T49" t="s">
        <v>27</v>
      </c>
      <c r="U49" t="s">
        <v>12</v>
      </c>
      <c r="V49" t="s">
        <v>26</v>
      </c>
      <c r="Y49" s="14" t="s">
        <v>1048</v>
      </c>
      <c r="Z49" s="15" t="s">
        <v>5366</v>
      </c>
      <c r="AA49" s="15" t="s">
        <v>5460</v>
      </c>
      <c r="AB49" s="15"/>
      <c r="AI49" s="15" t="s">
        <v>5375</v>
      </c>
      <c r="AJ49" s="15" t="s">
        <v>5628</v>
      </c>
      <c r="AK49" s="15" t="s">
        <v>5563</v>
      </c>
      <c r="AP49">
        <v>19045698</v>
      </c>
      <c r="AQ49" t="s">
        <v>1294</v>
      </c>
    </row>
    <row r="50" spans="13:43" x14ac:dyDescent="0.3">
      <c r="M50" t="s">
        <v>62</v>
      </c>
      <c r="S50">
        <v>2763786972</v>
      </c>
      <c r="T50" t="s">
        <v>27</v>
      </c>
      <c r="U50" t="s">
        <v>29</v>
      </c>
      <c r="V50" t="s">
        <v>30</v>
      </c>
      <c r="Y50" s="14" t="s">
        <v>1052</v>
      </c>
      <c r="Z50" s="15" t="s">
        <v>5367</v>
      </c>
      <c r="AA50" s="15" t="s">
        <v>5461</v>
      </c>
      <c r="AB50" s="15"/>
      <c r="AI50" s="15" t="s">
        <v>255</v>
      </c>
      <c r="AJ50" s="15" t="s">
        <v>4603</v>
      </c>
      <c r="AK50" s="15" t="s">
        <v>3603</v>
      </c>
      <c r="AP50">
        <v>17847494</v>
      </c>
      <c r="AQ50" t="s">
        <v>1293</v>
      </c>
    </row>
    <row r="51" spans="13:43" x14ac:dyDescent="0.3">
      <c r="M51" t="s">
        <v>97</v>
      </c>
      <c r="S51">
        <v>2763786972</v>
      </c>
      <c r="T51" t="s">
        <v>27</v>
      </c>
      <c r="U51" t="s">
        <v>17</v>
      </c>
      <c r="V51" t="s">
        <v>31</v>
      </c>
      <c r="Y51" s="19" t="s">
        <v>1364</v>
      </c>
      <c r="Z51" s="19" t="s">
        <v>5368</v>
      </c>
      <c r="AA51" s="19" t="s">
        <v>5462</v>
      </c>
      <c r="AB51" s="15"/>
      <c r="AI51" s="15" t="s">
        <v>255</v>
      </c>
      <c r="AJ51" s="15" t="s">
        <v>4569</v>
      </c>
      <c r="AK51" s="15" t="s">
        <v>3568</v>
      </c>
      <c r="AP51">
        <v>15830448</v>
      </c>
      <c r="AQ51" t="s">
        <v>1457</v>
      </c>
    </row>
    <row r="52" spans="13:43" x14ac:dyDescent="0.3">
      <c r="S52">
        <v>2763786972</v>
      </c>
      <c r="T52" t="s">
        <v>27</v>
      </c>
      <c r="U52" t="s">
        <v>112</v>
      </c>
      <c r="V52" t="s">
        <v>113</v>
      </c>
      <c r="Y52" s="19" t="s">
        <v>1364</v>
      </c>
      <c r="Z52" s="19" t="s">
        <v>5369</v>
      </c>
      <c r="AA52" s="19" t="s">
        <v>5463</v>
      </c>
      <c r="AB52" s="15"/>
      <c r="AI52" s="15" t="s">
        <v>1500</v>
      </c>
      <c r="AJ52" s="15" t="s">
        <v>5629</v>
      </c>
      <c r="AK52" s="15" t="s">
        <v>5564</v>
      </c>
      <c r="AP52">
        <v>15830447</v>
      </c>
      <c r="AQ52" t="s">
        <v>1456</v>
      </c>
    </row>
    <row r="53" spans="13:43" x14ac:dyDescent="0.3">
      <c r="S53">
        <v>2763786972</v>
      </c>
      <c r="T53" t="s">
        <v>27</v>
      </c>
      <c r="U53" t="s">
        <v>114</v>
      </c>
      <c r="V53" t="s">
        <v>115</v>
      </c>
      <c r="Y53" s="19" t="s">
        <v>1364</v>
      </c>
      <c r="Z53" s="19" t="s">
        <v>5370</v>
      </c>
      <c r="AA53" s="19" t="s">
        <v>5464</v>
      </c>
      <c r="AB53" s="15"/>
      <c r="AI53" s="15" t="s">
        <v>1500</v>
      </c>
      <c r="AJ53" s="15" t="s">
        <v>5630</v>
      </c>
      <c r="AK53" s="15" t="s">
        <v>5565</v>
      </c>
      <c r="AP53">
        <v>15830446</v>
      </c>
      <c r="AQ53" t="s">
        <v>1455</v>
      </c>
    </row>
    <row r="54" spans="13:43" x14ac:dyDescent="0.3">
      <c r="S54">
        <v>2763786972</v>
      </c>
      <c r="T54" t="s">
        <v>27</v>
      </c>
      <c r="U54" t="s">
        <v>116</v>
      </c>
      <c r="V54" t="s">
        <v>117</v>
      </c>
      <c r="Y54" s="19" t="s">
        <v>1364</v>
      </c>
      <c r="Z54" s="19" t="s">
        <v>5371</v>
      </c>
      <c r="AA54" s="19" t="s">
        <v>5465</v>
      </c>
      <c r="AB54" s="15"/>
      <c r="AI54" s="15" t="s">
        <v>5375</v>
      </c>
      <c r="AJ54" s="15" t="s">
        <v>5631</v>
      </c>
      <c r="AK54" s="15" t="s">
        <v>5566</v>
      </c>
      <c r="AP54">
        <v>14876643</v>
      </c>
      <c r="AQ54" t="s">
        <v>1454</v>
      </c>
    </row>
    <row r="55" spans="13:43" x14ac:dyDescent="0.3">
      <c r="S55">
        <v>2763786972</v>
      </c>
      <c r="T55" t="s">
        <v>27</v>
      </c>
      <c r="U55" t="s">
        <v>118</v>
      </c>
      <c r="V55" t="s">
        <v>119</v>
      </c>
      <c r="Y55" s="14" t="s">
        <v>1380</v>
      </c>
      <c r="Z55" s="15" t="s">
        <v>5372</v>
      </c>
      <c r="AA55" s="15" t="s">
        <v>5466</v>
      </c>
      <c r="AB55" s="15"/>
      <c r="AI55" s="15" t="s">
        <v>5366</v>
      </c>
      <c r="AJ55" s="15" t="s">
        <v>5632</v>
      </c>
      <c r="AK55" s="15" t="s">
        <v>5567</v>
      </c>
      <c r="AP55">
        <v>14640261</v>
      </c>
      <c r="AQ55" t="s">
        <v>1453</v>
      </c>
    </row>
    <row r="56" spans="13:43" x14ac:dyDescent="0.3">
      <c r="S56">
        <v>2763786972</v>
      </c>
      <c r="T56" t="s">
        <v>27</v>
      </c>
      <c r="U56" t="s">
        <v>120</v>
      </c>
      <c r="V56" t="s">
        <v>121</v>
      </c>
      <c r="Y56" s="14" t="s">
        <v>1380</v>
      </c>
      <c r="Z56" s="15" t="s">
        <v>5373</v>
      </c>
      <c r="AA56" s="15" t="s">
        <v>5467</v>
      </c>
      <c r="AB56" s="15"/>
      <c r="AI56" s="15" t="s">
        <v>1500</v>
      </c>
      <c r="AJ56" s="15" t="s">
        <v>1463</v>
      </c>
      <c r="AK56" s="15" t="s">
        <v>5568</v>
      </c>
      <c r="AP56">
        <v>14576981</v>
      </c>
      <c r="AQ56" t="s">
        <v>1452</v>
      </c>
    </row>
    <row r="57" spans="13:43" x14ac:dyDescent="0.3">
      <c r="M57">
        <v>3</v>
      </c>
      <c r="N57" t="s">
        <v>4</v>
      </c>
      <c r="S57">
        <v>2763786972</v>
      </c>
      <c r="T57" t="s">
        <v>27</v>
      </c>
      <c r="U57" t="s">
        <v>1056</v>
      </c>
      <c r="V57" t="s">
        <v>1299</v>
      </c>
      <c r="Y57" s="14" t="s">
        <v>1380</v>
      </c>
      <c r="Z57" s="15" t="s">
        <v>5374</v>
      </c>
      <c r="AA57" s="15" t="s">
        <v>5468</v>
      </c>
      <c r="AB57" s="15"/>
      <c r="AI57" s="15" t="s">
        <v>1500</v>
      </c>
      <c r="AJ57" s="15" t="s">
        <v>5633</v>
      </c>
      <c r="AK57" s="15" t="s">
        <v>5569</v>
      </c>
      <c r="AP57">
        <v>13729470</v>
      </c>
      <c r="AQ57" t="s">
        <v>1451</v>
      </c>
    </row>
    <row r="58" spans="13:43" x14ac:dyDescent="0.3">
      <c r="M58">
        <v>1</v>
      </c>
      <c r="N58" t="s">
        <v>221</v>
      </c>
      <c r="S58">
        <v>2763786972</v>
      </c>
      <c r="T58" t="s">
        <v>27</v>
      </c>
      <c r="U58" t="s">
        <v>1052</v>
      </c>
      <c r="V58" t="s">
        <v>1300</v>
      </c>
      <c r="Y58" s="14" t="s">
        <v>1048</v>
      </c>
      <c r="Z58" s="15" t="s">
        <v>5375</v>
      </c>
      <c r="AA58" s="15" t="s">
        <v>5469</v>
      </c>
      <c r="AB58" s="15"/>
      <c r="AI58" s="15" t="s">
        <v>1500</v>
      </c>
      <c r="AJ58" s="15" t="s">
        <v>5300</v>
      </c>
      <c r="AK58" s="15" t="s">
        <v>5227</v>
      </c>
      <c r="AP58">
        <v>13243331</v>
      </c>
      <c r="AQ58" t="s">
        <v>1450</v>
      </c>
    </row>
    <row r="59" spans="13:43" x14ac:dyDescent="0.3">
      <c r="M59">
        <v>0</v>
      </c>
      <c r="N59" t="s">
        <v>222</v>
      </c>
      <c r="S59">
        <v>2763786972</v>
      </c>
      <c r="T59" t="s">
        <v>27</v>
      </c>
      <c r="U59" t="s">
        <v>1055</v>
      </c>
      <c r="V59" t="s">
        <v>1301</v>
      </c>
      <c r="Y59" s="14" t="s">
        <v>22</v>
      </c>
      <c r="Z59" s="15" t="s">
        <v>5376</v>
      </c>
      <c r="AA59" s="15" t="s">
        <v>5470</v>
      </c>
      <c r="AB59" s="15"/>
      <c r="AI59" s="15" t="s">
        <v>1500</v>
      </c>
      <c r="AJ59" s="15" t="s">
        <v>5286</v>
      </c>
      <c r="AK59" s="15" t="s">
        <v>5199</v>
      </c>
      <c r="AP59">
        <v>13243330</v>
      </c>
      <c r="AQ59" t="s">
        <v>1449</v>
      </c>
    </row>
    <row r="60" spans="13:43" x14ac:dyDescent="0.3">
      <c r="S60">
        <v>2763786972</v>
      </c>
      <c r="T60" t="s">
        <v>27</v>
      </c>
      <c r="U60" t="s">
        <v>1051</v>
      </c>
      <c r="V60" t="s">
        <v>1302</v>
      </c>
      <c r="Y60" s="14" t="s">
        <v>1381</v>
      </c>
      <c r="Z60" s="15" t="s">
        <v>5377</v>
      </c>
      <c r="AA60" s="15" t="s">
        <v>5471</v>
      </c>
      <c r="AB60" s="15"/>
      <c r="AI60" s="15" t="s">
        <v>1500</v>
      </c>
      <c r="AJ60" s="15" t="s">
        <v>5634</v>
      </c>
      <c r="AK60" s="15" t="s">
        <v>5570</v>
      </c>
      <c r="AP60">
        <v>13243326</v>
      </c>
      <c r="AQ60" t="s">
        <v>11</v>
      </c>
    </row>
    <row r="61" spans="13:43" x14ac:dyDescent="0.3">
      <c r="S61">
        <v>2763786972</v>
      </c>
      <c r="T61" t="s">
        <v>27</v>
      </c>
      <c r="U61" t="s">
        <v>1045</v>
      </c>
      <c r="V61" t="s">
        <v>1303</v>
      </c>
      <c r="Y61" s="14" t="s">
        <v>1048</v>
      </c>
      <c r="Z61" s="15" t="s">
        <v>5378</v>
      </c>
      <c r="AA61" s="15" t="s">
        <v>5472</v>
      </c>
      <c r="AB61" s="15"/>
      <c r="AI61" s="15" t="s">
        <v>1500</v>
      </c>
      <c r="AJ61" s="15" t="s">
        <v>5635</v>
      </c>
      <c r="AK61" s="15" t="s">
        <v>5571</v>
      </c>
      <c r="AP61">
        <v>12963263</v>
      </c>
      <c r="AQ61" t="s">
        <v>1448</v>
      </c>
    </row>
    <row r="62" spans="13:43" x14ac:dyDescent="0.3">
      <c r="S62">
        <v>2763786972</v>
      </c>
      <c r="T62" t="s">
        <v>27</v>
      </c>
      <c r="U62" t="s">
        <v>249</v>
      </c>
      <c r="V62" t="s">
        <v>1329</v>
      </c>
      <c r="Y62" s="14" t="s">
        <v>1380</v>
      </c>
      <c r="Z62" s="15" t="s">
        <v>5379</v>
      </c>
      <c r="AA62" s="15" t="s">
        <v>5473</v>
      </c>
      <c r="AB62" s="15"/>
      <c r="AI62" s="15" t="s">
        <v>1500</v>
      </c>
      <c r="AJ62" s="15" t="s">
        <v>4224</v>
      </c>
      <c r="AK62" s="15" t="s">
        <v>3210</v>
      </c>
      <c r="AP62">
        <v>12963233</v>
      </c>
      <c r="AQ62" t="s">
        <v>1447</v>
      </c>
    </row>
    <row r="63" spans="13:43" x14ac:dyDescent="0.3">
      <c r="S63">
        <v>2763786972</v>
      </c>
      <c r="T63" t="s">
        <v>27</v>
      </c>
      <c r="U63" t="s">
        <v>5343</v>
      </c>
      <c r="V63" t="s">
        <v>5669</v>
      </c>
      <c r="Y63" s="14" t="s">
        <v>1380</v>
      </c>
      <c r="Z63" s="15" t="s">
        <v>5380</v>
      </c>
      <c r="AA63" s="15" t="s">
        <v>5474</v>
      </c>
      <c r="AB63" s="15"/>
      <c r="AI63" s="15" t="s">
        <v>1500</v>
      </c>
      <c r="AJ63" s="15" t="s">
        <v>5636</v>
      </c>
      <c r="AK63" s="15" t="s">
        <v>3211</v>
      </c>
      <c r="AP63">
        <v>12963232</v>
      </c>
      <c r="AQ63" t="s">
        <v>1447</v>
      </c>
    </row>
    <row r="64" spans="13:43" x14ac:dyDescent="0.3">
      <c r="S64">
        <v>2277305688</v>
      </c>
      <c r="T64" t="s">
        <v>32</v>
      </c>
      <c r="U64" t="s">
        <v>33</v>
      </c>
      <c r="V64" t="s">
        <v>24</v>
      </c>
      <c r="Y64" s="14" t="s">
        <v>1380</v>
      </c>
      <c r="Z64" s="15" t="s">
        <v>5381</v>
      </c>
      <c r="AA64" s="15" t="s">
        <v>5475</v>
      </c>
      <c r="AB64" s="15"/>
      <c r="AI64" s="15" t="s">
        <v>1500</v>
      </c>
      <c r="AJ64" s="15" t="s">
        <v>4226</v>
      </c>
      <c r="AK64" s="15" t="s">
        <v>3213</v>
      </c>
      <c r="AP64">
        <v>12275087</v>
      </c>
      <c r="AQ64" t="s">
        <v>1446</v>
      </c>
    </row>
    <row r="65" spans="19:43" x14ac:dyDescent="0.3">
      <c r="S65">
        <v>2277305688</v>
      </c>
      <c r="T65" t="s">
        <v>32</v>
      </c>
      <c r="U65" t="s">
        <v>34</v>
      </c>
      <c r="V65" t="s">
        <v>25</v>
      </c>
      <c r="Y65" s="14" t="s">
        <v>1380</v>
      </c>
      <c r="Z65" s="15" t="s">
        <v>5382</v>
      </c>
      <c r="AA65" s="15" t="s">
        <v>5476</v>
      </c>
      <c r="AB65" s="15"/>
      <c r="AI65" s="15" t="s">
        <v>1500</v>
      </c>
      <c r="AJ65" s="15" t="s">
        <v>4227</v>
      </c>
      <c r="AK65" s="15" t="s">
        <v>3214</v>
      </c>
      <c r="AP65">
        <v>11562835</v>
      </c>
      <c r="AQ65" t="s">
        <v>1445</v>
      </c>
    </row>
    <row r="66" spans="19:43" x14ac:dyDescent="0.3">
      <c r="S66">
        <v>2259144314</v>
      </c>
      <c r="T66" t="s">
        <v>34</v>
      </c>
      <c r="U66" t="s">
        <v>5342</v>
      </c>
      <c r="V66" t="s">
        <v>5670</v>
      </c>
      <c r="Y66" s="19" t="s">
        <v>1364</v>
      </c>
      <c r="Z66" s="19" t="s">
        <v>5383</v>
      </c>
      <c r="AA66" s="19" t="s">
        <v>5477</v>
      </c>
      <c r="AB66" s="15"/>
      <c r="AI66" s="15" t="s">
        <v>1500</v>
      </c>
      <c r="AJ66" s="15" t="s">
        <v>4230</v>
      </c>
      <c r="AK66" s="15" t="s">
        <v>3217</v>
      </c>
      <c r="AP66">
        <v>11562797</v>
      </c>
      <c r="AQ66" t="s">
        <v>1444</v>
      </c>
    </row>
    <row r="67" spans="19:43" x14ac:dyDescent="0.3">
      <c r="S67">
        <v>2259144314</v>
      </c>
      <c r="T67" t="s">
        <v>34</v>
      </c>
      <c r="U67" t="s">
        <v>1371</v>
      </c>
      <c r="V67" t="s">
        <v>1330</v>
      </c>
      <c r="Y67" s="14" t="s">
        <v>1380</v>
      </c>
      <c r="Z67" s="15" t="s">
        <v>5384</v>
      </c>
      <c r="AA67" s="15" t="s">
        <v>5478</v>
      </c>
      <c r="AB67" s="15"/>
      <c r="AI67" s="15" t="s">
        <v>1500</v>
      </c>
      <c r="AJ67" s="15" t="s">
        <v>4234</v>
      </c>
      <c r="AK67" s="15" t="s">
        <v>3221</v>
      </c>
      <c r="AP67">
        <v>11409666</v>
      </c>
      <c r="AQ67" t="s">
        <v>1443</v>
      </c>
    </row>
    <row r="68" spans="19:43" x14ac:dyDescent="0.3">
      <c r="S68">
        <v>2259144314</v>
      </c>
      <c r="T68" t="s">
        <v>34</v>
      </c>
      <c r="U68" t="s">
        <v>1331</v>
      </c>
      <c r="V68" t="s">
        <v>1304</v>
      </c>
      <c r="Y68" s="14" t="s">
        <v>232</v>
      </c>
      <c r="Z68" s="15" t="s">
        <v>5385</v>
      </c>
      <c r="AA68" s="15" t="s">
        <v>5479</v>
      </c>
      <c r="AB68" s="15"/>
      <c r="AI68" s="15" t="s">
        <v>1333</v>
      </c>
      <c r="AJ68" s="15" t="s">
        <v>5637</v>
      </c>
      <c r="AK68" s="15" t="s">
        <v>5572</v>
      </c>
      <c r="AP68">
        <v>11391710</v>
      </c>
      <c r="AQ68" t="s">
        <v>1442</v>
      </c>
    </row>
    <row r="69" spans="19:43" x14ac:dyDescent="0.3">
      <c r="S69">
        <v>2259144314</v>
      </c>
      <c r="T69" t="s">
        <v>34</v>
      </c>
      <c r="U69" t="s">
        <v>10</v>
      </c>
      <c r="V69" t="s">
        <v>35</v>
      </c>
      <c r="Y69" s="14" t="s">
        <v>232</v>
      </c>
      <c r="Z69" s="15" t="s">
        <v>5386</v>
      </c>
      <c r="AA69" s="15" t="s">
        <v>5480</v>
      </c>
      <c r="AB69" s="15"/>
      <c r="AI69" s="19" t="s">
        <v>79</v>
      </c>
      <c r="AJ69" s="19" t="s">
        <v>4747</v>
      </c>
      <c r="AK69" s="19" t="s">
        <v>3751</v>
      </c>
      <c r="AP69">
        <v>11113720</v>
      </c>
      <c r="AQ69" t="s">
        <v>1441</v>
      </c>
    </row>
    <row r="70" spans="19:43" x14ac:dyDescent="0.3">
      <c r="S70">
        <v>2259144314</v>
      </c>
      <c r="T70" t="s">
        <v>34</v>
      </c>
      <c r="U70" t="s">
        <v>15</v>
      </c>
      <c r="V70" t="s">
        <v>36</v>
      </c>
      <c r="Y70" s="14" t="s">
        <v>1371</v>
      </c>
      <c r="Z70" s="15" t="s">
        <v>226</v>
      </c>
      <c r="AA70" s="15" t="s">
        <v>5481</v>
      </c>
      <c r="AB70" s="15"/>
      <c r="AI70" s="15" t="s">
        <v>5333</v>
      </c>
      <c r="AJ70" s="15" t="s">
        <v>5638</v>
      </c>
      <c r="AK70" s="15" t="s">
        <v>5573</v>
      </c>
      <c r="AP70">
        <v>11098022</v>
      </c>
      <c r="AQ70" t="s">
        <v>1440</v>
      </c>
    </row>
    <row r="71" spans="19:43" x14ac:dyDescent="0.3">
      <c r="S71">
        <v>2259144314</v>
      </c>
      <c r="T71" t="s">
        <v>34</v>
      </c>
      <c r="U71" t="s">
        <v>248</v>
      </c>
      <c r="V71" t="s">
        <v>37</v>
      </c>
      <c r="Y71" s="14" t="s">
        <v>1371</v>
      </c>
      <c r="Z71" s="15" t="s">
        <v>5387</v>
      </c>
      <c r="AA71" s="15" t="s">
        <v>5482</v>
      </c>
      <c r="AB71" s="15"/>
      <c r="AI71" s="15" t="s">
        <v>1500</v>
      </c>
      <c r="AJ71" s="15" t="s">
        <v>5285</v>
      </c>
      <c r="AK71" s="15" t="s">
        <v>5196</v>
      </c>
      <c r="AP71">
        <v>10998237</v>
      </c>
      <c r="AQ71" t="s">
        <v>1439</v>
      </c>
    </row>
    <row r="72" spans="19:43" x14ac:dyDescent="0.3">
      <c r="S72">
        <v>2259144314</v>
      </c>
      <c r="T72" t="s">
        <v>34</v>
      </c>
      <c r="U72" t="s">
        <v>9</v>
      </c>
      <c r="V72" t="s">
        <v>41</v>
      </c>
      <c r="Y72" s="14" t="s">
        <v>1048</v>
      </c>
      <c r="Z72" s="15" t="s">
        <v>5388</v>
      </c>
      <c r="AA72" s="15" t="s">
        <v>5483</v>
      </c>
      <c r="AB72" s="15"/>
      <c r="AI72" s="15" t="s">
        <v>88</v>
      </c>
      <c r="AJ72" s="15" t="s">
        <v>5639</v>
      </c>
      <c r="AK72" s="15" t="s">
        <v>5574</v>
      </c>
      <c r="AP72">
        <v>10916969</v>
      </c>
      <c r="AQ72" t="s">
        <v>1438</v>
      </c>
    </row>
    <row r="73" spans="19:43" x14ac:dyDescent="0.3">
      <c r="S73">
        <v>2259144314</v>
      </c>
      <c r="T73" t="s">
        <v>34</v>
      </c>
      <c r="U73" t="s">
        <v>21</v>
      </c>
      <c r="V73" t="s">
        <v>43</v>
      </c>
      <c r="Y73" s="14" t="s">
        <v>1048</v>
      </c>
      <c r="Z73" s="15" t="s">
        <v>5388</v>
      </c>
      <c r="AA73" s="15" t="s">
        <v>5484</v>
      </c>
      <c r="AB73" s="15"/>
      <c r="AI73" s="15" t="s">
        <v>88</v>
      </c>
      <c r="AJ73" s="15" t="s">
        <v>5640</v>
      </c>
      <c r="AK73" s="15" t="s">
        <v>5575</v>
      </c>
      <c r="AP73">
        <v>10916938</v>
      </c>
      <c r="AQ73" t="s">
        <v>1437</v>
      </c>
    </row>
    <row r="74" spans="19:43" x14ac:dyDescent="0.3">
      <c r="S74">
        <v>2259144314</v>
      </c>
      <c r="T74" t="s">
        <v>34</v>
      </c>
      <c r="U74" t="s">
        <v>19</v>
      </c>
      <c r="V74" t="s">
        <v>44</v>
      </c>
      <c r="Y74" s="14" t="s">
        <v>1048</v>
      </c>
      <c r="Z74" s="15" t="s">
        <v>5388</v>
      </c>
      <c r="AA74" s="15" t="s">
        <v>5485</v>
      </c>
      <c r="AB74" s="15"/>
      <c r="AI74" s="15" t="s">
        <v>5366</v>
      </c>
      <c r="AJ74" s="15" t="s">
        <v>5641</v>
      </c>
      <c r="AK74" s="15" t="s">
        <v>5576</v>
      </c>
      <c r="AP74">
        <v>10899216</v>
      </c>
      <c r="AQ74" t="s">
        <v>251</v>
      </c>
    </row>
    <row r="75" spans="19:43" x14ac:dyDescent="0.3">
      <c r="S75">
        <v>2259144314</v>
      </c>
      <c r="T75" t="s">
        <v>34</v>
      </c>
      <c r="U75" t="s">
        <v>229</v>
      </c>
      <c r="V75" t="s">
        <v>1296</v>
      </c>
      <c r="Y75" s="14" t="s">
        <v>1048</v>
      </c>
      <c r="Z75" s="15" t="s">
        <v>5389</v>
      </c>
      <c r="AA75" s="15" t="s">
        <v>5486</v>
      </c>
      <c r="AB75" s="15"/>
      <c r="AI75" s="15" t="s">
        <v>5366</v>
      </c>
      <c r="AJ75" s="15" t="s">
        <v>5642</v>
      </c>
      <c r="AK75" s="15" t="s">
        <v>5577</v>
      </c>
      <c r="AP75">
        <v>10860228</v>
      </c>
      <c r="AQ75" t="s">
        <v>1436</v>
      </c>
    </row>
    <row r="76" spans="19:43" x14ac:dyDescent="0.3">
      <c r="S76">
        <v>2259144314</v>
      </c>
      <c r="T76" t="s">
        <v>34</v>
      </c>
      <c r="U76" t="s">
        <v>5174</v>
      </c>
      <c r="V76" t="s">
        <v>5671</v>
      </c>
      <c r="Y76" s="14" t="s">
        <v>1380</v>
      </c>
      <c r="Z76" s="15" t="s">
        <v>5390</v>
      </c>
      <c r="AA76" s="15" t="s">
        <v>5487</v>
      </c>
      <c r="AB76" s="15"/>
      <c r="AI76" s="15" t="s">
        <v>5366</v>
      </c>
      <c r="AJ76" s="15" t="s">
        <v>5643</v>
      </c>
      <c r="AK76" s="15" t="s">
        <v>5578</v>
      </c>
      <c r="AP76">
        <v>10858097</v>
      </c>
      <c r="AQ76" t="s">
        <v>1435</v>
      </c>
    </row>
    <row r="77" spans="19:43" x14ac:dyDescent="0.3">
      <c r="S77">
        <v>2193345626</v>
      </c>
      <c r="T77" t="s">
        <v>1372</v>
      </c>
      <c r="U77" t="s">
        <v>5672</v>
      </c>
      <c r="V77" t="s">
        <v>5673</v>
      </c>
      <c r="Y77" s="19" t="s">
        <v>18</v>
      </c>
      <c r="Z77" s="19" t="s">
        <v>110</v>
      </c>
      <c r="AA77" s="19" t="s">
        <v>2564</v>
      </c>
      <c r="AB77" s="15"/>
      <c r="AI77" s="15" t="s">
        <v>5366</v>
      </c>
      <c r="AJ77" s="15" t="s">
        <v>5644</v>
      </c>
      <c r="AK77" s="15" t="s">
        <v>5579</v>
      </c>
      <c r="AP77">
        <v>10857173</v>
      </c>
      <c r="AQ77" t="s">
        <v>1434</v>
      </c>
    </row>
    <row r="78" spans="19:43" x14ac:dyDescent="0.3">
      <c r="S78">
        <v>2193345626</v>
      </c>
      <c r="T78" t="s">
        <v>1372</v>
      </c>
      <c r="U78" t="s">
        <v>1047</v>
      </c>
      <c r="V78" t="s">
        <v>1373</v>
      </c>
      <c r="Y78" s="14" t="s">
        <v>10</v>
      </c>
      <c r="Z78" s="15" t="s">
        <v>252</v>
      </c>
      <c r="AA78" s="15" t="s">
        <v>2452</v>
      </c>
      <c r="AB78" s="15"/>
      <c r="AI78" s="15" t="s">
        <v>5366</v>
      </c>
      <c r="AJ78" s="15" t="s">
        <v>5645</v>
      </c>
      <c r="AK78" s="15" t="s">
        <v>5580</v>
      </c>
      <c r="AP78">
        <v>10857168</v>
      </c>
      <c r="AQ78" t="s">
        <v>1433</v>
      </c>
    </row>
    <row r="79" spans="19:43" x14ac:dyDescent="0.3">
      <c r="S79">
        <v>2193345626</v>
      </c>
      <c r="T79" t="s">
        <v>1372</v>
      </c>
      <c r="U79" t="s">
        <v>1295</v>
      </c>
      <c r="V79" t="s">
        <v>1305</v>
      </c>
      <c r="Y79" s="14" t="s">
        <v>230</v>
      </c>
      <c r="Z79" s="15" t="s">
        <v>5391</v>
      </c>
      <c r="AA79" s="15" t="s">
        <v>5488</v>
      </c>
      <c r="AB79" s="15"/>
      <c r="AI79" s="15" t="s">
        <v>1340</v>
      </c>
      <c r="AJ79" s="15" t="s">
        <v>5646</v>
      </c>
      <c r="AK79" s="15" t="s">
        <v>5581</v>
      </c>
      <c r="AP79">
        <v>10856745</v>
      </c>
      <c r="AQ79" t="s">
        <v>1432</v>
      </c>
    </row>
    <row r="80" spans="19:43" x14ac:dyDescent="0.3">
      <c r="S80">
        <v>2193345626</v>
      </c>
      <c r="T80" t="s">
        <v>1372</v>
      </c>
      <c r="U80" t="s">
        <v>233</v>
      </c>
      <c r="V80" t="s">
        <v>45</v>
      </c>
      <c r="Y80" s="14" t="s">
        <v>15</v>
      </c>
      <c r="Z80" s="15" t="s">
        <v>5392</v>
      </c>
      <c r="AA80" s="15" t="s">
        <v>5489</v>
      </c>
      <c r="AB80" s="15"/>
      <c r="AI80" s="15" t="s">
        <v>1340</v>
      </c>
      <c r="AJ80" s="15" t="s">
        <v>5647</v>
      </c>
      <c r="AK80" s="15" t="s">
        <v>5582</v>
      </c>
      <c r="AP80">
        <v>10844052</v>
      </c>
      <c r="AQ80" t="s">
        <v>1431</v>
      </c>
    </row>
    <row r="81" spans="19:43" x14ac:dyDescent="0.3">
      <c r="S81">
        <v>2193345626</v>
      </c>
      <c r="T81" t="s">
        <v>1372</v>
      </c>
      <c r="U81" t="s">
        <v>13</v>
      </c>
      <c r="V81" t="s">
        <v>46</v>
      </c>
      <c r="Y81" s="14" t="s">
        <v>10</v>
      </c>
      <c r="Z81" s="15" t="s">
        <v>1645</v>
      </c>
      <c r="AA81" s="15" t="s">
        <v>3089</v>
      </c>
      <c r="AB81" s="15"/>
      <c r="AI81" s="15" t="s">
        <v>1333</v>
      </c>
      <c r="AJ81" s="15" t="s">
        <v>5648</v>
      </c>
      <c r="AK81" s="15" t="s">
        <v>5583</v>
      </c>
      <c r="AP81">
        <v>10844049</v>
      </c>
      <c r="AQ81" t="s">
        <v>1430</v>
      </c>
    </row>
    <row r="82" spans="19:43" x14ac:dyDescent="0.3">
      <c r="S82">
        <v>2193345626</v>
      </c>
      <c r="T82" t="s">
        <v>1372</v>
      </c>
      <c r="U82" t="s">
        <v>7</v>
      </c>
      <c r="V82" t="s">
        <v>24</v>
      </c>
      <c r="Y82" s="14" t="s">
        <v>1380</v>
      </c>
      <c r="Z82" s="15" t="s">
        <v>5393</v>
      </c>
      <c r="AA82" s="15" t="s">
        <v>5490</v>
      </c>
      <c r="AB82" s="15"/>
      <c r="AI82" s="15" t="s">
        <v>1333</v>
      </c>
      <c r="AJ82" s="15" t="s">
        <v>5649</v>
      </c>
      <c r="AK82" s="15" t="s">
        <v>5584</v>
      </c>
      <c r="AP82">
        <v>10770315</v>
      </c>
      <c r="AQ82" t="s">
        <v>1429</v>
      </c>
    </row>
    <row r="83" spans="19:43" x14ac:dyDescent="0.3">
      <c r="S83">
        <v>2193345626</v>
      </c>
      <c r="T83" t="s">
        <v>1372</v>
      </c>
      <c r="U83" t="s">
        <v>22</v>
      </c>
      <c r="V83" t="s">
        <v>47</v>
      </c>
      <c r="Y83" s="14" t="s">
        <v>1049</v>
      </c>
      <c r="Z83" s="15" t="s">
        <v>5394</v>
      </c>
      <c r="AA83" s="15" t="s">
        <v>5491</v>
      </c>
      <c r="AB83" s="15"/>
      <c r="AI83" s="15" t="s">
        <v>1499</v>
      </c>
      <c r="AJ83" s="15" t="s">
        <v>5650</v>
      </c>
      <c r="AK83" s="15" t="s">
        <v>5585</v>
      </c>
      <c r="AP83">
        <v>10759911</v>
      </c>
      <c r="AQ83" t="s">
        <v>1428</v>
      </c>
    </row>
    <row r="84" spans="19:43" x14ac:dyDescent="0.3">
      <c r="S84">
        <v>2193345626</v>
      </c>
      <c r="T84" t="s">
        <v>1372</v>
      </c>
      <c r="U84" t="s">
        <v>1048</v>
      </c>
      <c r="V84" t="s">
        <v>1306</v>
      </c>
      <c r="Y84" s="14" t="s">
        <v>1371</v>
      </c>
      <c r="Z84" s="15" t="s">
        <v>5395</v>
      </c>
      <c r="AA84" s="15" t="s">
        <v>5492</v>
      </c>
      <c r="AB84" s="15"/>
      <c r="AI84" s="15" t="s">
        <v>1499</v>
      </c>
      <c r="AJ84" s="15" t="s">
        <v>4221</v>
      </c>
      <c r="AK84" s="15" t="s">
        <v>3207</v>
      </c>
      <c r="AP84">
        <v>10732432</v>
      </c>
      <c r="AQ84" t="s">
        <v>1427</v>
      </c>
    </row>
    <row r="85" spans="19:43" x14ac:dyDescent="0.3">
      <c r="S85">
        <v>2193345626</v>
      </c>
      <c r="T85" t="s">
        <v>1372</v>
      </c>
      <c r="U85" t="s">
        <v>18</v>
      </c>
      <c r="V85" t="s">
        <v>48</v>
      </c>
      <c r="Y85" s="14" t="s">
        <v>1380</v>
      </c>
      <c r="Z85" s="15" t="s">
        <v>5396</v>
      </c>
      <c r="AA85" s="15" t="s">
        <v>5493</v>
      </c>
      <c r="AB85" s="15"/>
      <c r="AI85" s="15" t="s">
        <v>1499</v>
      </c>
      <c r="AJ85" s="15" t="s">
        <v>4222</v>
      </c>
      <c r="AK85" s="15" t="s">
        <v>3208</v>
      </c>
      <c r="AP85">
        <v>10732424</v>
      </c>
      <c r="AQ85" t="s">
        <v>1426</v>
      </c>
    </row>
    <row r="86" spans="19:43" x14ac:dyDescent="0.3">
      <c r="S86">
        <v>2193345626</v>
      </c>
      <c r="T86" t="s">
        <v>1372</v>
      </c>
      <c r="U86" t="s">
        <v>23</v>
      </c>
      <c r="V86" t="s">
        <v>49</v>
      </c>
      <c r="Y86" s="14" t="s">
        <v>1381</v>
      </c>
      <c r="Z86" s="15" t="s">
        <v>5397</v>
      </c>
      <c r="AA86" s="15" t="s">
        <v>5494</v>
      </c>
      <c r="AB86" s="15"/>
      <c r="AI86" s="15" t="s">
        <v>1081</v>
      </c>
      <c r="AJ86" s="15" t="s">
        <v>5651</v>
      </c>
      <c r="AK86" s="15" t="s">
        <v>5586</v>
      </c>
      <c r="AP86">
        <v>10732355</v>
      </c>
      <c r="AQ86" t="s">
        <v>1425</v>
      </c>
    </row>
    <row r="87" spans="19:43" x14ac:dyDescent="0.3">
      <c r="S87">
        <v>2193345626</v>
      </c>
      <c r="T87" t="s">
        <v>1372</v>
      </c>
      <c r="U87" t="s">
        <v>8</v>
      </c>
      <c r="V87" t="s">
        <v>50</v>
      </c>
      <c r="Y87" s="14" t="s">
        <v>13</v>
      </c>
      <c r="Z87" s="15" t="s">
        <v>5398</v>
      </c>
      <c r="AA87" s="15" t="s">
        <v>5495</v>
      </c>
      <c r="AB87" s="15"/>
      <c r="AI87" s="15" t="s">
        <v>1500</v>
      </c>
      <c r="AJ87" s="15" t="s">
        <v>4233</v>
      </c>
      <c r="AK87" s="15" t="s">
        <v>3220</v>
      </c>
      <c r="AP87">
        <v>10722393</v>
      </c>
      <c r="AQ87" t="s">
        <v>1424</v>
      </c>
    </row>
    <row r="88" spans="19:43" x14ac:dyDescent="0.3">
      <c r="S88">
        <v>2193345626</v>
      </c>
      <c r="T88" t="s">
        <v>1372</v>
      </c>
      <c r="U88" t="s">
        <v>229</v>
      </c>
      <c r="V88" t="s">
        <v>1307</v>
      </c>
      <c r="Y88" s="14" t="s">
        <v>10</v>
      </c>
      <c r="Z88" s="15" t="s">
        <v>5399</v>
      </c>
      <c r="AA88" s="15" t="s">
        <v>5496</v>
      </c>
      <c r="AB88" s="15"/>
      <c r="AI88" s="15" t="s">
        <v>1500</v>
      </c>
      <c r="AJ88" s="15" t="s">
        <v>5652</v>
      </c>
      <c r="AK88" s="15" t="s">
        <v>5587</v>
      </c>
      <c r="AP88">
        <v>10720108</v>
      </c>
      <c r="AQ88" t="s">
        <v>1423</v>
      </c>
    </row>
    <row r="89" spans="19:43" x14ac:dyDescent="0.3">
      <c r="S89">
        <v>2193345626</v>
      </c>
      <c r="T89" t="s">
        <v>1372</v>
      </c>
      <c r="U89" t="s">
        <v>1295</v>
      </c>
      <c r="V89" t="s">
        <v>1308</v>
      </c>
      <c r="Y89" s="14" t="s">
        <v>1380</v>
      </c>
      <c r="Z89" s="15" t="s">
        <v>5400</v>
      </c>
      <c r="AA89" s="15" t="s">
        <v>5497</v>
      </c>
      <c r="AB89" s="15"/>
      <c r="AI89" s="15" t="s">
        <v>1500</v>
      </c>
      <c r="AJ89" s="15" t="s">
        <v>4225</v>
      </c>
      <c r="AK89" s="15" t="s">
        <v>3212</v>
      </c>
      <c r="AP89">
        <v>10523197</v>
      </c>
      <c r="AQ89" t="s">
        <v>1422</v>
      </c>
    </row>
    <row r="90" spans="19:43" x14ac:dyDescent="0.3">
      <c r="S90">
        <v>2193345626</v>
      </c>
      <c r="T90" t="s">
        <v>1372</v>
      </c>
      <c r="U90" t="s">
        <v>1295</v>
      </c>
      <c r="V90" t="s">
        <v>1309</v>
      </c>
      <c r="Y90" s="14" t="s">
        <v>1331</v>
      </c>
      <c r="Z90" s="15" t="s">
        <v>1500</v>
      </c>
      <c r="AA90" s="15" t="s">
        <v>2016</v>
      </c>
      <c r="AB90" s="15"/>
      <c r="AI90" s="15" t="s">
        <v>1500</v>
      </c>
      <c r="AJ90" s="15" t="s">
        <v>5653</v>
      </c>
      <c r="AK90" s="15" t="s">
        <v>5588</v>
      </c>
      <c r="AP90">
        <v>10441430</v>
      </c>
      <c r="AQ90" t="s">
        <v>8</v>
      </c>
    </row>
    <row r="91" spans="19:43" x14ac:dyDescent="0.3">
      <c r="S91">
        <v>1339988071</v>
      </c>
      <c r="T91" t="s">
        <v>51</v>
      </c>
      <c r="U91" t="s">
        <v>52</v>
      </c>
      <c r="V91" t="s">
        <v>24</v>
      </c>
      <c r="Y91" s="14" t="s">
        <v>10</v>
      </c>
      <c r="Z91" s="15" t="s">
        <v>5401</v>
      </c>
      <c r="AA91" s="15" t="s">
        <v>5498</v>
      </c>
      <c r="AB91" s="15"/>
      <c r="AI91" s="15" t="s">
        <v>5333</v>
      </c>
      <c r="AJ91" s="15" t="s">
        <v>5654</v>
      </c>
      <c r="AK91" s="15" t="s">
        <v>5589</v>
      </c>
      <c r="AP91">
        <v>10441429</v>
      </c>
      <c r="AQ91" t="s">
        <v>1119</v>
      </c>
    </row>
    <row r="92" spans="19:43" x14ac:dyDescent="0.3">
      <c r="S92">
        <v>1339988071</v>
      </c>
      <c r="T92" t="s">
        <v>51</v>
      </c>
      <c r="U92" t="s">
        <v>53</v>
      </c>
      <c r="V92" t="s">
        <v>54</v>
      </c>
      <c r="Y92" s="14" t="s">
        <v>10</v>
      </c>
      <c r="Z92" s="15" t="s">
        <v>1361</v>
      </c>
      <c r="AA92" s="15" t="s">
        <v>1730</v>
      </c>
      <c r="AB92" s="15"/>
      <c r="AI92" s="15" t="s">
        <v>5332</v>
      </c>
      <c r="AJ92" s="15" t="s">
        <v>5338</v>
      </c>
      <c r="AK92" s="15" t="s">
        <v>5335</v>
      </c>
      <c r="AP92">
        <v>10320480</v>
      </c>
      <c r="AQ92" t="s">
        <v>1421</v>
      </c>
    </row>
    <row r="93" spans="19:43" x14ac:dyDescent="0.3">
      <c r="S93">
        <v>1140656959</v>
      </c>
      <c r="T93" t="s">
        <v>1374</v>
      </c>
      <c r="U93" t="s">
        <v>14</v>
      </c>
      <c r="V93" t="s">
        <v>1375</v>
      </c>
      <c r="Y93" s="14" t="s">
        <v>1371</v>
      </c>
      <c r="Z93" s="15" t="s">
        <v>5402</v>
      </c>
      <c r="AA93" s="15" t="s">
        <v>5499</v>
      </c>
      <c r="AB93" s="15"/>
      <c r="AI93" s="15" t="s">
        <v>5333</v>
      </c>
      <c r="AJ93" s="15" t="s">
        <v>5339</v>
      </c>
      <c r="AK93" s="15" t="s">
        <v>5336</v>
      </c>
      <c r="AP93">
        <v>10310008</v>
      </c>
      <c r="AQ93" t="s">
        <v>1420</v>
      </c>
    </row>
    <row r="94" spans="19:43" x14ac:dyDescent="0.3">
      <c r="S94">
        <v>1140656959</v>
      </c>
      <c r="T94" t="s">
        <v>1374</v>
      </c>
      <c r="U94" t="s">
        <v>1376</v>
      </c>
      <c r="V94" t="s">
        <v>1377</v>
      </c>
      <c r="Y94" s="14" t="s">
        <v>1371</v>
      </c>
      <c r="Z94" s="15" t="s">
        <v>5403</v>
      </c>
      <c r="AA94" s="15" t="s">
        <v>5500</v>
      </c>
      <c r="AB94" s="15"/>
      <c r="AI94" s="15" t="s">
        <v>95</v>
      </c>
      <c r="AJ94" s="15" t="s">
        <v>5287</v>
      </c>
      <c r="AK94" s="15" t="s">
        <v>5203</v>
      </c>
      <c r="AP94">
        <v>10309992</v>
      </c>
      <c r="AQ94" t="s">
        <v>1419</v>
      </c>
    </row>
    <row r="95" spans="19:43" x14ac:dyDescent="0.3">
      <c r="S95">
        <v>1140656959</v>
      </c>
      <c r="T95" t="s">
        <v>1374</v>
      </c>
      <c r="U95" t="s">
        <v>374</v>
      </c>
      <c r="V95" t="s">
        <v>1310</v>
      </c>
      <c r="Y95" s="14" t="s">
        <v>1371</v>
      </c>
      <c r="Z95" s="15" t="s">
        <v>5404</v>
      </c>
      <c r="AA95" s="15" t="s">
        <v>5501</v>
      </c>
      <c r="AB95" s="15"/>
      <c r="AI95" s="19" t="s">
        <v>5180</v>
      </c>
      <c r="AJ95" s="19" t="s">
        <v>5288</v>
      </c>
      <c r="AK95" s="19" t="s">
        <v>5204</v>
      </c>
      <c r="AP95">
        <v>10309990</v>
      </c>
      <c r="AQ95" t="s">
        <v>513</v>
      </c>
    </row>
    <row r="96" spans="19:43" x14ac:dyDescent="0.3">
      <c r="S96">
        <v>1140656959</v>
      </c>
      <c r="T96" t="s">
        <v>1374</v>
      </c>
      <c r="U96" t="s">
        <v>230</v>
      </c>
      <c r="V96" t="s">
        <v>1311</v>
      </c>
      <c r="Y96" s="14" t="s">
        <v>1371</v>
      </c>
      <c r="Z96" s="15" t="s">
        <v>5405</v>
      </c>
      <c r="AA96" s="15" t="s">
        <v>3181</v>
      </c>
      <c r="AB96" s="15"/>
      <c r="AI96" s="15" t="s">
        <v>1075</v>
      </c>
      <c r="AJ96" s="15" t="s">
        <v>5289</v>
      </c>
      <c r="AK96" s="15" t="s">
        <v>5206</v>
      </c>
      <c r="AP96">
        <v>10309988</v>
      </c>
      <c r="AQ96" t="s">
        <v>1418</v>
      </c>
    </row>
    <row r="97" spans="19:43" x14ac:dyDescent="0.3">
      <c r="S97">
        <v>1140656959</v>
      </c>
      <c r="T97" t="s">
        <v>1374</v>
      </c>
      <c r="U97" t="s">
        <v>228</v>
      </c>
      <c r="V97" t="s">
        <v>1312</v>
      </c>
      <c r="Y97" s="14" t="s">
        <v>1371</v>
      </c>
      <c r="Z97" s="15" t="s">
        <v>5406</v>
      </c>
      <c r="AA97" s="15" t="s">
        <v>3182</v>
      </c>
      <c r="AB97" s="15"/>
      <c r="AI97" s="15" t="s">
        <v>224</v>
      </c>
      <c r="AJ97" s="15" t="s">
        <v>5290</v>
      </c>
      <c r="AK97" s="15" t="s">
        <v>5207</v>
      </c>
      <c r="AP97">
        <v>10309937</v>
      </c>
      <c r="AQ97" t="s">
        <v>15</v>
      </c>
    </row>
    <row r="98" spans="19:43" x14ac:dyDescent="0.3">
      <c r="S98">
        <v>1140656959</v>
      </c>
      <c r="T98" t="s">
        <v>1374</v>
      </c>
      <c r="U98" t="s">
        <v>1389</v>
      </c>
      <c r="V98" t="s">
        <v>1313</v>
      </c>
      <c r="Y98" s="14" t="s">
        <v>1371</v>
      </c>
      <c r="Z98" s="15" t="s">
        <v>5407</v>
      </c>
      <c r="AA98" s="15" t="s">
        <v>3183</v>
      </c>
      <c r="AB98" s="15"/>
      <c r="AI98" s="15" t="s">
        <v>1062</v>
      </c>
      <c r="AJ98" s="15" t="s">
        <v>5291</v>
      </c>
      <c r="AK98" s="15" t="s">
        <v>5208</v>
      </c>
      <c r="AP98">
        <v>10309892</v>
      </c>
      <c r="AQ98" t="s">
        <v>1417</v>
      </c>
    </row>
    <row r="99" spans="19:43" x14ac:dyDescent="0.3">
      <c r="S99">
        <v>1140656959</v>
      </c>
      <c r="T99" t="s">
        <v>1374</v>
      </c>
      <c r="U99" t="s">
        <v>246</v>
      </c>
      <c r="V99" t="s">
        <v>1314</v>
      </c>
      <c r="Y99" s="14" t="s">
        <v>1371</v>
      </c>
      <c r="Z99" s="15" t="s">
        <v>5408</v>
      </c>
      <c r="AA99" s="15" t="s">
        <v>3184</v>
      </c>
      <c r="AB99" s="15"/>
      <c r="AI99" s="15" t="s">
        <v>1062</v>
      </c>
      <c r="AJ99" s="15" t="s">
        <v>5292</v>
      </c>
      <c r="AK99" s="15" t="s">
        <v>5209</v>
      </c>
      <c r="AP99">
        <v>10309876</v>
      </c>
      <c r="AQ99" t="s">
        <v>1416</v>
      </c>
    </row>
    <row r="100" spans="19:43" x14ac:dyDescent="0.3">
      <c r="S100">
        <v>1140656959</v>
      </c>
      <c r="T100" t="s">
        <v>1374</v>
      </c>
      <c r="U100" t="s">
        <v>232</v>
      </c>
      <c r="V100" t="s">
        <v>1315</v>
      </c>
      <c r="Y100" s="14" t="s">
        <v>1371</v>
      </c>
      <c r="Z100" s="15" t="s">
        <v>5409</v>
      </c>
      <c r="AA100" s="15" t="s">
        <v>3185</v>
      </c>
      <c r="AB100" s="15"/>
      <c r="AI100" s="15" t="s">
        <v>1062</v>
      </c>
      <c r="AJ100" s="15" t="s">
        <v>5293</v>
      </c>
      <c r="AK100" s="15" t="s">
        <v>5210</v>
      </c>
      <c r="AP100">
        <v>10234742</v>
      </c>
      <c r="AQ100" t="s">
        <v>1415</v>
      </c>
    </row>
    <row r="101" spans="19:43" x14ac:dyDescent="0.3">
      <c r="S101">
        <v>1140656959</v>
      </c>
      <c r="T101" t="s">
        <v>1374</v>
      </c>
      <c r="U101" t="s">
        <v>249</v>
      </c>
      <c r="V101" t="s">
        <v>1316</v>
      </c>
      <c r="Y101" s="14" t="s">
        <v>1371</v>
      </c>
      <c r="Z101" s="15" t="s">
        <v>5410</v>
      </c>
      <c r="AA101" s="15" t="s">
        <v>3186</v>
      </c>
      <c r="AB101" s="15"/>
      <c r="AI101" s="15" t="s">
        <v>5181</v>
      </c>
      <c r="AJ101" s="15" t="s">
        <v>5285</v>
      </c>
      <c r="AK101" s="15" t="s">
        <v>5212</v>
      </c>
      <c r="AP101">
        <v>10216495</v>
      </c>
      <c r="AQ101" t="s">
        <v>1414</v>
      </c>
    </row>
    <row r="102" spans="19:43" x14ac:dyDescent="0.3">
      <c r="S102">
        <v>1140656959</v>
      </c>
      <c r="T102" t="s">
        <v>1374</v>
      </c>
      <c r="U102" t="s">
        <v>247</v>
      </c>
      <c r="V102" t="s">
        <v>1317</v>
      </c>
      <c r="Y102" s="14" t="s">
        <v>1371</v>
      </c>
      <c r="Z102" s="15" t="s">
        <v>5411</v>
      </c>
      <c r="AA102" s="15" t="s">
        <v>3189</v>
      </c>
      <c r="AB102" s="15"/>
      <c r="AI102" s="15" t="s">
        <v>224</v>
      </c>
      <c r="AJ102" s="15" t="s">
        <v>5294</v>
      </c>
      <c r="AK102" s="15" t="s">
        <v>5213</v>
      </c>
      <c r="AP102">
        <v>10175529</v>
      </c>
      <c r="AQ102" t="s">
        <v>1413</v>
      </c>
    </row>
    <row r="103" spans="19:43" x14ac:dyDescent="0.3">
      <c r="S103">
        <v>1140656959</v>
      </c>
      <c r="T103" t="s">
        <v>1374</v>
      </c>
      <c r="U103" t="s">
        <v>251</v>
      </c>
      <c r="V103" t="s">
        <v>1318</v>
      </c>
      <c r="Y103" s="14" t="s">
        <v>1371</v>
      </c>
      <c r="Z103" s="15" t="s">
        <v>5412</v>
      </c>
      <c r="AA103" s="15" t="s">
        <v>3190</v>
      </c>
      <c r="AB103" s="15"/>
      <c r="AI103" s="15" t="s">
        <v>5165</v>
      </c>
      <c r="AJ103" s="15" t="s">
        <v>5295</v>
      </c>
      <c r="AK103" s="15" t="s">
        <v>5215</v>
      </c>
      <c r="AP103">
        <v>10175125</v>
      </c>
      <c r="AQ103" t="s">
        <v>1412</v>
      </c>
    </row>
    <row r="104" spans="19:43" x14ac:dyDescent="0.3">
      <c r="S104">
        <v>1140656959</v>
      </c>
      <c r="T104" t="s">
        <v>1374</v>
      </c>
      <c r="U104" t="s">
        <v>29</v>
      </c>
      <c r="V104" t="s">
        <v>1319</v>
      </c>
      <c r="Y104" s="14" t="s">
        <v>1371</v>
      </c>
      <c r="Z104" s="15" t="s">
        <v>5413</v>
      </c>
      <c r="AA104" s="15" t="s">
        <v>3191</v>
      </c>
      <c r="AB104" s="15"/>
      <c r="AI104" s="15" t="s">
        <v>224</v>
      </c>
      <c r="AJ104" s="15" t="s">
        <v>5296</v>
      </c>
      <c r="AK104" s="15" t="s">
        <v>5217</v>
      </c>
      <c r="AP104">
        <v>10169878</v>
      </c>
      <c r="AQ104" t="s">
        <v>1411</v>
      </c>
    </row>
    <row r="105" spans="19:43" x14ac:dyDescent="0.3">
      <c r="S105">
        <v>1140656959</v>
      </c>
      <c r="T105" t="s">
        <v>1374</v>
      </c>
      <c r="U105" t="s">
        <v>231</v>
      </c>
      <c r="V105" t="s">
        <v>56</v>
      </c>
      <c r="Y105" s="14" t="s">
        <v>1371</v>
      </c>
      <c r="Z105" s="15" t="s">
        <v>5414</v>
      </c>
      <c r="AA105" s="15" t="s">
        <v>3192</v>
      </c>
      <c r="AB105" s="15"/>
      <c r="AI105" s="15" t="s">
        <v>224</v>
      </c>
      <c r="AJ105" s="15" t="s">
        <v>5297</v>
      </c>
      <c r="AK105" s="15" t="s">
        <v>5221</v>
      </c>
      <c r="AP105">
        <v>10169374</v>
      </c>
      <c r="AQ105" t="s">
        <v>1410</v>
      </c>
    </row>
    <row r="106" spans="19:43" x14ac:dyDescent="0.3">
      <c r="S106">
        <v>1140656959</v>
      </c>
      <c r="T106" t="s">
        <v>1374</v>
      </c>
      <c r="U106" t="s">
        <v>1295</v>
      </c>
      <c r="V106" t="s">
        <v>1378</v>
      </c>
      <c r="Y106" s="14" t="s">
        <v>1371</v>
      </c>
      <c r="Z106" s="15" t="s">
        <v>4205</v>
      </c>
      <c r="AA106" s="15" t="s">
        <v>3187</v>
      </c>
      <c r="AB106" s="15"/>
      <c r="AI106" s="15" t="s">
        <v>5165</v>
      </c>
      <c r="AJ106" s="15" t="s">
        <v>5298</v>
      </c>
      <c r="AK106" s="15" t="s">
        <v>5225</v>
      </c>
      <c r="AP106">
        <v>10169370</v>
      </c>
      <c r="AQ106" t="s">
        <v>1409</v>
      </c>
    </row>
    <row r="107" spans="19:43" x14ac:dyDescent="0.3">
      <c r="S107">
        <v>1140656959</v>
      </c>
      <c r="T107" t="s">
        <v>1374</v>
      </c>
      <c r="U107" t="s">
        <v>229</v>
      </c>
      <c r="V107" t="s">
        <v>1320</v>
      </c>
      <c r="Y107" s="14" t="s">
        <v>1371</v>
      </c>
      <c r="Z107" s="15" t="s">
        <v>4206</v>
      </c>
      <c r="AA107" s="15" t="s">
        <v>3188</v>
      </c>
      <c r="AB107" s="15"/>
      <c r="AI107" s="15" t="s">
        <v>1341</v>
      </c>
      <c r="AJ107" s="15" t="s">
        <v>5299</v>
      </c>
      <c r="AK107" s="15" t="s">
        <v>5226</v>
      </c>
      <c r="AP107">
        <v>10169369</v>
      </c>
      <c r="AQ107" t="s">
        <v>1408</v>
      </c>
    </row>
    <row r="108" spans="19:43" x14ac:dyDescent="0.3">
      <c r="S108">
        <v>1140656959</v>
      </c>
      <c r="T108" t="s">
        <v>1374</v>
      </c>
      <c r="U108" t="s">
        <v>33</v>
      </c>
      <c r="V108" t="s">
        <v>5674</v>
      </c>
      <c r="Y108" s="14" t="s">
        <v>1371</v>
      </c>
      <c r="Z108" s="15" t="s">
        <v>4207</v>
      </c>
      <c r="AA108" s="15" t="s">
        <v>3193</v>
      </c>
      <c r="AB108" s="15"/>
      <c r="AI108" s="19" t="s">
        <v>1089</v>
      </c>
      <c r="AJ108" s="19" t="s">
        <v>5301</v>
      </c>
      <c r="AK108" s="19" t="s">
        <v>5228</v>
      </c>
      <c r="AP108">
        <v>10169368</v>
      </c>
      <c r="AQ108" t="s">
        <v>1407</v>
      </c>
    </row>
    <row r="109" spans="19:43" x14ac:dyDescent="0.3">
      <c r="S109">
        <v>1140656959</v>
      </c>
      <c r="T109" t="s">
        <v>1374</v>
      </c>
      <c r="U109" t="s">
        <v>57</v>
      </c>
      <c r="V109" t="s">
        <v>58</v>
      </c>
      <c r="Y109" s="14" t="s">
        <v>1371</v>
      </c>
      <c r="Z109" s="15" t="s">
        <v>4208</v>
      </c>
      <c r="AA109" s="15" t="s">
        <v>3194</v>
      </c>
      <c r="AB109" s="15"/>
      <c r="AI109" s="19" t="s">
        <v>1089</v>
      </c>
      <c r="AJ109" s="19" t="s">
        <v>5301</v>
      </c>
      <c r="AK109" s="19" t="s">
        <v>5229</v>
      </c>
      <c r="AP109">
        <v>10169363</v>
      </c>
      <c r="AQ109" t="s">
        <v>1406</v>
      </c>
    </row>
    <row r="110" spans="19:43" x14ac:dyDescent="0.3">
      <c r="S110">
        <v>1140656959</v>
      </c>
      <c r="T110" t="s">
        <v>55</v>
      </c>
      <c r="U110" t="s">
        <v>29</v>
      </c>
      <c r="V110" t="s">
        <v>1319</v>
      </c>
      <c r="Y110" s="14" t="s">
        <v>1371</v>
      </c>
      <c r="Z110" s="15" t="s">
        <v>4209</v>
      </c>
      <c r="AA110" s="15" t="s">
        <v>3195</v>
      </c>
      <c r="AB110" s="15"/>
      <c r="AI110" s="19" t="s">
        <v>1089</v>
      </c>
      <c r="AJ110" s="19" t="s">
        <v>5301</v>
      </c>
      <c r="AK110" s="19" t="s">
        <v>5230</v>
      </c>
      <c r="AP110">
        <v>10167394</v>
      </c>
      <c r="AQ110" t="s">
        <v>228</v>
      </c>
    </row>
    <row r="111" spans="19:43" x14ac:dyDescent="0.3">
      <c r="S111">
        <v>1140656959</v>
      </c>
      <c r="T111" t="s">
        <v>55</v>
      </c>
      <c r="U111" t="s">
        <v>231</v>
      </c>
      <c r="V111" t="s">
        <v>56</v>
      </c>
      <c r="Y111" s="14" t="s">
        <v>1371</v>
      </c>
      <c r="Z111" s="15" t="s">
        <v>4210</v>
      </c>
      <c r="AA111" s="15" t="s">
        <v>3196</v>
      </c>
      <c r="AB111" s="15"/>
      <c r="AI111" s="19" t="s">
        <v>1089</v>
      </c>
      <c r="AJ111" s="19" t="s">
        <v>5301</v>
      </c>
      <c r="AK111" s="19" t="s">
        <v>5231</v>
      </c>
      <c r="AP111">
        <v>10167393</v>
      </c>
      <c r="AQ111" t="s">
        <v>1405</v>
      </c>
    </row>
    <row r="112" spans="19:43" x14ac:dyDescent="0.3">
      <c r="S112">
        <v>1140656959</v>
      </c>
      <c r="T112" t="s">
        <v>55</v>
      </c>
      <c r="U112" t="s">
        <v>229</v>
      </c>
      <c r="V112" t="s">
        <v>1320</v>
      </c>
      <c r="Y112" s="14" t="s">
        <v>1371</v>
      </c>
      <c r="Z112" s="15" t="s">
        <v>4211</v>
      </c>
      <c r="AA112" s="15" t="s">
        <v>3197</v>
      </c>
      <c r="AB112" s="15"/>
      <c r="AI112" s="19" t="s">
        <v>1089</v>
      </c>
      <c r="AJ112" s="19" t="s">
        <v>5301</v>
      </c>
      <c r="AK112" s="19" t="s">
        <v>5232</v>
      </c>
      <c r="AP112">
        <v>10167391</v>
      </c>
      <c r="AQ112" t="s">
        <v>1404</v>
      </c>
    </row>
    <row r="113" spans="19:43" x14ac:dyDescent="0.3">
      <c r="S113">
        <v>1140656959</v>
      </c>
      <c r="T113" t="s">
        <v>55</v>
      </c>
      <c r="U113" t="s">
        <v>57</v>
      </c>
      <c r="V113" t="s">
        <v>58</v>
      </c>
      <c r="Y113" s="14" t="s">
        <v>1371</v>
      </c>
      <c r="Z113" s="15" t="s">
        <v>4212</v>
      </c>
      <c r="AA113" s="15" t="s">
        <v>3198</v>
      </c>
      <c r="AB113" s="15"/>
      <c r="AI113" s="19" t="s">
        <v>1089</v>
      </c>
      <c r="AJ113" s="19" t="s">
        <v>5301</v>
      </c>
      <c r="AK113" s="19" t="s">
        <v>5233</v>
      </c>
      <c r="AP113">
        <v>10166761</v>
      </c>
      <c r="AQ113" t="s">
        <v>1403</v>
      </c>
    </row>
    <row r="114" spans="19:43" x14ac:dyDescent="0.3">
      <c r="Y114" s="14" t="s">
        <v>1371</v>
      </c>
      <c r="Z114" s="15" t="s">
        <v>4213</v>
      </c>
      <c r="AA114" s="15" t="s">
        <v>3199</v>
      </c>
      <c r="AB114" s="15"/>
      <c r="AI114" s="15" t="s">
        <v>1533</v>
      </c>
      <c r="AJ114" s="15" t="s">
        <v>5302</v>
      </c>
      <c r="AK114" s="15" t="s">
        <v>5235</v>
      </c>
      <c r="AP114">
        <v>10166731</v>
      </c>
      <c r="AQ114" t="s">
        <v>3</v>
      </c>
    </row>
    <row r="115" spans="19:43" x14ac:dyDescent="0.3">
      <c r="Y115" s="14" t="s">
        <v>1371</v>
      </c>
      <c r="Z115" s="15" t="s">
        <v>4214</v>
      </c>
      <c r="AA115" s="15" t="s">
        <v>3200</v>
      </c>
      <c r="AB115" s="15"/>
      <c r="AI115" s="15" t="s">
        <v>224</v>
      </c>
      <c r="AJ115" s="15" t="s">
        <v>1708</v>
      </c>
      <c r="AK115" s="15" t="s">
        <v>1707</v>
      </c>
      <c r="AP115">
        <v>10166729</v>
      </c>
      <c r="AQ115" t="s">
        <v>1402</v>
      </c>
    </row>
    <row r="116" spans="19:43" x14ac:dyDescent="0.3">
      <c r="Y116" s="14" t="s">
        <v>1371</v>
      </c>
      <c r="Z116" s="15" t="s">
        <v>4215</v>
      </c>
      <c r="AA116" s="15" t="s">
        <v>3201</v>
      </c>
      <c r="AB116" s="15"/>
      <c r="AI116" s="15" t="s">
        <v>1081</v>
      </c>
      <c r="AJ116" s="15" t="s">
        <v>4178</v>
      </c>
      <c r="AK116" s="15" t="s">
        <v>3154</v>
      </c>
      <c r="AP116">
        <v>10166721</v>
      </c>
      <c r="AQ116" t="s">
        <v>33</v>
      </c>
    </row>
    <row r="117" spans="19:43" x14ac:dyDescent="0.3">
      <c r="Y117" s="14" t="s">
        <v>1371</v>
      </c>
      <c r="Z117" s="15" t="s">
        <v>4216</v>
      </c>
      <c r="AA117" s="15" t="s">
        <v>3202</v>
      </c>
      <c r="AB117" s="15"/>
      <c r="AI117" s="15" t="s">
        <v>83</v>
      </c>
      <c r="AJ117" s="15" t="s">
        <v>4179</v>
      </c>
      <c r="AK117" s="15" t="s">
        <v>3155</v>
      </c>
      <c r="AP117">
        <v>10166709</v>
      </c>
      <c r="AQ117" t="s">
        <v>1401</v>
      </c>
    </row>
    <row r="118" spans="19:43" x14ac:dyDescent="0.3">
      <c r="Y118" s="14" t="s">
        <v>1709</v>
      </c>
      <c r="Z118" s="15" t="s">
        <v>5169</v>
      </c>
      <c r="AA118" s="15" t="s">
        <v>5220</v>
      </c>
      <c r="AB118" s="15"/>
      <c r="AI118" s="15" t="s">
        <v>1494</v>
      </c>
      <c r="AJ118" s="15" t="s">
        <v>4180</v>
      </c>
      <c r="AK118" s="15" t="s">
        <v>3156</v>
      </c>
      <c r="AP118">
        <v>10166708</v>
      </c>
      <c r="AQ118" t="s">
        <v>1400</v>
      </c>
    </row>
    <row r="119" spans="19:43" x14ac:dyDescent="0.3">
      <c r="Y119" s="14" t="s">
        <v>1709</v>
      </c>
      <c r="Z119" s="15" t="s">
        <v>5415</v>
      </c>
      <c r="AA119" s="15" t="s">
        <v>5502</v>
      </c>
      <c r="AB119" s="15"/>
      <c r="AI119" s="15" t="s">
        <v>1533</v>
      </c>
      <c r="AJ119" s="15" t="s">
        <v>4181</v>
      </c>
      <c r="AK119" s="15" t="s">
        <v>3157</v>
      </c>
      <c r="AP119">
        <v>10166694</v>
      </c>
      <c r="AQ119" t="s">
        <v>1399</v>
      </c>
    </row>
    <row r="120" spans="19:43" x14ac:dyDescent="0.3">
      <c r="Y120" s="14" t="s">
        <v>1709</v>
      </c>
      <c r="Z120" s="15" t="s">
        <v>5416</v>
      </c>
      <c r="AA120" s="15" t="s">
        <v>5503</v>
      </c>
      <c r="AB120" s="15"/>
      <c r="AI120" s="15" t="s">
        <v>1533</v>
      </c>
      <c r="AJ120" s="15" t="s">
        <v>4182</v>
      </c>
      <c r="AK120" s="15" t="s">
        <v>3158</v>
      </c>
      <c r="AP120">
        <v>10166693</v>
      </c>
      <c r="AQ120" t="s">
        <v>1398</v>
      </c>
    </row>
    <row r="121" spans="19:43" x14ac:dyDescent="0.3">
      <c r="Y121" s="14" t="s">
        <v>228</v>
      </c>
      <c r="Z121" s="15" t="s">
        <v>5417</v>
      </c>
      <c r="AA121" s="15" t="s">
        <v>5504</v>
      </c>
      <c r="AB121" s="15"/>
      <c r="AI121" s="15" t="s">
        <v>1533</v>
      </c>
      <c r="AJ121" s="15" t="s">
        <v>4183</v>
      </c>
      <c r="AK121" s="15" t="s">
        <v>3159</v>
      </c>
      <c r="AP121">
        <v>10166658</v>
      </c>
      <c r="AQ121" t="s">
        <v>114</v>
      </c>
    </row>
    <row r="122" spans="19:43" x14ac:dyDescent="0.3">
      <c r="Y122" s="19" t="s">
        <v>1364</v>
      </c>
      <c r="Z122" s="19" t="s">
        <v>5418</v>
      </c>
      <c r="AA122" s="19" t="s">
        <v>5505</v>
      </c>
      <c r="AB122" s="15"/>
      <c r="AI122" s="15" t="s">
        <v>1533</v>
      </c>
      <c r="AJ122" s="15" t="s">
        <v>4184</v>
      </c>
      <c r="AK122" s="15" t="s">
        <v>3160</v>
      </c>
      <c r="AP122">
        <v>10166657</v>
      </c>
      <c r="AQ122" t="s">
        <v>1397</v>
      </c>
    </row>
    <row r="123" spans="19:43" x14ac:dyDescent="0.3">
      <c r="Y123" s="19" t="s">
        <v>23</v>
      </c>
      <c r="Z123" s="19" t="s">
        <v>5419</v>
      </c>
      <c r="AA123" s="19" t="s">
        <v>5506</v>
      </c>
      <c r="AB123" s="15"/>
      <c r="AI123" s="15" t="s">
        <v>1533</v>
      </c>
      <c r="AJ123" s="15" t="s">
        <v>4185</v>
      </c>
      <c r="AK123" s="15" t="s">
        <v>3161</v>
      </c>
      <c r="AP123">
        <v>10166653</v>
      </c>
      <c r="AQ123" t="s">
        <v>34</v>
      </c>
    </row>
    <row r="124" spans="19:43" x14ac:dyDescent="0.3">
      <c r="Y124" s="19" t="s">
        <v>23</v>
      </c>
      <c r="Z124" s="19" t="s">
        <v>5420</v>
      </c>
      <c r="AA124" s="19" t="s">
        <v>5507</v>
      </c>
      <c r="AB124" s="15"/>
      <c r="AI124" s="15" t="s">
        <v>1533</v>
      </c>
      <c r="AJ124" s="15" t="s">
        <v>4186</v>
      </c>
      <c r="AK124" s="15" t="s">
        <v>3162</v>
      </c>
      <c r="AP124">
        <v>10166638</v>
      </c>
      <c r="AQ124" t="s">
        <v>1396</v>
      </c>
    </row>
    <row r="125" spans="19:43" x14ac:dyDescent="0.3">
      <c r="Y125" s="14" t="s">
        <v>5344</v>
      </c>
      <c r="Z125" s="15" t="s">
        <v>5421</v>
      </c>
      <c r="AA125" s="15" t="s">
        <v>5508</v>
      </c>
      <c r="AB125" s="15"/>
      <c r="AI125" s="15" t="s">
        <v>1533</v>
      </c>
      <c r="AJ125" s="15" t="s">
        <v>4187</v>
      </c>
      <c r="AK125" s="15" t="s">
        <v>3163</v>
      </c>
      <c r="AP125">
        <v>10166637</v>
      </c>
      <c r="AQ125" t="s">
        <v>1395</v>
      </c>
    </row>
    <row r="126" spans="19:43" x14ac:dyDescent="0.3">
      <c r="Y126" s="14" t="s">
        <v>1385</v>
      </c>
      <c r="Z126" s="15" t="s">
        <v>5422</v>
      </c>
      <c r="AA126" s="15" t="s">
        <v>5509</v>
      </c>
      <c r="AB126" s="15"/>
      <c r="AI126" s="15" t="s">
        <v>1533</v>
      </c>
      <c r="AJ126" s="15" t="s">
        <v>4188</v>
      </c>
      <c r="AK126" s="15" t="s">
        <v>3164</v>
      </c>
      <c r="AP126">
        <v>10166636</v>
      </c>
      <c r="AQ126" t="s">
        <v>250</v>
      </c>
    </row>
    <row r="127" spans="19:43" x14ac:dyDescent="0.3">
      <c r="Y127" s="14" t="s">
        <v>247</v>
      </c>
      <c r="Z127" s="15" t="s">
        <v>1674</v>
      </c>
      <c r="AA127" s="15" t="s">
        <v>3018</v>
      </c>
      <c r="AB127" s="15"/>
      <c r="AI127" s="15" t="s">
        <v>1533</v>
      </c>
      <c r="AJ127" s="15" t="s">
        <v>4189</v>
      </c>
      <c r="AK127" s="15" t="s">
        <v>3165</v>
      </c>
      <c r="AP127">
        <v>10166634</v>
      </c>
      <c r="AQ127" t="s">
        <v>29</v>
      </c>
    </row>
    <row r="128" spans="19:43" x14ac:dyDescent="0.3">
      <c r="Y128" s="14" t="s">
        <v>247</v>
      </c>
      <c r="Z128" s="15" t="s">
        <v>1672</v>
      </c>
      <c r="AA128" s="15" t="s">
        <v>2959</v>
      </c>
      <c r="AB128" s="15"/>
      <c r="AI128" s="15" t="s">
        <v>1533</v>
      </c>
      <c r="AJ128" s="15" t="s">
        <v>4190</v>
      </c>
      <c r="AK128" s="15" t="s">
        <v>3166</v>
      </c>
      <c r="AP128">
        <v>10166388</v>
      </c>
      <c r="AQ128" t="s">
        <v>249</v>
      </c>
    </row>
    <row r="129" spans="25:43" x14ac:dyDescent="0.3">
      <c r="Y129" s="14" t="s">
        <v>247</v>
      </c>
      <c r="Z129" s="15" t="s">
        <v>1671</v>
      </c>
      <c r="AA129" s="15" t="s">
        <v>2960</v>
      </c>
      <c r="AB129" s="15"/>
      <c r="AI129" s="15" t="s">
        <v>1533</v>
      </c>
      <c r="AJ129" s="15" t="s">
        <v>4191</v>
      </c>
      <c r="AK129" s="15" t="s">
        <v>3167</v>
      </c>
      <c r="AP129">
        <v>10166350</v>
      </c>
      <c r="AQ129" t="s">
        <v>1394</v>
      </c>
    </row>
    <row r="130" spans="25:43" x14ac:dyDescent="0.3">
      <c r="Y130" s="14" t="s">
        <v>247</v>
      </c>
      <c r="Z130" s="15" t="s">
        <v>1628</v>
      </c>
      <c r="AA130" s="15" t="s">
        <v>1867</v>
      </c>
      <c r="AB130" s="15"/>
      <c r="AI130" s="15" t="s">
        <v>1533</v>
      </c>
      <c r="AJ130" s="15" t="s">
        <v>4192</v>
      </c>
      <c r="AK130" s="15" t="s">
        <v>3168</v>
      </c>
      <c r="AP130">
        <v>10165564</v>
      </c>
      <c r="AQ130" t="s">
        <v>247</v>
      </c>
    </row>
    <row r="131" spans="25:43" x14ac:dyDescent="0.3">
      <c r="Y131" s="14" t="s">
        <v>247</v>
      </c>
      <c r="Z131" s="15" t="s">
        <v>609</v>
      </c>
      <c r="AA131" s="15" t="s">
        <v>2629</v>
      </c>
      <c r="AB131" s="15"/>
      <c r="AI131" s="15" t="s">
        <v>1533</v>
      </c>
      <c r="AJ131" s="15" t="s">
        <v>4193</v>
      </c>
      <c r="AK131" s="15" t="s">
        <v>3169</v>
      </c>
    </row>
    <row r="132" spans="25:43" x14ac:dyDescent="0.3">
      <c r="Y132" s="14" t="s">
        <v>29</v>
      </c>
      <c r="Z132" s="15" t="s">
        <v>1555</v>
      </c>
      <c r="AA132" s="15" t="s">
        <v>2658</v>
      </c>
      <c r="AB132" s="15"/>
      <c r="AI132" s="15" t="s">
        <v>83</v>
      </c>
      <c r="AJ132" s="15" t="s">
        <v>4194</v>
      </c>
      <c r="AK132" s="15" t="s">
        <v>3170</v>
      </c>
    </row>
    <row r="133" spans="25:43" x14ac:dyDescent="0.3">
      <c r="Y133" s="14" t="s">
        <v>231</v>
      </c>
      <c r="Z133" s="15" t="s">
        <v>1530</v>
      </c>
      <c r="AA133" s="15" t="s">
        <v>2394</v>
      </c>
      <c r="AB133" s="15"/>
      <c r="AI133" s="15" t="s">
        <v>1356</v>
      </c>
      <c r="AJ133" s="15" t="s">
        <v>4195</v>
      </c>
      <c r="AK133" s="15" t="s">
        <v>3171</v>
      </c>
    </row>
    <row r="134" spans="25:43" x14ac:dyDescent="0.3">
      <c r="Y134" s="14" t="s">
        <v>247</v>
      </c>
      <c r="Z134" s="15" t="s">
        <v>1558</v>
      </c>
      <c r="AA134" s="15" t="s">
        <v>2663</v>
      </c>
      <c r="AB134" s="15"/>
      <c r="AI134" s="15" t="s">
        <v>1061</v>
      </c>
      <c r="AJ134" s="15" t="s">
        <v>4196</v>
      </c>
      <c r="AK134" s="15" t="s">
        <v>3172</v>
      </c>
    </row>
    <row r="135" spans="25:43" x14ac:dyDescent="0.3">
      <c r="Y135" s="14" t="s">
        <v>231</v>
      </c>
      <c r="Z135" s="15" t="s">
        <v>588</v>
      </c>
      <c r="AA135" s="15" t="s">
        <v>1967</v>
      </c>
      <c r="AB135" s="15"/>
      <c r="AI135" s="15" t="s">
        <v>1531</v>
      </c>
      <c r="AJ135" s="15" t="s">
        <v>4197</v>
      </c>
      <c r="AK135" s="15" t="s">
        <v>3173</v>
      </c>
    </row>
    <row r="136" spans="25:43" x14ac:dyDescent="0.3">
      <c r="Y136" s="14" t="s">
        <v>249</v>
      </c>
      <c r="Z136" s="15" t="s">
        <v>1352</v>
      </c>
      <c r="AA136" s="15" t="s">
        <v>2405</v>
      </c>
      <c r="AB136" s="15"/>
      <c r="AI136" s="19" t="s">
        <v>1188</v>
      </c>
      <c r="AJ136" s="19" t="s">
        <v>4198</v>
      </c>
      <c r="AK136" s="19" t="s">
        <v>3174</v>
      </c>
    </row>
    <row r="137" spans="25:43" x14ac:dyDescent="0.3">
      <c r="Y137" s="14" t="s">
        <v>249</v>
      </c>
      <c r="Z137" s="15" t="s">
        <v>5423</v>
      </c>
      <c r="AA137" s="15" t="s">
        <v>5510</v>
      </c>
      <c r="AB137" s="15"/>
      <c r="AI137" s="19" t="s">
        <v>1188</v>
      </c>
      <c r="AJ137" s="19" t="s">
        <v>4199</v>
      </c>
      <c r="AK137" s="19" t="s">
        <v>3175</v>
      </c>
    </row>
    <row r="138" spans="25:43" x14ac:dyDescent="0.3">
      <c r="Y138" s="14" t="s">
        <v>1380</v>
      </c>
      <c r="Z138" s="15" t="s">
        <v>5424</v>
      </c>
      <c r="AA138" s="15" t="s">
        <v>5511</v>
      </c>
      <c r="AB138" s="15"/>
      <c r="AI138" s="19" t="s">
        <v>1188</v>
      </c>
      <c r="AJ138" s="19" t="s">
        <v>4200</v>
      </c>
      <c r="AK138" s="19" t="s">
        <v>3176</v>
      </c>
    </row>
    <row r="139" spans="25:43" x14ac:dyDescent="0.3">
      <c r="Y139" s="14" t="s">
        <v>1380</v>
      </c>
      <c r="Z139" s="15" t="s">
        <v>88</v>
      </c>
      <c r="AA139" s="15" t="s">
        <v>1749</v>
      </c>
      <c r="AB139" s="15"/>
      <c r="AI139" s="19" t="s">
        <v>1188</v>
      </c>
      <c r="AJ139" s="19" t="s">
        <v>4201</v>
      </c>
      <c r="AK139" s="19" t="s">
        <v>3177</v>
      </c>
    </row>
    <row r="140" spans="25:43" x14ac:dyDescent="0.3">
      <c r="Y140" s="14" t="s">
        <v>1380</v>
      </c>
      <c r="Z140" s="15" t="s">
        <v>5425</v>
      </c>
      <c r="AA140" s="15" t="s">
        <v>5512</v>
      </c>
      <c r="AB140" s="15"/>
      <c r="AI140" s="19" t="s">
        <v>1188</v>
      </c>
      <c r="AJ140" s="19" t="s">
        <v>4202</v>
      </c>
      <c r="AK140" s="19" t="s">
        <v>3178</v>
      </c>
    </row>
    <row r="141" spans="25:43" x14ac:dyDescent="0.3">
      <c r="Y141" s="14" t="s">
        <v>1048</v>
      </c>
      <c r="Z141" s="15" t="s">
        <v>5426</v>
      </c>
      <c r="AA141" s="15" t="s">
        <v>2416</v>
      </c>
      <c r="AB141" s="15"/>
      <c r="AI141" s="19" t="s">
        <v>1188</v>
      </c>
      <c r="AJ141" s="19" t="s">
        <v>4203</v>
      </c>
      <c r="AK141" s="19" t="s">
        <v>3179</v>
      </c>
    </row>
    <row r="142" spans="25:43" x14ac:dyDescent="0.3">
      <c r="Y142" s="14" t="s">
        <v>9</v>
      </c>
      <c r="Z142" s="15" t="s">
        <v>5427</v>
      </c>
      <c r="AA142" s="15" t="s">
        <v>5513</v>
      </c>
      <c r="AB142" s="15"/>
      <c r="AI142" s="19" t="s">
        <v>1188</v>
      </c>
      <c r="AJ142" s="19" t="s">
        <v>4204</v>
      </c>
      <c r="AK142" s="19" t="s">
        <v>3180</v>
      </c>
    </row>
    <row r="143" spans="25:43" x14ac:dyDescent="0.3">
      <c r="Y143" s="14" t="s">
        <v>233</v>
      </c>
      <c r="Z143" s="15" t="s">
        <v>5428</v>
      </c>
      <c r="AA143" s="15" t="s">
        <v>5514</v>
      </c>
      <c r="AB143" s="15"/>
      <c r="AI143" s="19" t="s">
        <v>5184</v>
      </c>
      <c r="AJ143" s="19" t="s">
        <v>5303</v>
      </c>
      <c r="AK143" s="19" t="s">
        <v>5236</v>
      </c>
    </row>
    <row r="144" spans="25:43" x14ac:dyDescent="0.3">
      <c r="Y144" s="14" t="s">
        <v>1331</v>
      </c>
      <c r="Z144" s="15" t="s">
        <v>1340</v>
      </c>
      <c r="AA144" s="15" t="s">
        <v>2352</v>
      </c>
      <c r="AB144" s="15"/>
      <c r="AI144" s="19" t="s">
        <v>5184</v>
      </c>
      <c r="AJ144" s="19" t="s">
        <v>5304</v>
      </c>
      <c r="AK144" s="19" t="s">
        <v>5237</v>
      </c>
    </row>
    <row r="145" spans="25:37" x14ac:dyDescent="0.3">
      <c r="Y145" s="14" t="s">
        <v>233</v>
      </c>
      <c r="Z145" s="15" t="s">
        <v>5429</v>
      </c>
      <c r="AA145" s="15" t="s">
        <v>5515</v>
      </c>
      <c r="AB145" s="15"/>
      <c r="AI145" s="15" t="s">
        <v>1256</v>
      </c>
      <c r="AJ145" s="15" t="s">
        <v>4217</v>
      </c>
      <c r="AK145" s="15" t="s">
        <v>3203</v>
      </c>
    </row>
    <row r="146" spans="25:37" x14ac:dyDescent="0.3">
      <c r="Y146" s="14" t="s">
        <v>1380</v>
      </c>
      <c r="Z146" s="15" t="s">
        <v>1081</v>
      </c>
      <c r="AA146" s="15" t="s">
        <v>1728</v>
      </c>
      <c r="AB146" s="15"/>
      <c r="AI146" s="15" t="s">
        <v>1054</v>
      </c>
      <c r="AJ146" s="15" t="s">
        <v>4218</v>
      </c>
      <c r="AK146" s="15" t="s">
        <v>3204</v>
      </c>
    </row>
    <row r="147" spans="25:37" x14ac:dyDescent="0.3">
      <c r="Y147" s="14" t="s">
        <v>1709</v>
      </c>
      <c r="Z147" s="15" t="s">
        <v>5430</v>
      </c>
      <c r="AA147" s="15" t="s">
        <v>5516</v>
      </c>
      <c r="AB147" s="15"/>
      <c r="AI147" s="15" t="s">
        <v>1054</v>
      </c>
      <c r="AJ147" s="15" t="s">
        <v>4219</v>
      </c>
      <c r="AK147" s="15" t="s">
        <v>3205</v>
      </c>
    </row>
    <row r="148" spans="25:37" x14ac:dyDescent="0.3">
      <c r="Y148" s="14" t="s">
        <v>1380</v>
      </c>
      <c r="Z148" s="15" t="s">
        <v>5431</v>
      </c>
      <c r="AA148" s="15" t="s">
        <v>5517</v>
      </c>
      <c r="AB148" s="15"/>
      <c r="AI148" s="15" t="s">
        <v>1054</v>
      </c>
      <c r="AJ148" s="15" t="s">
        <v>4220</v>
      </c>
      <c r="AK148" s="15" t="s">
        <v>3206</v>
      </c>
    </row>
    <row r="149" spans="25:37" x14ac:dyDescent="0.3">
      <c r="Y149" s="14" t="s">
        <v>1709</v>
      </c>
      <c r="Z149" s="15" t="s">
        <v>5432</v>
      </c>
      <c r="AA149" s="15" t="s">
        <v>5518</v>
      </c>
      <c r="AB149" s="15"/>
      <c r="AI149" s="15" t="s">
        <v>1500</v>
      </c>
      <c r="AJ149" s="15" t="s">
        <v>4223</v>
      </c>
      <c r="AK149" s="15" t="s">
        <v>3209</v>
      </c>
    </row>
    <row r="150" spans="25:37" x14ac:dyDescent="0.3">
      <c r="Y150" s="14" t="s">
        <v>1709</v>
      </c>
      <c r="Z150" s="15" t="s">
        <v>5432</v>
      </c>
      <c r="AA150" s="15" t="s">
        <v>5519</v>
      </c>
      <c r="AB150" s="15"/>
      <c r="AI150" s="15" t="s">
        <v>1500</v>
      </c>
      <c r="AJ150" s="15" t="s">
        <v>4228</v>
      </c>
      <c r="AK150" s="15" t="s">
        <v>3215</v>
      </c>
    </row>
    <row r="151" spans="25:37" x14ac:dyDescent="0.3">
      <c r="Y151" s="19" t="s">
        <v>23</v>
      </c>
      <c r="Z151" s="19" t="s">
        <v>5433</v>
      </c>
      <c r="AA151" s="19" t="s">
        <v>5520</v>
      </c>
      <c r="AB151" s="15"/>
      <c r="AI151" s="15" t="s">
        <v>1500</v>
      </c>
      <c r="AJ151" s="15" t="s">
        <v>4229</v>
      </c>
      <c r="AK151" s="15" t="s">
        <v>3216</v>
      </c>
    </row>
    <row r="152" spans="25:37" x14ac:dyDescent="0.3">
      <c r="Y152" s="14" t="s">
        <v>1049</v>
      </c>
      <c r="Z152" s="15" t="s">
        <v>5434</v>
      </c>
      <c r="AA152" s="15" t="s">
        <v>5201</v>
      </c>
      <c r="AB152" s="15"/>
      <c r="AI152" s="15" t="s">
        <v>1500</v>
      </c>
      <c r="AJ152" s="15" t="s">
        <v>4231</v>
      </c>
      <c r="AK152" s="15" t="s">
        <v>3218</v>
      </c>
    </row>
    <row r="153" spans="25:37" x14ac:dyDescent="0.3">
      <c r="Y153" s="14" t="s">
        <v>13</v>
      </c>
      <c r="Z153" s="15" t="s">
        <v>5435</v>
      </c>
      <c r="AA153" s="15" t="s">
        <v>5521</v>
      </c>
      <c r="AB153" s="15"/>
      <c r="AI153" s="15" t="s">
        <v>1500</v>
      </c>
      <c r="AJ153" s="15" t="s">
        <v>4232</v>
      </c>
      <c r="AK153" s="15" t="s">
        <v>3219</v>
      </c>
    </row>
    <row r="154" spans="25:37" x14ac:dyDescent="0.3">
      <c r="Y154" s="14" t="s">
        <v>13</v>
      </c>
      <c r="Z154" s="15" t="s">
        <v>5436</v>
      </c>
      <c r="AA154" s="15" t="s">
        <v>5522</v>
      </c>
      <c r="AB154" s="15"/>
      <c r="AI154" s="15" t="s">
        <v>1046</v>
      </c>
      <c r="AJ154" s="15" t="s">
        <v>4235</v>
      </c>
      <c r="AK154" s="15" t="s">
        <v>3222</v>
      </c>
    </row>
    <row r="155" spans="25:37" x14ac:dyDescent="0.3">
      <c r="Y155" s="14" t="s">
        <v>13</v>
      </c>
      <c r="Z155" s="15" t="s">
        <v>5437</v>
      </c>
      <c r="AA155" s="15" t="s">
        <v>5523</v>
      </c>
      <c r="AB155" s="15"/>
      <c r="AI155" s="15" t="s">
        <v>1046</v>
      </c>
      <c r="AJ155" s="15" t="s">
        <v>4236</v>
      </c>
      <c r="AK155" s="15" t="s">
        <v>3223</v>
      </c>
    </row>
    <row r="156" spans="25:37" x14ac:dyDescent="0.3">
      <c r="Y156" s="14" t="s">
        <v>228</v>
      </c>
      <c r="Z156" s="15" t="s">
        <v>5438</v>
      </c>
      <c r="AA156" s="15" t="s">
        <v>5524</v>
      </c>
      <c r="AB156" s="15"/>
      <c r="AI156" s="15" t="s">
        <v>1054</v>
      </c>
      <c r="AJ156" s="15" t="s">
        <v>4237</v>
      </c>
      <c r="AK156" s="15" t="s">
        <v>3224</v>
      </c>
    </row>
    <row r="157" spans="25:37" x14ac:dyDescent="0.3">
      <c r="Y157" s="14" t="s">
        <v>1049</v>
      </c>
      <c r="Z157" s="15" t="s">
        <v>5332</v>
      </c>
      <c r="AA157" s="15" t="s">
        <v>5334</v>
      </c>
      <c r="AB157" s="15"/>
      <c r="AI157" s="15" t="s">
        <v>1054</v>
      </c>
      <c r="AJ157" s="15" t="s">
        <v>4238</v>
      </c>
      <c r="AK157" s="15" t="s">
        <v>3225</v>
      </c>
    </row>
    <row r="158" spans="25:37" x14ac:dyDescent="0.3">
      <c r="Y158" s="14" t="s">
        <v>5174</v>
      </c>
      <c r="Z158" s="15" t="s">
        <v>5176</v>
      </c>
      <c r="AA158" s="15" t="s">
        <v>5197</v>
      </c>
      <c r="AB158" s="15"/>
      <c r="AI158" s="15" t="s">
        <v>1054</v>
      </c>
      <c r="AJ158" s="15" t="s">
        <v>4239</v>
      </c>
      <c r="AK158" s="15" t="s">
        <v>3226</v>
      </c>
    </row>
    <row r="159" spans="25:37" x14ac:dyDescent="0.3">
      <c r="Y159" s="14" t="s">
        <v>1380</v>
      </c>
      <c r="Z159" s="15" t="s">
        <v>5177</v>
      </c>
      <c r="AA159" s="15" t="s">
        <v>5198</v>
      </c>
      <c r="AB159" s="15"/>
      <c r="AI159" s="15" t="s">
        <v>1054</v>
      </c>
      <c r="AJ159" s="15" t="s">
        <v>4240</v>
      </c>
      <c r="AK159" s="15" t="s">
        <v>3227</v>
      </c>
    </row>
    <row r="160" spans="25:37" x14ac:dyDescent="0.3">
      <c r="Y160" s="19" t="s">
        <v>5175</v>
      </c>
      <c r="Z160" s="19" t="s">
        <v>5178</v>
      </c>
      <c r="AA160" s="19" t="s">
        <v>5200</v>
      </c>
      <c r="AB160" s="15"/>
      <c r="AI160" s="15" t="s">
        <v>1054</v>
      </c>
      <c r="AJ160" s="15" t="s">
        <v>4241</v>
      </c>
      <c r="AK160" s="15" t="s">
        <v>3228</v>
      </c>
    </row>
    <row r="161" spans="25:37" x14ac:dyDescent="0.3">
      <c r="Y161" s="14" t="s">
        <v>1380</v>
      </c>
      <c r="Z161" s="15" t="s">
        <v>5179</v>
      </c>
      <c r="AA161" s="15" t="s">
        <v>5202</v>
      </c>
      <c r="AB161" s="15"/>
      <c r="AI161" s="15" t="s">
        <v>1054</v>
      </c>
      <c r="AJ161" s="15" t="s">
        <v>4242</v>
      </c>
      <c r="AK161" s="15" t="s">
        <v>3229</v>
      </c>
    </row>
    <row r="162" spans="25:37" x14ac:dyDescent="0.3">
      <c r="Y162" s="14" t="s">
        <v>13</v>
      </c>
      <c r="Z162" s="15" t="s">
        <v>95</v>
      </c>
      <c r="AA162" s="15" t="s">
        <v>2364</v>
      </c>
      <c r="AB162" s="15"/>
      <c r="AI162" s="15" t="s">
        <v>1054</v>
      </c>
      <c r="AJ162" s="15" t="s">
        <v>4243</v>
      </c>
      <c r="AK162" s="15" t="s">
        <v>3230</v>
      </c>
    </row>
    <row r="163" spans="25:37" x14ac:dyDescent="0.3">
      <c r="Y163" s="19" t="s">
        <v>98</v>
      </c>
      <c r="Z163" s="19" t="s">
        <v>5180</v>
      </c>
      <c r="AA163" s="19" t="s">
        <v>5205</v>
      </c>
      <c r="AB163" s="15"/>
      <c r="AI163" s="15" t="s">
        <v>1054</v>
      </c>
      <c r="AJ163" s="15" t="s">
        <v>4244</v>
      </c>
      <c r="AK163" s="15" t="s">
        <v>3231</v>
      </c>
    </row>
    <row r="164" spans="25:37" x14ac:dyDescent="0.3">
      <c r="Y164" s="14" t="s">
        <v>1049</v>
      </c>
      <c r="Z164" s="15" t="s">
        <v>1075</v>
      </c>
      <c r="AA164" s="15" t="s">
        <v>2421</v>
      </c>
      <c r="AB164" s="15"/>
      <c r="AI164" s="15" t="s">
        <v>1054</v>
      </c>
      <c r="AJ164" s="15" t="s">
        <v>4245</v>
      </c>
      <c r="AK164" s="15" t="s">
        <v>3232</v>
      </c>
    </row>
    <row r="165" spans="25:37" x14ac:dyDescent="0.3">
      <c r="Y165" s="14" t="s">
        <v>228</v>
      </c>
      <c r="Z165" s="15" t="s">
        <v>224</v>
      </c>
      <c r="AA165" s="15" t="s">
        <v>1292</v>
      </c>
      <c r="AB165" s="15"/>
      <c r="AI165" s="15" t="s">
        <v>1054</v>
      </c>
      <c r="AJ165" s="15" t="s">
        <v>4246</v>
      </c>
      <c r="AK165" s="15" t="s">
        <v>3233</v>
      </c>
    </row>
    <row r="166" spans="25:37" x14ac:dyDescent="0.3">
      <c r="Y166" s="14" t="s">
        <v>13</v>
      </c>
      <c r="Z166" s="15" t="s">
        <v>1062</v>
      </c>
      <c r="AA166" s="15" t="s">
        <v>2415</v>
      </c>
      <c r="AB166" s="15"/>
      <c r="AI166" s="15" t="s">
        <v>1054</v>
      </c>
      <c r="AJ166" s="15" t="s">
        <v>4247</v>
      </c>
      <c r="AK166" s="15" t="s">
        <v>3234</v>
      </c>
    </row>
    <row r="167" spans="25:37" x14ac:dyDescent="0.3">
      <c r="Y167" s="14" t="s">
        <v>231</v>
      </c>
      <c r="Z167" s="15" t="s">
        <v>5181</v>
      </c>
      <c r="AA167" s="15" t="s">
        <v>5211</v>
      </c>
      <c r="AB167" s="15"/>
      <c r="AI167" s="15" t="s">
        <v>1523</v>
      </c>
      <c r="AJ167" s="15" t="s">
        <v>4248</v>
      </c>
      <c r="AK167" s="15" t="s">
        <v>3235</v>
      </c>
    </row>
    <row r="168" spans="25:37" x14ac:dyDescent="0.3">
      <c r="Y168" s="14" t="s">
        <v>1380</v>
      </c>
      <c r="Z168" s="15" t="s">
        <v>5165</v>
      </c>
      <c r="AA168" s="15" t="s">
        <v>5214</v>
      </c>
      <c r="AB168" s="15"/>
      <c r="AI168" s="15" t="s">
        <v>1523</v>
      </c>
      <c r="AJ168" s="15" t="s">
        <v>4249</v>
      </c>
      <c r="AK168" s="15" t="s">
        <v>3236</v>
      </c>
    </row>
    <row r="169" spans="25:37" x14ac:dyDescent="0.3">
      <c r="Y169" s="14" t="s">
        <v>1381</v>
      </c>
      <c r="Z169" s="15" t="s">
        <v>5166</v>
      </c>
      <c r="AA169" s="15" t="s">
        <v>5216</v>
      </c>
      <c r="AB169" s="15"/>
      <c r="AI169" s="15" t="s">
        <v>385</v>
      </c>
      <c r="AJ169" s="15" t="s">
        <v>4250</v>
      </c>
      <c r="AK169" s="15" t="s">
        <v>3237</v>
      </c>
    </row>
    <row r="170" spans="25:37" x14ac:dyDescent="0.3">
      <c r="Y170" s="14" t="s">
        <v>1385</v>
      </c>
      <c r="Z170" s="15" t="s">
        <v>5167</v>
      </c>
      <c r="AA170" s="15" t="s">
        <v>5218</v>
      </c>
      <c r="AB170" s="15"/>
      <c r="AI170" s="19" t="s">
        <v>370</v>
      </c>
      <c r="AJ170" s="19" t="s">
        <v>4251</v>
      </c>
      <c r="AK170" s="19" t="s">
        <v>3238</v>
      </c>
    </row>
    <row r="171" spans="25:37" x14ac:dyDescent="0.3">
      <c r="Y171" s="14" t="s">
        <v>1380</v>
      </c>
      <c r="Z171" s="15" t="s">
        <v>5168</v>
      </c>
      <c r="AA171" s="15" t="s">
        <v>5219</v>
      </c>
      <c r="AB171" s="15"/>
      <c r="AI171" s="19" t="s">
        <v>370</v>
      </c>
      <c r="AJ171" s="19" t="s">
        <v>4252</v>
      </c>
      <c r="AK171" s="19" t="s">
        <v>3239</v>
      </c>
    </row>
    <row r="172" spans="25:37" x14ac:dyDescent="0.3">
      <c r="Y172" s="14" t="s">
        <v>1381</v>
      </c>
      <c r="Z172" s="15" t="s">
        <v>5170</v>
      </c>
      <c r="AA172" s="15" t="s">
        <v>5222</v>
      </c>
      <c r="AB172" s="15"/>
      <c r="AI172" s="19" t="s">
        <v>370</v>
      </c>
      <c r="AJ172" s="19" t="s">
        <v>4253</v>
      </c>
      <c r="AK172" s="19" t="s">
        <v>3240</v>
      </c>
    </row>
    <row r="173" spans="25:37" x14ac:dyDescent="0.3">
      <c r="Y173" s="14" t="s">
        <v>1381</v>
      </c>
      <c r="Z173" s="15" t="s">
        <v>5171</v>
      </c>
      <c r="AA173" s="15" t="s">
        <v>5223</v>
      </c>
      <c r="AB173" s="15"/>
      <c r="AI173" s="19" t="s">
        <v>374</v>
      </c>
      <c r="AJ173" s="19" t="s">
        <v>4254</v>
      </c>
      <c r="AK173" s="19" t="s">
        <v>3241</v>
      </c>
    </row>
    <row r="174" spans="25:37" x14ac:dyDescent="0.3">
      <c r="Y174" s="14" t="s">
        <v>1711</v>
      </c>
      <c r="Z174" s="15" t="s">
        <v>5172</v>
      </c>
      <c r="AA174" s="15" t="s">
        <v>5224</v>
      </c>
      <c r="AB174" s="15"/>
      <c r="AI174" s="19" t="s">
        <v>374</v>
      </c>
      <c r="AJ174" s="19" t="s">
        <v>4255</v>
      </c>
      <c r="AK174" s="19" t="s">
        <v>3242</v>
      </c>
    </row>
    <row r="175" spans="25:37" x14ac:dyDescent="0.3">
      <c r="Y175" s="14" t="s">
        <v>1380</v>
      </c>
      <c r="Z175" s="15" t="s">
        <v>1341</v>
      </c>
      <c r="AA175" s="15" t="s">
        <v>1847</v>
      </c>
      <c r="AB175" s="15"/>
      <c r="AI175" s="19" t="s">
        <v>374</v>
      </c>
      <c r="AJ175" s="19" t="s">
        <v>4256</v>
      </c>
      <c r="AK175" s="19" t="s">
        <v>3243</v>
      </c>
    </row>
    <row r="176" spans="25:37" x14ac:dyDescent="0.3">
      <c r="Y176" s="14" t="s">
        <v>1385</v>
      </c>
      <c r="Z176" s="15" t="s">
        <v>1495</v>
      </c>
      <c r="AA176" s="15" t="s">
        <v>1723</v>
      </c>
      <c r="AB176" s="15"/>
      <c r="AI176" s="19" t="s">
        <v>374</v>
      </c>
      <c r="AJ176" s="19" t="s">
        <v>4257</v>
      </c>
      <c r="AK176" s="19" t="s">
        <v>3244</v>
      </c>
    </row>
    <row r="177" spans="25:37" x14ac:dyDescent="0.3">
      <c r="Y177" s="19" t="s">
        <v>1364</v>
      </c>
      <c r="Z177" s="19" t="s">
        <v>1089</v>
      </c>
      <c r="AA177" s="19" t="s">
        <v>2228</v>
      </c>
      <c r="AB177" s="15"/>
      <c r="AI177" s="19" t="s">
        <v>374</v>
      </c>
      <c r="AJ177" s="19" t="s">
        <v>4258</v>
      </c>
      <c r="AK177" s="19" t="s">
        <v>3245</v>
      </c>
    </row>
    <row r="178" spans="25:37" x14ac:dyDescent="0.3">
      <c r="Y178" s="19" t="s">
        <v>1364</v>
      </c>
      <c r="Z178" s="19" t="s">
        <v>5173</v>
      </c>
      <c r="AA178" s="19" t="s">
        <v>5234</v>
      </c>
      <c r="AB178" s="15"/>
      <c r="AI178" s="19" t="s">
        <v>382</v>
      </c>
      <c r="AJ178" s="19" t="s">
        <v>4259</v>
      </c>
      <c r="AK178" s="19" t="s">
        <v>3246</v>
      </c>
    </row>
    <row r="179" spans="25:37" x14ac:dyDescent="0.3">
      <c r="Y179" s="14" t="s">
        <v>1380</v>
      </c>
      <c r="Z179" s="15" t="s">
        <v>1533</v>
      </c>
      <c r="AA179" s="15" t="s">
        <v>1733</v>
      </c>
      <c r="AB179" s="15"/>
      <c r="AI179" s="19" t="s">
        <v>91</v>
      </c>
      <c r="AJ179" s="19" t="s">
        <v>4260</v>
      </c>
      <c r="AK179" s="19" t="s">
        <v>3247</v>
      </c>
    </row>
    <row r="180" spans="25:37" x14ac:dyDescent="0.3">
      <c r="Y180" s="14" t="s">
        <v>1381</v>
      </c>
      <c r="Z180" s="15" t="s">
        <v>1498</v>
      </c>
      <c r="AA180" s="15" t="s">
        <v>1721</v>
      </c>
      <c r="AB180" s="15"/>
      <c r="AI180" s="19" t="s">
        <v>1067</v>
      </c>
      <c r="AJ180" s="19" t="s">
        <v>4261</v>
      </c>
      <c r="AK180" s="19" t="s">
        <v>3248</v>
      </c>
    </row>
    <row r="181" spans="25:37" x14ac:dyDescent="0.3">
      <c r="Y181" s="14" t="s">
        <v>1381</v>
      </c>
      <c r="Z181" s="15" t="s">
        <v>1501</v>
      </c>
      <c r="AA181" s="15" t="s">
        <v>1722</v>
      </c>
      <c r="AB181" s="15"/>
      <c r="AI181" s="19" t="s">
        <v>377</v>
      </c>
      <c r="AJ181" s="19" t="s">
        <v>4262</v>
      </c>
      <c r="AK181" s="19" t="s">
        <v>3249</v>
      </c>
    </row>
    <row r="182" spans="25:37" x14ac:dyDescent="0.3">
      <c r="Y182" s="14" t="s">
        <v>1385</v>
      </c>
      <c r="Z182" s="15" t="s">
        <v>1703</v>
      </c>
      <c r="AA182" s="15" t="s">
        <v>1724</v>
      </c>
      <c r="AB182" s="15"/>
      <c r="AI182" s="19" t="s">
        <v>409</v>
      </c>
      <c r="AJ182" s="19" t="s">
        <v>4263</v>
      </c>
      <c r="AK182" s="19" t="s">
        <v>3250</v>
      </c>
    </row>
    <row r="183" spans="25:37" x14ac:dyDescent="0.3">
      <c r="Y183" s="14" t="s">
        <v>1385</v>
      </c>
      <c r="Z183" s="15" t="s">
        <v>1704</v>
      </c>
      <c r="AA183" s="15" t="s">
        <v>1725</v>
      </c>
      <c r="AB183" s="15"/>
      <c r="AI183" s="19" t="s">
        <v>63</v>
      </c>
      <c r="AJ183" s="19" t="s">
        <v>4264</v>
      </c>
      <c r="AK183" s="19" t="s">
        <v>3251</v>
      </c>
    </row>
    <row r="184" spans="25:37" x14ac:dyDescent="0.3">
      <c r="Y184" s="14" t="s">
        <v>1387</v>
      </c>
      <c r="Z184" s="15" t="s">
        <v>1705</v>
      </c>
      <c r="AA184" s="15" t="s">
        <v>1726</v>
      </c>
      <c r="AB184" s="15"/>
      <c r="AI184" s="19" t="s">
        <v>63</v>
      </c>
      <c r="AJ184" s="19" t="s">
        <v>4265</v>
      </c>
      <c r="AK184" s="19" t="s">
        <v>3252</v>
      </c>
    </row>
    <row r="185" spans="25:37" x14ac:dyDescent="0.3">
      <c r="Y185" s="14" t="s">
        <v>1387</v>
      </c>
      <c r="Z185" s="15" t="s">
        <v>1706</v>
      </c>
      <c r="AA185" s="15" t="s">
        <v>1727</v>
      </c>
      <c r="AB185" s="15"/>
      <c r="AI185" s="19" t="s">
        <v>63</v>
      </c>
      <c r="AJ185" s="19" t="s">
        <v>4266</v>
      </c>
      <c r="AK185" s="19" t="s">
        <v>3253</v>
      </c>
    </row>
    <row r="186" spans="25:37" x14ac:dyDescent="0.3">
      <c r="Y186" s="14" t="s">
        <v>1380</v>
      </c>
      <c r="Z186" s="15" t="s">
        <v>83</v>
      </c>
      <c r="AA186" s="15" t="s">
        <v>1729</v>
      </c>
      <c r="AB186" s="15"/>
      <c r="AI186" s="19" t="s">
        <v>63</v>
      </c>
      <c r="AJ186" s="19" t="s">
        <v>4267</v>
      </c>
      <c r="AK186" s="19" t="s">
        <v>3254</v>
      </c>
    </row>
    <row r="187" spans="25:37" x14ac:dyDescent="0.3">
      <c r="Y187" s="14" t="s">
        <v>1048</v>
      </c>
      <c r="Z187" s="15" t="s">
        <v>1494</v>
      </c>
      <c r="AA187" s="15" t="s">
        <v>1731</v>
      </c>
      <c r="AB187" s="15"/>
      <c r="AI187" s="19" t="s">
        <v>1159</v>
      </c>
      <c r="AJ187" s="19" t="s">
        <v>4268</v>
      </c>
      <c r="AK187" s="19" t="s">
        <v>3255</v>
      </c>
    </row>
    <row r="188" spans="25:37" x14ac:dyDescent="0.3">
      <c r="Y188" s="14" t="s">
        <v>247</v>
      </c>
      <c r="Z188" s="15" t="s">
        <v>1339</v>
      </c>
      <c r="AA188" s="15" t="s">
        <v>1732</v>
      </c>
      <c r="AB188" s="15"/>
      <c r="AI188" s="19" t="s">
        <v>1159</v>
      </c>
      <c r="AJ188" s="19" t="s">
        <v>4269</v>
      </c>
      <c r="AK188" s="19" t="s">
        <v>3256</v>
      </c>
    </row>
    <row r="189" spans="25:37" x14ac:dyDescent="0.3">
      <c r="Y189" s="14" t="s">
        <v>1385</v>
      </c>
      <c r="Z189" s="15" t="s">
        <v>1496</v>
      </c>
      <c r="AA189" s="15" t="s">
        <v>1734</v>
      </c>
      <c r="AB189" s="15"/>
      <c r="AI189" s="19" t="s">
        <v>1159</v>
      </c>
      <c r="AJ189" s="19" t="s">
        <v>4270</v>
      </c>
      <c r="AK189" s="19" t="s">
        <v>3257</v>
      </c>
    </row>
    <row r="190" spans="25:37" x14ac:dyDescent="0.3">
      <c r="Y190" s="14" t="s">
        <v>1385</v>
      </c>
      <c r="Z190" s="15" t="s">
        <v>1497</v>
      </c>
      <c r="AA190" s="15" t="s">
        <v>1735</v>
      </c>
      <c r="AB190" s="15"/>
      <c r="AI190" s="19" t="s">
        <v>1159</v>
      </c>
      <c r="AJ190" s="19" t="s">
        <v>4271</v>
      </c>
      <c r="AK190" s="19" t="s">
        <v>3258</v>
      </c>
    </row>
    <row r="191" spans="25:37" x14ac:dyDescent="0.3">
      <c r="Y191" s="14" t="s">
        <v>1380</v>
      </c>
      <c r="Z191" s="15" t="s">
        <v>75</v>
      </c>
      <c r="AA191" s="15" t="s">
        <v>1736</v>
      </c>
      <c r="AB191" s="15"/>
      <c r="AI191" s="19" t="s">
        <v>72</v>
      </c>
      <c r="AJ191" s="19" t="s">
        <v>4272</v>
      </c>
      <c r="AK191" s="19" t="s">
        <v>3259</v>
      </c>
    </row>
    <row r="192" spans="25:37" x14ac:dyDescent="0.3">
      <c r="Y192" s="14" t="s">
        <v>1380</v>
      </c>
      <c r="Z192" s="15" t="s">
        <v>1165</v>
      </c>
      <c r="AA192" s="15" t="s">
        <v>1737</v>
      </c>
      <c r="AB192" s="15"/>
      <c r="AI192" s="19" t="s">
        <v>72</v>
      </c>
      <c r="AJ192" s="19" t="s">
        <v>4273</v>
      </c>
      <c r="AK192" s="19" t="s">
        <v>3260</v>
      </c>
    </row>
    <row r="193" spans="25:37" x14ac:dyDescent="0.3">
      <c r="Y193" s="14" t="s">
        <v>1380</v>
      </c>
      <c r="Z193" s="15" t="s">
        <v>1166</v>
      </c>
      <c r="AA193" s="15" t="s">
        <v>1738</v>
      </c>
      <c r="AB193" s="15"/>
      <c r="AI193" s="19" t="s">
        <v>72</v>
      </c>
      <c r="AJ193" s="19" t="s">
        <v>4274</v>
      </c>
      <c r="AK193" s="19" t="s">
        <v>3261</v>
      </c>
    </row>
    <row r="194" spans="25:37" x14ac:dyDescent="0.3">
      <c r="Y194" s="14" t="s">
        <v>1380</v>
      </c>
      <c r="Z194" s="15" t="s">
        <v>1130</v>
      </c>
      <c r="AA194" s="15" t="s">
        <v>1739</v>
      </c>
      <c r="AB194" s="15"/>
      <c r="AI194" s="19" t="s">
        <v>72</v>
      </c>
      <c r="AJ194" s="19" t="s">
        <v>4275</v>
      </c>
      <c r="AK194" s="19" t="s">
        <v>3262</v>
      </c>
    </row>
    <row r="195" spans="25:37" x14ac:dyDescent="0.3">
      <c r="Y195" s="14" t="s">
        <v>1380</v>
      </c>
      <c r="Z195" s="15" t="s">
        <v>1167</v>
      </c>
      <c r="AA195" s="15" t="s">
        <v>1740</v>
      </c>
      <c r="AB195" s="15"/>
      <c r="AI195" s="19" t="s">
        <v>72</v>
      </c>
      <c r="AJ195" s="19" t="s">
        <v>4276</v>
      </c>
      <c r="AK195" s="19" t="s">
        <v>3263</v>
      </c>
    </row>
    <row r="196" spans="25:37" x14ac:dyDescent="0.3">
      <c r="Y196" s="14" t="s">
        <v>1380</v>
      </c>
      <c r="Z196" s="15" t="s">
        <v>1139</v>
      </c>
      <c r="AA196" s="15" t="s">
        <v>1741</v>
      </c>
      <c r="AB196" s="15"/>
      <c r="AI196" s="19" t="s">
        <v>72</v>
      </c>
      <c r="AJ196" s="19" t="s">
        <v>4277</v>
      </c>
      <c r="AK196" s="19" t="s">
        <v>3264</v>
      </c>
    </row>
    <row r="197" spans="25:37" x14ac:dyDescent="0.3">
      <c r="Y197" s="14" t="s">
        <v>1380</v>
      </c>
      <c r="Z197" s="15" t="s">
        <v>1170</v>
      </c>
      <c r="AA197" s="15" t="s">
        <v>1742</v>
      </c>
      <c r="AB197" s="15"/>
      <c r="AI197" s="19" t="s">
        <v>72</v>
      </c>
      <c r="AJ197" s="19" t="s">
        <v>4278</v>
      </c>
      <c r="AK197" s="19" t="s">
        <v>3265</v>
      </c>
    </row>
    <row r="198" spans="25:37" x14ac:dyDescent="0.3">
      <c r="Y198" s="14" t="s">
        <v>1380</v>
      </c>
      <c r="Z198" s="15" t="s">
        <v>484</v>
      </c>
      <c r="AA198" s="15" t="s">
        <v>1743</v>
      </c>
      <c r="AB198" s="15"/>
      <c r="AI198" s="19" t="s">
        <v>72</v>
      </c>
      <c r="AJ198" s="19" t="s">
        <v>4279</v>
      </c>
      <c r="AK198" s="19" t="s">
        <v>3266</v>
      </c>
    </row>
    <row r="199" spans="25:37" x14ac:dyDescent="0.3">
      <c r="Y199" s="14" t="s">
        <v>1380</v>
      </c>
      <c r="Z199" s="15" t="s">
        <v>485</v>
      </c>
      <c r="AA199" s="15" t="s">
        <v>1744</v>
      </c>
      <c r="AB199" s="15"/>
      <c r="AI199" s="19" t="s">
        <v>72</v>
      </c>
      <c r="AJ199" s="19" t="s">
        <v>4280</v>
      </c>
      <c r="AK199" s="19" t="s">
        <v>3267</v>
      </c>
    </row>
    <row r="200" spans="25:37" x14ac:dyDescent="0.3">
      <c r="Y200" s="14" t="s">
        <v>1380</v>
      </c>
      <c r="Z200" s="15" t="s">
        <v>486</v>
      </c>
      <c r="AA200" s="15" t="s">
        <v>1745</v>
      </c>
      <c r="AB200" s="15"/>
      <c r="AI200" s="19" t="s">
        <v>72</v>
      </c>
      <c r="AJ200" s="19" t="s">
        <v>4281</v>
      </c>
      <c r="AK200" s="19" t="s">
        <v>3268</v>
      </c>
    </row>
    <row r="201" spans="25:37" x14ac:dyDescent="0.3">
      <c r="Y201" s="14" t="s">
        <v>1380</v>
      </c>
      <c r="Z201" s="15" t="s">
        <v>487</v>
      </c>
      <c r="AA201" s="15" t="s">
        <v>1746</v>
      </c>
      <c r="AB201" s="15"/>
      <c r="AI201" s="19" t="s">
        <v>86</v>
      </c>
      <c r="AJ201" s="19" t="s">
        <v>4282</v>
      </c>
      <c r="AK201" s="19" t="s">
        <v>3269</v>
      </c>
    </row>
    <row r="202" spans="25:37" x14ac:dyDescent="0.3">
      <c r="Y202" s="14" t="s">
        <v>1380</v>
      </c>
      <c r="Z202" s="15" t="s">
        <v>488</v>
      </c>
      <c r="AA202" s="15" t="s">
        <v>1747</v>
      </c>
      <c r="AB202" s="15"/>
      <c r="AI202" s="19" t="s">
        <v>86</v>
      </c>
      <c r="AJ202" s="19" t="s">
        <v>4283</v>
      </c>
      <c r="AK202" s="19" t="s">
        <v>3270</v>
      </c>
    </row>
    <row r="203" spans="25:37" x14ac:dyDescent="0.3">
      <c r="Y203" s="14" t="s">
        <v>1380</v>
      </c>
      <c r="Z203" s="15" t="s">
        <v>489</v>
      </c>
      <c r="AA203" s="15" t="s">
        <v>1748</v>
      </c>
      <c r="AB203" s="15"/>
      <c r="AI203" s="15" t="s">
        <v>92</v>
      </c>
      <c r="AJ203" s="15" t="s">
        <v>4284</v>
      </c>
      <c r="AK203" s="15" t="s">
        <v>3271</v>
      </c>
    </row>
    <row r="204" spans="25:37" x14ac:dyDescent="0.3">
      <c r="Y204" s="14" t="s">
        <v>1380</v>
      </c>
      <c r="Z204" s="15" t="s">
        <v>491</v>
      </c>
      <c r="AA204" s="15" t="s">
        <v>1750</v>
      </c>
      <c r="AB204" s="15"/>
      <c r="AI204" s="19" t="s">
        <v>1516</v>
      </c>
      <c r="AJ204" s="19" t="s">
        <v>4260</v>
      </c>
      <c r="AK204" s="19" t="s">
        <v>3272</v>
      </c>
    </row>
    <row r="205" spans="25:37" x14ac:dyDescent="0.3">
      <c r="Y205" s="14" t="s">
        <v>1380</v>
      </c>
      <c r="Z205" s="15" t="s">
        <v>492</v>
      </c>
      <c r="AA205" s="15" t="s">
        <v>1751</v>
      </c>
      <c r="AB205" s="15"/>
      <c r="AI205" s="19" t="s">
        <v>86</v>
      </c>
      <c r="AJ205" s="19" t="s">
        <v>4285</v>
      </c>
      <c r="AK205" s="19" t="s">
        <v>3273</v>
      </c>
    </row>
    <row r="206" spans="25:37" x14ac:dyDescent="0.3">
      <c r="Y206" s="14" t="s">
        <v>1380</v>
      </c>
      <c r="Z206" s="15" t="s">
        <v>493</v>
      </c>
      <c r="AA206" s="15" t="s">
        <v>1752</v>
      </c>
      <c r="AB206" s="15"/>
      <c r="AI206" s="15" t="s">
        <v>1054</v>
      </c>
      <c r="AJ206" s="15" t="s">
        <v>4286</v>
      </c>
      <c r="AK206" s="15" t="s">
        <v>3274</v>
      </c>
    </row>
    <row r="207" spans="25:37" x14ac:dyDescent="0.3">
      <c r="Y207" s="14" t="s">
        <v>1380</v>
      </c>
      <c r="Z207" s="15" t="s">
        <v>494</v>
      </c>
      <c r="AA207" s="15" t="s">
        <v>1753</v>
      </c>
      <c r="AB207" s="15"/>
      <c r="AI207" s="15" t="s">
        <v>1054</v>
      </c>
      <c r="AJ207" s="15" t="s">
        <v>4287</v>
      </c>
      <c r="AK207" s="15" t="s">
        <v>3275</v>
      </c>
    </row>
    <row r="208" spans="25:37" x14ac:dyDescent="0.3">
      <c r="Y208" s="14" t="s">
        <v>1380</v>
      </c>
      <c r="Z208" s="15" t="s">
        <v>492</v>
      </c>
      <c r="AA208" s="15" t="s">
        <v>1754</v>
      </c>
      <c r="AB208" s="15"/>
      <c r="AI208" s="15" t="s">
        <v>1054</v>
      </c>
      <c r="AJ208" s="15" t="s">
        <v>4288</v>
      </c>
      <c r="AK208" s="15" t="s">
        <v>3276</v>
      </c>
    </row>
    <row r="209" spans="25:37" x14ac:dyDescent="0.3">
      <c r="Y209" s="14" t="s">
        <v>1380</v>
      </c>
      <c r="Z209" s="15" t="s">
        <v>495</v>
      </c>
      <c r="AA209" s="15" t="s">
        <v>1755</v>
      </c>
      <c r="AB209" s="15"/>
      <c r="AI209" s="15" t="s">
        <v>1054</v>
      </c>
      <c r="AJ209" s="15" t="s">
        <v>4289</v>
      </c>
      <c r="AK209" s="15" t="s">
        <v>3277</v>
      </c>
    </row>
    <row r="210" spans="25:37" x14ac:dyDescent="0.3">
      <c r="Y210" s="14" t="s">
        <v>1380</v>
      </c>
      <c r="Z210" s="15" t="s">
        <v>496</v>
      </c>
      <c r="AA210" s="15" t="s">
        <v>1756</v>
      </c>
      <c r="AB210" s="15"/>
      <c r="AI210" s="15" t="s">
        <v>1054</v>
      </c>
      <c r="AJ210" s="15" t="s">
        <v>4290</v>
      </c>
      <c r="AK210" s="15" t="s">
        <v>3278</v>
      </c>
    </row>
    <row r="211" spans="25:37" x14ac:dyDescent="0.3">
      <c r="Y211" s="14" t="s">
        <v>1380</v>
      </c>
      <c r="Z211" s="15" t="s">
        <v>497</v>
      </c>
      <c r="AA211" s="15" t="s">
        <v>1757</v>
      </c>
      <c r="AB211" s="15"/>
      <c r="AI211" s="15" t="s">
        <v>1054</v>
      </c>
      <c r="AJ211" s="15" t="s">
        <v>4291</v>
      </c>
      <c r="AK211" s="15" t="s">
        <v>3279</v>
      </c>
    </row>
    <row r="212" spans="25:37" x14ac:dyDescent="0.3">
      <c r="Y212" s="14" t="s">
        <v>1380</v>
      </c>
      <c r="Z212" s="15" t="s">
        <v>498</v>
      </c>
      <c r="AA212" s="15" t="s">
        <v>1758</v>
      </c>
      <c r="AB212" s="15"/>
      <c r="AI212" s="15" t="s">
        <v>1054</v>
      </c>
      <c r="AJ212" s="15" t="s">
        <v>4292</v>
      </c>
      <c r="AK212" s="15" t="s">
        <v>3280</v>
      </c>
    </row>
    <row r="213" spans="25:37" x14ac:dyDescent="0.3">
      <c r="Y213" s="14" t="s">
        <v>1380</v>
      </c>
      <c r="Z213" s="15" t="s">
        <v>499</v>
      </c>
      <c r="AA213" s="15" t="s">
        <v>1759</v>
      </c>
      <c r="AB213" s="15"/>
      <c r="AI213" s="15" t="s">
        <v>1054</v>
      </c>
      <c r="AJ213" s="15" t="s">
        <v>4293</v>
      </c>
      <c r="AK213" s="15" t="s">
        <v>3281</v>
      </c>
    </row>
    <row r="214" spans="25:37" x14ac:dyDescent="0.3">
      <c r="Y214" s="14" t="s">
        <v>1380</v>
      </c>
      <c r="Z214" s="15" t="s">
        <v>500</v>
      </c>
      <c r="AA214" s="15" t="s">
        <v>1760</v>
      </c>
      <c r="AB214" s="15"/>
      <c r="AI214" s="15" t="s">
        <v>1054</v>
      </c>
      <c r="AJ214" s="15" t="s">
        <v>4294</v>
      </c>
      <c r="AK214" s="15" t="s">
        <v>3282</v>
      </c>
    </row>
    <row r="215" spans="25:37" x14ac:dyDescent="0.3">
      <c r="Y215" s="14" t="s">
        <v>1380</v>
      </c>
      <c r="Z215" s="15" t="s">
        <v>501</v>
      </c>
      <c r="AA215" s="15" t="s">
        <v>1761</v>
      </c>
      <c r="AB215" s="15"/>
      <c r="AI215" s="15" t="s">
        <v>1054</v>
      </c>
      <c r="AJ215" s="15" t="s">
        <v>4295</v>
      </c>
      <c r="AK215" s="15" t="s">
        <v>3283</v>
      </c>
    </row>
    <row r="216" spans="25:37" x14ac:dyDescent="0.3">
      <c r="Y216" s="14" t="s">
        <v>1380</v>
      </c>
      <c r="Z216" s="15" t="s">
        <v>502</v>
      </c>
      <c r="AA216" s="15" t="s">
        <v>1762</v>
      </c>
      <c r="AB216" s="15"/>
      <c r="AI216" s="15" t="s">
        <v>1054</v>
      </c>
      <c r="AJ216" s="15" t="s">
        <v>4296</v>
      </c>
      <c r="AK216" s="15" t="s">
        <v>3284</v>
      </c>
    </row>
    <row r="217" spans="25:37" x14ac:dyDescent="0.3">
      <c r="Y217" s="14" t="s">
        <v>1380</v>
      </c>
      <c r="Z217" s="15" t="s">
        <v>503</v>
      </c>
      <c r="AA217" s="15" t="s">
        <v>1763</v>
      </c>
      <c r="AB217" s="15"/>
      <c r="AI217" s="15" t="s">
        <v>1054</v>
      </c>
      <c r="AJ217" s="15" t="s">
        <v>4297</v>
      </c>
      <c r="AK217" s="15" t="s">
        <v>3285</v>
      </c>
    </row>
    <row r="218" spans="25:37" x14ac:dyDescent="0.3">
      <c r="Y218" s="14" t="s">
        <v>1380</v>
      </c>
      <c r="Z218" s="15" t="s">
        <v>504</v>
      </c>
      <c r="AA218" s="15" t="s">
        <v>1764</v>
      </c>
      <c r="AB218" s="15"/>
      <c r="AI218" s="15" t="s">
        <v>1054</v>
      </c>
      <c r="AJ218" s="15" t="s">
        <v>4298</v>
      </c>
      <c r="AK218" s="15" t="s">
        <v>3286</v>
      </c>
    </row>
    <row r="219" spans="25:37" x14ac:dyDescent="0.3">
      <c r="Y219" s="14" t="s">
        <v>1380</v>
      </c>
      <c r="Z219" s="15" t="s">
        <v>505</v>
      </c>
      <c r="AA219" s="15" t="s">
        <v>1765</v>
      </c>
      <c r="AB219" s="15"/>
      <c r="AI219" s="15" t="s">
        <v>1054</v>
      </c>
      <c r="AJ219" s="15" t="s">
        <v>4299</v>
      </c>
      <c r="AK219" s="15" t="s">
        <v>3287</v>
      </c>
    </row>
    <row r="220" spans="25:37" x14ac:dyDescent="0.3">
      <c r="Y220" s="14" t="s">
        <v>1380</v>
      </c>
      <c r="Z220" s="15" t="s">
        <v>85</v>
      </c>
      <c r="AA220" s="15" t="s">
        <v>1766</v>
      </c>
      <c r="AB220" s="15"/>
      <c r="AI220" s="15" t="s">
        <v>1054</v>
      </c>
      <c r="AJ220" s="15" t="s">
        <v>4300</v>
      </c>
      <c r="AK220" s="15" t="s">
        <v>3288</v>
      </c>
    </row>
    <row r="221" spans="25:37" x14ac:dyDescent="0.3">
      <c r="Y221" s="14" t="s">
        <v>1380</v>
      </c>
      <c r="Z221" s="15" t="s">
        <v>506</v>
      </c>
      <c r="AA221" s="15" t="s">
        <v>1767</v>
      </c>
      <c r="AB221" s="15"/>
      <c r="AI221" s="15" t="s">
        <v>1054</v>
      </c>
      <c r="AJ221" s="15" t="s">
        <v>4301</v>
      </c>
      <c r="AK221" s="15" t="s">
        <v>3289</v>
      </c>
    </row>
    <row r="222" spans="25:37" x14ac:dyDescent="0.3">
      <c r="Y222" s="14" t="s">
        <v>1380</v>
      </c>
      <c r="Z222" s="15" t="s">
        <v>507</v>
      </c>
      <c r="AA222" s="15" t="s">
        <v>1768</v>
      </c>
      <c r="AB222" s="15"/>
      <c r="AI222" s="15" t="s">
        <v>1054</v>
      </c>
      <c r="AJ222" s="15" t="s">
        <v>4302</v>
      </c>
      <c r="AK222" s="15" t="s">
        <v>3290</v>
      </c>
    </row>
    <row r="223" spans="25:37" x14ac:dyDescent="0.3">
      <c r="Y223" s="14" t="s">
        <v>1380</v>
      </c>
      <c r="Z223" s="15" t="s">
        <v>508</v>
      </c>
      <c r="AA223" s="15" t="s">
        <v>1769</v>
      </c>
      <c r="AB223" s="15"/>
      <c r="AI223" s="15" t="s">
        <v>1053</v>
      </c>
      <c r="AJ223" s="15" t="s">
        <v>4303</v>
      </c>
      <c r="AK223" s="15" t="s">
        <v>3291</v>
      </c>
    </row>
    <row r="224" spans="25:37" x14ac:dyDescent="0.3">
      <c r="Y224" s="14" t="s">
        <v>1380</v>
      </c>
      <c r="Z224" s="15" t="s">
        <v>509</v>
      </c>
      <c r="AA224" s="15" t="s">
        <v>1770</v>
      </c>
      <c r="AB224" s="15"/>
      <c r="AI224" s="15" t="s">
        <v>1053</v>
      </c>
      <c r="AJ224" s="15" t="s">
        <v>4304</v>
      </c>
      <c r="AK224" s="15" t="s">
        <v>3292</v>
      </c>
    </row>
    <row r="225" spans="25:37" x14ac:dyDescent="0.3">
      <c r="Y225" s="14" t="s">
        <v>1380</v>
      </c>
      <c r="Z225" s="15" t="s">
        <v>510</v>
      </c>
      <c r="AA225" s="15" t="s">
        <v>1771</v>
      </c>
      <c r="AB225" s="15"/>
      <c r="AI225" s="15" t="s">
        <v>1523</v>
      </c>
      <c r="AJ225" s="15" t="s">
        <v>4305</v>
      </c>
      <c r="AK225" s="15" t="s">
        <v>3293</v>
      </c>
    </row>
    <row r="226" spans="25:37" x14ac:dyDescent="0.3">
      <c r="Y226" s="14" t="s">
        <v>1380</v>
      </c>
      <c r="Z226" s="15" t="s">
        <v>511</v>
      </c>
      <c r="AA226" s="15" t="s">
        <v>1772</v>
      </c>
      <c r="AB226" s="15"/>
      <c r="AI226" s="15" t="s">
        <v>1523</v>
      </c>
      <c r="AJ226" s="15" t="s">
        <v>4306</v>
      </c>
      <c r="AK226" s="15" t="s">
        <v>3294</v>
      </c>
    </row>
    <row r="227" spans="25:37" x14ac:dyDescent="0.3">
      <c r="Y227" s="14" t="s">
        <v>1380</v>
      </c>
      <c r="Z227" s="15" t="s">
        <v>512</v>
      </c>
      <c r="AA227" s="15" t="s">
        <v>1773</v>
      </c>
      <c r="AB227" s="15"/>
      <c r="AI227" s="15" t="s">
        <v>1054</v>
      </c>
      <c r="AJ227" s="15" t="s">
        <v>4307</v>
      </c>
      <c r="AK227" s="15" t="s">
        <v>3295</v>
      </c>
    </row>
    <row r="228" spans="25:37" x14ac:dyDescent="0.3">
      <c r="Y228" s="14" t="s">
        <v>1380</v>
      </c>
      <c r="Z228" s="15" t="s">
        <v>509</v>
      </c>
      <c r="AA228" s="15" t="s">
        <v>1774</v>
      </c>
      <c r="AB228" s="15"/>
      <c r="AI228" s="15" t="s">
        <v>1054</v>
      </c>
      <c r="AJ228" s="15" t="s">
        <v>4308</v>
      </c>
      <c r="AK228" s="15" t="s">
        <v>3296</v>
      </c>
    </row>
    <row r="229" spans="25:37" x14ac:dyDescent="0.3">
      <c r="Y229" s="14" t="s">
        <v>1380</v>
      </c>
      <c r="Z229" s="15" t="s">
        <v>93</v>
      </c>
      <c r="AA229" s="15" t="s">
        <v>1775</v>
      </c>
      <c r="AB229" s="15"/>
      <c r="AI229" s="15" t="s">
        <v>1054</v>
      </c>
      <c r="AJ229" s="15" t="s">
        <v>4309</v>
      </c>
      <c r="AK229" s="15" t="s">
        <v>3297</v>
      </c>
    </row>
    <row r="230" spans="25:37" x14ac:dyDescent="0.3">
      <c r="Y230" s="14" t="s">
        <v>1380</v>
      </c>
      <c r="Z230" s="15" t="s">
        <v>513</v>
      </c>
      <c r="AA230" s="15" t="s">
        <v>1776</v>
      </c>
      <c r="AB230" s="15"/>
      <c r="AI230" s="15" t="s">
        <v>1054</v>
      </c>
      <c r="AJ230" s="15" t="s">
        <v>4310</v>
      </c>
      <c r="AK230" s="15" t="s">
        <v>3298</v>
      </c>
    </row>
    <row r="231" spans="25:37" x14ac:dyDescent="0.3">
      <c r="Y231" s="14" t="s">
        <v>1380</v>
      </c>
      <c r="Z231" s="15" t="s">
        <v>225</v>
      </c>
      <c r="AA231" s="15" t="s">
        <v>1777</v>
      </c>
      <c r="AB231" s="15"/>
      <c r="AI231" s="15" t="s">
        <v>1054</v>
      </c>
      <c r="AJ231" s="15" t="s">
        <v>4311</v>
      </c>
      <c r="AK231" s="15" t="s">
        <v>3299</v>
      </c>
    </row>
    <row r="232" spans="25:37" x14ac:dyDescent="0.3">
      <c r="Y232" s="14" t="s">
        <v>1380</v>
      </c>
      <c r="Z232" s="15" t="s">
        <v>96</v>
      </c>
      <c r="AA232" s="15" t="s">
        <v>1778</v>
      </c>
      <c r="AB232" s="15"/>
      <c r="AI232" s="15" t="s">
        <v>1046</v>
      </c>
      <c r="AJ232" s="15" t="s">
        <v>4312</v>
      </c>
      <c r="AK232" s="15" t="s">
        <v>3300</v>
      </c>
    </row>
    <row r="233" spans="25:37" x14ac:dyDescent="0.3">
      <c r="Y233" s="14" t="s">
        <v>1380</v>
      </c>
      <c r="Z233" s="15" t="s">
        <v>80</v>
      </c>
      <c r="AA233" s="15" t="s">
        <v>1779</v>
      </c>
      <c r="AB233" s="15"/>
      <c r="AI233" s="15" t="s">
        <v>1524</v>
      </c>
      <c r="AJ233" s="15" t="s">
        <v>4313</v>
      </c>
      <c r="AK233" s="15" t="s">
        <v>3301</v>
      </c>
    </row>
    <row r="234" spans="25:37" x14ac:dyDescent="0.3">
      <c r="Y234" s="14" t="s">
        <v>1380</v>
      </c>
      <c r="Z234" s="15" t="s">
        <v>514</v>
      </c>
      <c r="AA234" s="15" t="s">
        <v>1780</v>
      </c>
      <c r="AB234" s="15"/>
      <c r="AI234" s="15" t="s">
        <v>554</v>
      </c>
      <c r="AJ234" s="15" t="s">
        <v>4314</v>
      </c>
      <c r="AK234" s="15" t="s">
        <v>3302</v>
      </c>
    </row>
    <row r="235" spans="25:37" x14ac:dyDescent="0.3">
      <c r="Y235" s="14" t="s">
        <v>1380</v>
      </c>
      <c r="Z235" s="15" t="s">
        <v>515</v>
      </c>
      <c r="AA235" s="15" t="s">
        <v>1781</v>
      </c>
      <c r="AB235" s="15"/>
      <c r="AI235" s="15" t="s">
        <v>658</v>
      </c>
      <c r="AJ235" s="15" t="s">
        <v>4315</v>
      </c>
      <c r="AK235" s="15" t="s">
        <v>3303</v>
      </c>
    </row>
    <row r="236" spans="25:37" x14ac:dyDescent="0.3">
      <c r="Y236" s="14" t="s">
        <v>1380</v>
      </c>
      <c r="Z236" s="15" t="s">
        <v>84</v>
      </c>
      <c r="AA236" s="15" t="s">
        <v>1782</v>
      </c>
      <c r="AB236" s="15"/>
      <c r="AI236" s="15" t="s">
        <v>982</v>
      </c>
      <c r="AJ236" s="15" t="s">
        <v>4316</v>
      </c>
      <c r="AK236" s="15" t="s">
        <v>3304</v>
      </c>
    </row>
    <row r="237" spans="25:37" x14ac:dyDescent="0.3">
      <c r="Y237" s="14" t="s">
        <v>1380</v>
      </c>
      <c r="Z237" s="15" t="s">
        <v>81</v>
      </c>
      <c r="AA237" s="15" t="s">
        <v>1783</v>
      </c>
      <c r="AB237" s="15"/>
      <c r="AI237" s="15" t="s">
        <v>982</v>
      </c>
      <c r="AJ237" s="15" t="s">
        <v>4317</v>
      </c>
      <c r="AK237" s="15" t="s">
        <v>3305</v>
      </c>
    </row>
    <row r="238" spans="25:37" x14ac:dyDescent="0.3">
      <c r="Y238" s="14" t="s">
        <v>1380</v>
      </c>
      <c r="Z238" s="15" t="s">
        <v>82</v>
      </c>
      <c r="AA238" s="15" t="s">
        <v>1784</v>
      </c>
      <c r="AB238" s="15"/>
      <c r="AI238" s="15" t="s">
        <v>658</v>
      </c>
      <c r="AJ238" s="15" t="s">
        <v>4318</v>
      </c>
      <c r="AK238" s="15" t="s">
        <v>3306</v>
      </c>
    </row>
    <row r="239" spans="25:37" x14ac:dyDescent="0.3">
      <c r="Y239" s="14" t="s">
        <v>1380</v>
      </c>
      <c r="Z239" s="15" t="s">
        <v>87</v>
      </c>
      <c r="AA239" s="15" t="s">
        <v>1785</v>
      </c>
      <c r="AB239" s="15"/>
      <c r="AI239" s="15" t="s">
        <v>658</v>
      </c>
      <c r="AJ239" s="15" t="s">
        <v>4319</v>
      </c>
      <c r="AK239" s="15" t="s">
        <v>3307</v>
      </c>
    </row>
    <row r="240" spans="25:37" x14ac:dyDescent="0.3">
      <c r="Y240" s="14" t="s">
        <v>1380</v>
      </c>
      <c r="Z240" s="15" t="s">
        <v>516</v>
      </c>
      <c r="AA240" s="15" t="s">
        <v>1786</v>
      </c>
      <c r="AB240" s="15"/>
      <c r="AI240" s="15" t="s">
        <v>659</v>
      </c>
      <c r="AJ240" s="15" t="s">
        <v>4320</v>
      </c>
      <c r="AK240" s="15" t="s">
        <v>3308</v>
      </c>
    </row>
    <row r="241" spans="25:37" x14ac:dyDescent="0.3">
      <c r="Y241" s="14" t="s">
        <v>1380</v>
      </c>
      <c r="Z241" s="15" t="s">
        <v>517</v>
      </c>
      <c r="AA241" s="15" t="s">
        <v>1787</v>
      </c>
      <c r="AB241" s="15"/>
      <c r="AI241" s="15" t="s">
        <v>659</v>
      </c>
      <c r="AJ241" s="15" t="s">
        <v>4321</v>
      </c>
      <c r="AK241" s="15" t="s">
        <v>3309</v>
      </c>
    </row>
    <row r="242" spans="25:37" x14ac:dyDescent="0.3">
      <c r="Y242" s="14" t="s">
        <v>1380</v>
      </c>
      <c r="Z242" s="15" t="s">
        <v>518</v>
      </c>
      <c r="AA242" s="15" t="s">
        <v>1788</v>
      </c>
      <c r="AB242" s="15"/>
      <c r="AI242" s="15" t="s">
        <v>659</v>
      </c>
      <c r="AJ242" s="15" t="s">
        <v>4322</v>
      </c>
      <c r="AK242" s="15" t="s">
        <v>3310</v>
      </c>
    </row>
    <row r="243" spans="25:37" x14ac:dyDescent="0.3">
      <c r="Y243" s="14" t="s">
        <v>1380</v>
      </c>
      <c r="Z243" s="15" t="s">
        <v>66</v>
      </c>
      <c r="AA243" s="15" t="s">
        <v>1789</v>
      </c>
      <c r="AB243" s="15"/>
      <c r="AI243" s="15" t="s">
        <v>488</v>
      </c>
      <c r="AJ243" s="15" t="s">
        <v>4260</v>
      </c>
      <c r="AK243" s="15" t="s">
        <v>3311</v>
      </c>
    </row>
    <row r="244" spans="25:37" x14ac:dyDescent="0.3">
      <c r="Y244" s="14" t="s">
        <v>1380</v>
      </c>
      <c r="Z244" s="15" t="s">
        <v>520</v>
      </c>
      <c r="AA244" s="15" t="s">
        <v>1790</v>
      </c>
      <c r="AB244" s="15"/>
      <c r="AI244" s="15" t="s">
        <v>488</v>
      </c>
      <c r="AJ244" s="15" t="s">
        <v>4323</v>
      </c>
      <c r="AK244" s="15" t="s">
        <v>3312</v>
      </c>
    </row>
    <row r="245" spans="25:37" x14ac:dyDescent="0.3">
      <c r="Y245" s="14" t="s">
        <v>1380</v>
      </c>
      <c r="Z245" s="15" t="s">
        <v>521</v>
      </c>
      <c r="AA245" s="15" t="s">
        <v>1791</v>
      </c>
      <c r="AB245" s="15"/>
      <c r="AI245" s="15" t="s">
        <v>402</v>
      </c>
      <c r="AJ245" s="15" t="s">
        <v>4324</v>
      </c>
      <c r="AK245" s="15" t="s">
        <v>3313</v>
      </c>
    </row>
    <row r="246" spans="25:37" x14ac:dyDescent="0.3">
      <c r="Y246" s="14" t="s">
        <v>1380</v>
      </c>
      <c r="Z246" s="15" t="s">
        <v>522</v>
      </c>
      <c r="AA246" s="15" t="s">
        <v>1792</v>
      </c>
      <c r="AB246" s="15"/>
      <c r="AI246" s="15" t="s">
        <v>489</v>
      </c>
      <c r="AJ246" s="15" t="s">
        <v>4325</v>
      </c>
      <c r="AK246" s="15" t="s">
        <v>3314</v>
      </c>
    </row>
    <row r="247" spans="25:37" x14ac:dyDescent="0.3">
      <c r="Y247" s="14" t="s">
        <v>1380</v>
      </c>
      <c r="Z247" s="15" t="s">
        <v>523</v>
      </c>
      <c r="AA247" s="15" t="s">
        <v>1793</v>
      </c>
      <c r="AB247" s="15"/>
      <c r="AI247" s="15" t="s">
        <v>496</v>
      </c>
      <c r="AJ247" s="15" t="s">
        <v>4326</v>
      </c>
      <c r="AK247" s="15" t="s">
        <v>3315</v>
      </c>
    </row>
    <row r="248" spans="25:37" x14ac:dyDescent="0.3">
      <c r="Y248" s="14" t="s">
        <v>1380</v>
      </c>
      <c r="Z248" s="15" t="s">
        <v>105</v>
      </c>
      <c r="AA248" s="15" t="s">
        <v>1794</v>
      </c>
      <c r="AB248" s="15"/>
      <c r="AI248" s="19" t="s">
        <v>77</v>
      </c>
      <c r="AJ248" s="19" t="s">
        <v>4327</v>
      </c>
      <c r="AK248" s="19" t="s">
        <v>3316</v>
      </c>
    </row>
    <row r="249" spans="25:37" x14ac:dyDescent="0.3">
      <c r="Y249" s="14" t="s">
        <v>1380</v>
      </c>
      <c r="Z249" s="15" t="s">
        <v>524</v>
      </c>
      <c r="AA249" s="15" t="s">
        <v>1795</v>
      </c>
      <c r="AB249" s="15"/>
      <c r="AI249" s="19" t="s">
        <v>94</v>
      </c>
      <c r="AJ249" s="19" t="s">
        <v>4328</v>
      </c>
      <c r="AK249" s="19" t="s">
        <v>3317</v>
      </c>
    </row>
    <row r="250" spans="25:37" x14ac:dyDescent="0.3">
      <c r="Y250" s="14" t="s">
        <v>1380</v>
      </c>
      <c r="Z250" s="15" t="s">
        <v>525</v>
      </c>
      <c r="AA250" s="15" t="s">
        <v>1796</v>
      </c>
      <c r="AB250" s="15"/>
      <c r="AI250" s="19" t="s">
        <v>94</v>
      </c>
      <c r="AJ250" s="19" t="s">
        <v>4329</v>
      </c>
      <c r="AK250" s="19" t="s">
        <v>3318</v>
      </c>
    </row>
    <row r="251" spans="25:37" x14ac:dyDescent="0.3">
      <c r="Y251" s="14" t="s">
        <v>1380</v>
      </c>
      <c r="Z251" s="15" t="s">
        <v>74</v>
      </c>
      <c r="AA251" s="15" t="s">
        <v>1797</v>
      </c>
      <c r="AB251" s="15"/>
      <c r="AI251" s="19" t="s">
        <v>490</v>
      </c>
      <c r="AJ251" s="19" t="s">
        <v>4330</v>
      </c>
      <c r="AK251" s="19" t="s">
        <v>3319</v>
      </c>
    </row>
    <row r="252" spans="25:37" x14ac:dyDescent="0.3">
      <c r="Y252" s="14" t="s">
        <v>1380</v>
      </c>
      <c r="Z252" s="15" t="s">
        <v>526</v>
      </c>
      <c r="AA252" s="15" t="s">
        <v>1798</v>
      </c>
      <c r="AB252" s="15"/>
      <c r="AI252" s="15" t="s">
        <v>399</v>
      </c>
      <c r="AJ252" s="15" t="s">
        <v>4260</v>
      </c>
      <c r="AK252" s="15" t="s">
        <v>3320</v>
      </c>
    </row>
    <row r="253" spans="25:37" x14ac:dyDescent="0.3">
      <c r="Y253" s="14" t="s">
        <v>1380</v>
      </c>
      <c r="Z253" s="15" t="s">
        <v>527</v>
      </c>
      <c r="AA253" s="15" t="s">
        <v>1799</v>
      </c>
      <c r="AB253" s="15"/>
      <c r="AI253" s="15" t="s">
        <v>402</v>
      </c>
      <c r="AJ253" s="15" t="s">
        <v>4260</v>
      </c>
      <c r="AK253" s="15" t="s">
        <v>3321</v>
      </c>
    </row>
    <row r="254" spans="25:37" x14ac:dyDescent="0.3">
      <c r="Y254" s="14" t="s">
        <v>1380</v>
      </c>
      <c r="Z254" s="15" t="s">
        <v>528</v>
      </c>
      <c r="AA254" s="15" t="s">
        <v>1800</v>
      </c>
      <c r="AB254" s="15"/>
      <c r="AI254" s="15" t="s">
        <v>487</v>
      </c>
      <c r="AJ254" s="15" t="s">
        <v>4260</v>
      </c>
      <c r="AK254" s="15" t="s">
        <v>3322</v>
      </c>
    </row>
    <row r="255" spans="25:37" x14ac:dyDescent="0.3">
      <c r="Y255" s="14" t="s">
        <v>1380</v>
      </c>
      <c r="Z255" s="15" t="s">
        <v>73</v>
      </c>
      <c r="AA255" s="15" t="s">
        <v>1801</v>
      </c>
      <c r="AB255" s="15"/>
      <c r="AI255" s="15" t="s">
        <v>489</v>
      </c>
      <c r="AJ255" s="15" t="s">
        <v>4260</v>
      </c>
      <c r="AK255" s="15" t="s">
        <v>3323</v>
      </c>
    </row>
    <row r="256" spans="25:37" x14ac:dyDescent="0.3">
      <c r="Y256" s="14" t="s">
        <v>1380</v>
      </c>
      <c r="Z256" s="15" t="s">
        <v>529</v>
      </c>
      <c r="AA256" s="15" t="s">
        <v>1802</v>
      </c>
      <c r="AB256" s="15"/>
      <c r="AI256" s="15" t="s">
        <v>496</v>
      </c>
      <c r="AJ256" s="15" t="s">
        <v>4260</v>
      </c>
      <c r="AK256" s="15" t="s">
        <v>3324</v>
      </c>
    </row>
    <row r="257" spans="25:37" x14ac:dyDescent="0.3">
      <c r="Y257" s="14" t="s">
        <v>1380</v>
      </c>
      <c r="Z257" s="15" t="s">
        <v>1106</v>
      </c>
      <c r="AA257" s="15" t="s">
        <v>1803</v>
      </c>
      <c r="AB257" s="15"/>
      <c r="AI257" s="15" t="s">
        <v>497</v>
      </c>
      <c r="AJ257" s="15" t="s">
        <v>4331</v>
      </c>
      <c r="AK257" s="15" t="s">
        <v>3325</v>
      </c>
    </row>
    <row r="258" spans="25:37" x14ac:dyDescent="0.3">
      <c r="Y258" s="14" t="s">
        <v>1380</v>
      </c>
      <c r="Z258" s="15" t="s">
        <v>68</v>
      </c>
      <c r="AA258" s="15" t="s">
        <v>1804</v>
      </c>
      <c r="AB258" s="15"/>
      <c r="AI258" s="19" t="s">
        <v>227</v>
      </c>
      <c r="AJ258" s="19" t="s">
        <v>4332</v>
      </c>
      <c r="AK258" s="19" t="s">
        <v>3326</v>
      </c>
    </row>
    <row r="259" spans="25:37" x14ac:dyDescent="0.3">
      <c r="Y259" s="14" t="s">
        <v>1380</v>
      </c>
      <c r="Z259" s="15" t="s">
        <v>76</v>
      </c>
      <c r="AA259" s="15" t="s">
        <v>1805</v>
      </c>
      <c r="AB259" s="15"/>
      <c r="AI259" s="15" t="s">
        <v>227</v>
      </c>
      <c r="AJ259" s="15" t="s">
        <v>4333</v>
      </c>
      <c r="AK259" s="15" t="s">
        <v>3327</v>
      </c>
    </row>
    <row r="260" spans="25:37" x14ac:dyDescent="0.3">
      <c r="Y260" s="14" t="s">
        <v>1380</v>
      </c>
      <c r="Z260" s="15" t="s">
        <v>530</v>
      </c>
      <c r="AA260" s="15" t="s">
        <v>1806</v>
      </c>
      <c r="AB260" s="15"/>
      <c r="AI260" s="19" t="s">
        <v>227</v>
      </c>
      <c r="AJ260" s="19" t="s">
        <v>4334</v>
      </c>
      <c r="AK260" s="19" t="s">
        <v>3328</v>
      </c>
    </row>
    <row r="261" spans="25:37" x14ac:dyDescent="0.3">
      <c r="Y261" s="14" t="s">
        <v>1380</v>
      </c>
      <c r="Z261" s="15" t="s">
        <v>106</v>
      </c>
      <c r="AA261" s="15" t="s">
        <v>1807</v>
      </c>
      <c r="AB261" s="15"/>
      <c r="AI261" s="19" t="s">
        <v>227</v>
      </c>
      <c r="AJ261" s="19" t="s">
        <v>4335</v>
      </c>
      <c r="AK261" s="19" t="s">
        <v>3329</v>
      </c>
    </row>
    <row r="262" spans="25:37" x14ac:dyDescent="0.3">
      <c r="Y262" s="14" t="s">
        <v>1380</v>
      </c>
      <c r="Z262" s="15" t="s">
        <v>109</v>
      </c>
      <c r="AA262" s="15" t="s">
        <v>1808</v>
      </c>
      <c r="AB262" s="15"/>
      <c r="AI262" s="19" t="s">
        <v>227</v>
      </c>
      <c r="AJ262" s="19" t="s">
        <v>4336</v>
      </c>
      <c r="AK262" s="19" t="s">
        <v>3330</v>
      </c>
    </row>
    <row r="263" spans="25:37" x14ac:dyDescent="0.3">
      <c r="Y263" s="14" t="s">
        <v>1380</v>
      </c>
      <c r="Z263" s="15" t="s">
        <v>531</v>
      </c>
      <c r="AA263" s="15" t="s">
        <v>1809</v>
      </c>
      <c r="AB263" s="15"/>
      <c r="AI263" s="19" t="s">
        <v>227</v>
      </c>
      <c r="AJ263" s="19" t="s">
        <v>4337</v>
      </c>
      <c r="AK263" s="19" t="s">
        <v>3331</v>
      </c>
    </row>
    <row r="264" spans="25:37" x14ac:dyDescent="0.3">
      <c r="Y264" s="14" t="s">
        <v>1380</v>
      </c>
      <c r="Z264" s="15" t="s">
        <v>532</v>
      </c>
      <c r="AA264" s="15" t="s">
        <v>1810</v>
      </c>
      <c r="AB264" s="15"/>
      <c r="AI264" s="19" t="s">
        <v>227</v>
      </c>
      <c r="AJ264" s="19" t="s">
        <v>4338</v>
      </c>
      <c r="AK264" s="19" t="s">
        <v>3332</v>
      </c>
    </row>
    <row r="265" spans="25:37" x14ac:dyDescent="0.3">
      <c r="Y265" s="14" t="s">
        <v>1380</v>
      </c>
      <c r="Z265" s="15" t="s">
        <v>402</v>
      </c>
      <c r="AA265" s="15" t="s">
        <v>1811</v>
      </c>
      <c r="AB265" s="15"/>
      <c r="AI265" s="19" t="s">
        <v>227</v>
      </c>
      <c r="AJ265" s="19" t="s">
        <v>4339</v>
      </c>
      <c r="AK265" s="19" t="s">
        <v>3333</v>
      </c>
    </row>
    <row r="266" spans="25:37" x14ac:dyDescent="0.3">
      <c r="Y266" s="14" t="s">
        <v>1380</v>
      </c>
      <c r="Z266" s="15" t="s">
        <v>533</v>
      </c>
      <c r="AA266" s="15" t="s">
        <v>1812</v>
      </c>
      <c r="AB266" s="15"/>
      <c r="AI266" s="19" t="s">
        <v>227</v>
      </c>
      <c r="AJ266" s="19" t="s">
        <v>4340</v>
      </c>
      <c r="AK266" s="19" t="s">
        <v>3334</v>
      </c>
    </row>
    <row r="267" spans="25:37" x14ac:dyDescent="0.3">
      <c r="Y267" s="14" t="s">
        <v>1380</v>
      </c>
      <c r="Z267" s="15" t="s">
        <v>104</v>
      </c>
      <c r="AA267" s="15" t="s">
        <v>1813</v>
      </c>
      <c r="AB267" s="15"/>
      <c r="AI267" s="15" t="s">
        <v>578</v>
      </c>
      <c r="AJ267" s="15" t="s">
        <v>4341</v>
      </c>
      <c r="AK267" s="15" t="s">
        <v>3335</v>
      </c>
    </row>
    <row r="268" spans="25:37" x14ac:dyDescent="0.3">
      <c r="Y268" s="14" t="s">
        <v>1380</v>
      </c>
      <c r="Z268" s="15" t="s">
        <v>534</v>
      </c>
      <c r="AA268" s="15" t="s">
        <v>1814</v>
      </c>
      <c r="AB268" s="15"/>
      <c r="AI268" s="15" t="s">
        <v>578</v>
      </c>
      <c r="AJ268" s="15" t="s">
        <v>4342</v>
      </c>
      <c r="AK268" s="15" t="s">
        <v>3336</v>
      </c>
    </row>
    <row r="269" spans="25:37" x14ac:dyDescent="0.3">
      <c r="Y269" s="14" t="s">
        <v>1380</v>
      </c>
      <c r="Z269" s="15" t="s">
        <v>535</v>
      </c>
      <c r="AA269" s="15" t="s">
        <v>1815</v>
      </c>
      <c r="AB269" s="15"/>
      <c r="AI269" s="15" t="s">
        <v>227</v>
      </c>
      <c r="AJ269" s="15" t="s">
        <v>4343</v>
      </c>
      <c r="AK269" s="15" t="s">
        <v>3337</v>
      </c>
    </row>
    <row r="270" spans="25:37" x14ac:dyDescent="0.3">
      <c r="Y270" s="14" t="s">
        <v>1380</v>
      </c>
      <c r="Z270" s="15" t="s">
        <v>536</v>
      </c>
      <c r="AA270" s="15" t="s">
        <v>1816</v>
      </c>
      <c r="AB270" s="15"/>
      <c r="AI270" s="15" t="s">
        <v>411</v>
      </c>
      <c r="AJ270" s="15" t="s">
        <v>4344</v>
      </c>
      <c r="AK270" s="15" t="s">
        <v>3338</v>
      </c>
    </row>
    <row r="271" spans="25:37" x14ac:dyDescent="0.3">
      <c r="Y271" s="14" t="s">
        <v>1380</v>
      </c>
      <c r="Z271" s="15" t="s">
        <v>101</v>
      </c>
      <c r="AA271" s="15" t="s">
        <v>1817</v>
      </c>
      <c r="AB271" s="15"/>
      <c r="AI271" s="15" t="s">
        <v>411</v>
      </c>
      <c r="AJ271" s="15" t="s">
        <v>4345</v>
      </c>
      <c r="AK271" s="15" t="s">
        <v>3339</v>
      </c>
    </row>
    <row r="272" spans="25:37" x14ac:dyDescent="0.3">
      <c r="Y272" s="14" t="s">
        <v>1380</v>
      </c>
      <c r="Z272" s="15" t="s">
        <v>537</v>
      </c>
      <c r="AA272" s="15" t="s">
        <v>1818</v>
      </c>
      <c r="AB272" s="15"/>
      <c r="AI272" s="15" t="s">
        <v>411</v>
      </c>
      <c r="AJ272" s="15" t="s">
        <v>4346</v>
      </c>
      <c r="AK272" s="15" t="s">
        <v>3340</v>
      </c>
    </row>
    <row r="273" spans="25:37" x14ac:dyDescent="0.3">
      <c r="Y273" s="14" t="s">
        <v>1380</v>
      </c>
      <c r="Z273" s="15" t="s">
        <v>102</v>
      </c>
      <c r="AA273" s="15" t="s">
        <v>1819</v>
      </c>
      <c r="AB273" s="15"/>
      <c r="AI273" s="15" t="s">
        <v>411</v>
      </c>
      <c r="AJ273" s="15" t="s">
        <v>4347</v>
      </c>
      <c r="AK273" s="15" t="s">
        <v>3341</v>
      </c>
    </row>
    <row r="274" spans="25:37" x14ac:dyDescent="0.3">
      <c r="Y274" s="14" t="s">
        <v>1380</v>
      </c>
      <c r="Z274" s="15" t="s">
        <v>538</v>
      </c>
      <c r="AA274" s="15" t="s">
        <v>1820</v>
      </c>
      <c r="AB274" s="15"/>
      <c r="AI274" s="19" t="s">
        <v>271</v>
      </c>
      <c r="AJ274" s="19" t="s">
        <v>4260</v>
      </c>
      <c r="AK274" s="19" t="s">
        <v>3342</v>
      </c>
    </row>
    <row r="275" spans="25:37" x14ac:dyDescent="0.3">
      <c r="Y275" s="14" t="s">
        <v>1380</v>
      </c>
      <c r="Z275" s="15" t="s">
        <v>539</v>
      </c>
      <c r="AA275" s="15" t="s">
        <v>1821</v>
      </c>
      <c r="AB275" s="15"/>
      <c r="AI275" s="15" t="s">
        <v>563</v>
      </c>
      <c r="AJ275" s="15" t="s">
        <v>4348</v>
      </c>
      <c r="AK275" s="15" t="s">
        <v>3343</v>
      </c>
    </row>
    <row r="276" spans="25:37" x14ac:dyDescent="0.3">
      <c r="Y276" s="14" t="s">
        <v>1380</v>
      </c>
      <c r="Z276" s="15" t="s">
        <v>540</v>
      </c>
      <c r="AA276" s="15" t="s">
        <v>1822</v>
      </c>
      <c r="AB276" s="15"/>
      <c r="AI276" s="15" t="s">
        <v>563</v>
      </c>
      <c r="AJ276" s="15" t="s">
        <v>4349</v>
      </c>
      <c r="AK276" s="15" t="s">
        <v>3344</v>
      </c>
    </row>
    <row r="277" spans="25:37" x14ac:dyDescent="0.3">
      <c r="Y277" s="14" t="s">
        <v>1380</v>
      </c>
      <c r="Z277" s="15" t="s">
        <v>540</v>
      </c>
      <c r="AA277" s="15" t="s">
        <v>1823</v>
      </c>
      <c r="AB277" s="15"/>
      <c r="AI277" s="15" t="s">
        <v>108</v>
      </c>
      <c r="AJ277" s="15" t="s">
        <v>4350</v>
      </c>
      <c r="AK277" s="15" t="s">
        <v>3345</v>
      </c>
    </row>
    <row r="278" spans="25:37" x14ac:dyDescent="0.3">
      <c r="Y278" s="14" t="s">
        <v>1380</v>
      </c>
      <c r="Z278" s="15" t="s">
        <v>541</v>
      </c>
      <c r="AA278" s="15" t="s">
        <v>1824</v>
      </c>
      <c r="AB278" s="15"/>
      <c r="AI278" s="15" t="s">
        <v>108</v>
      </c>
      <c r="AJ278" s="15" t="s">
        <v>4351</v>
      </c>
      <c r="AK278" s="15" t="s">
        <v>3346</v>
      </c>
    </row>
    <row r="279" spans="25:37" x14ac:dyDescent="0.3">
      <c r="Y279" s="14" t="s">
        <v>1380</v>
      </c>
      <c r="Z279" s="15" t="s">
        <v>463</v>
      </c>
      <c r="AA279" s="15" t="s">
        <v>1825</v>
      </c>
      <c r="AB279" s="15"/>
      <c r="AI279" s="15" t="s">
        <v>1217</v>
      </c>
      <c r="AJ279" s="15" t="s">
        <v>4352</v>
      </c>
      <c r="AK279" s="15" t="s">
        <v>3347</v>
      </c>
    </row>
    <row r="280" spans="25:37" x14ac:dyDescent="0.3">
      <c r="Y280" s="14" t="s">
        <v>1380</v>
      </c>
      <c r="Z280" s="15" t="s">
        <v>227</v>
      </c>
      <c r="AA280" s="15" t="s">
        <v>1826</v>
      </c>
      <c r="AB280" s="15"/>
      <c r="AI280" s="15" t="s">
        <v>107</v>
      </c>
      <c r="AJ280" s="15" t="s">
        <v>4353</v>
      </c>
      <c r="AK280" s="15" t="s">
        <v>3348</v>
      </c>
    </row>
    <row r="281" spans="25:37" x14ac:dyDescent="0.3">
      <c r="Y281" s="14" t="s">
        <v>1380</v>
      </c>
      <c r="Z281" s="15" t="s">
        <v>465</v>
      </c>
      <c r="AA281" s="15" t="s">
        <v>1827</v>
      </c>
      <c r="AB281" s="15"/>
      <c r="AI281" s="15" t="s">
        <v>1124</v>
      </c>
      <c r="AJ281" s="15" t="s">
        <v>4354</v>
      </c>
      <c r="AK281" s="15" t="s">
        <v>3349</v>
      </c>
    </row>
    <row r="282" spans="25:37" x14ac:dyDescent="0.3">
      <c r="Y282" s="14" t="s">
        <v>1380</v>
      </c>
      <c r="Z282" s="15" t="s">
        <v>242</v>
      </c>
      <c r="AA282" s="15" t="s">
        <v>1828</v>
      </c>
      <c r="AB282" s="15"/>
      <c r="AI282" s="15" t="s">
        <v>1084</v>
      </c>
      <c r="AJ282" s="15" t="s">
        <v>4355</v>
      </c>
      <c r="AK282" s="15" t="s">
        <v>3350</v>
      </c>
    </row>
    <row r="283" spans="25:37" x14ac:dyDescent="0.3">
      <c r="Y283" s="14" t="s">
        <v>1380</v>
      </c>
      <c r="Z283" s="15" t="s">
        <v>223</v>
      </c>
      <c r="AA283" s="15" t="s">
        <v>1829</v>
      </c>
      <c r="AB283" s="15"/>
      <c r="AI283" s="15" t="s">
        <v>1084</v>
      </c>
      <c r="AJ283" s="15" t="s">
        <v>4356</v>
      </c>
      <c r="AK283" s="15" t="s">
        <v>3351</v>
      </c>
    </row>
    <row r="284" spans="25:37" x14ac:dyDescent="0.3">
      <c r="Y284" s="14" t="s">
        <v>1380</v>
      </c>
      <c r="Z284" s="15" t="s">
        <v>1043</v>
      </c>
      <c r="AA284" s="15" t="s">
        <v>1830</v>
      </c>
      <c r="AB284" s="15"/>
      <c r="AI284" s="15" t="s">
        <v>1106</v>
      </c>
      <c r="AJ284" s="15" t="s">
        <v>4357</v>
      </c>
      <c r="AK284" s="15" t="s">
        <v>3352</v>
      </c>
    </row>
    <row r="285" spans="25:37" x14ac:dyDescent="0.3">
      <c r="Y285" s="14" t="s">
        <v>1380</v>
      </c>
      <c r="Z285" s="15" t="s">
        <v>1044</v>
      </c>
      <c r="AA285" s="15" t="s">
        <v>1831</v>
      </c>
      <c r="AB285" s="15"/>
      <c r="AI285" s="15" t="s">
        <v>1106</v>
      </c>
      <c r="AJ285" s="15" t="s">
        <v>4358</v>
      </c>
      <c r="AK285" s="15" t="s">
        <v>3353</v>
      </c>
    </row>
    <row r="286" spans="25:37" x14ac:dyDescent="0.3">
      <c r="Y286" s="14" t="s">
        <v>1380</v>
      </c>
      <c r="Z286" s="15" t="s">
        <v>1168</v>
      </c>
      <c r="AA286" s="15" t="s">
        <v>1832</v>
      </c>
      <c r="AB286" s="15"/>
      <c r="AI286" s="15" t="s">
        <v>1355</v>
      </c>
      <c r="AJ286" s="15" t="s">
        <v>4359</v>
      </c>
      <c r="AK286" s="15" t="s">
        <v>3354</v>
      </c>
    </row>
    <row r="287" spans="25:37" x14ac:dyDescent="0.3">
      <c r="Y287" s="14" t="s">
        <v>1380</v>
      </c>
      <c r="Z287" s="15" t="s">
        <v>1169</v>
      </c>
      <c r="AA287" s="15" t="s">
        <v>1833</v>
      </c>
      <c r="AB287" s="15"/>
      <c r="AI287" s="19" t="s">
        <v>78</v>
      </c>
      <c r="AJ287" s="19" t="s">
        <v>4360</v>
      </c>
      <c r="AK287" s="19" t="s">
        <v>3355</v>
      </c>
    </row>
    <row r="288" spans="25:37" x14ac:dyDescent="0.3">
      <c r="Y288" s="14" t="s">
        <v>1380</v>
      </c>
      <c r="Z288" s="15" t="s">
        <v>1160</v>
      </c>
      <c r="AA288" s="15" t="s">
        <v>1834</v>
      </c>
      <c r="AB288" s="15"/>
      <c r="AI288" s="15" t="s">
        <v>95</v>
      </c>
      <c r="AJ288" s="15" t="s">
        <v>4361</v>
      </c>
      <c r="AK288" s="15" t="s">
        <v>3356</v>
      </c>
    </row>
    <row r="289" spans="25:37" x14ac:dyDescent="0.3">
      <c r="Y289" s="14" t="s">
        <v>1380</v>
      </c>
      <c r="Z289" s="15" t="s">
        <v>1140</v>
      </c>
      <c r="AA289" s="15" t="s">
        <v>1835</v>
      </c>
      <c r="AB289" s="15"/>
      <c r="AI289" s="15" t="s">
        <v>95</v>
      </c>
      <c r="AJ289" s="15" t="s">
        <v>4362</v>
      </c>
      <c r="AK289" s="15" t="s">
        <v>3357</v>
      </c>
    </row>
    <row r="290" spans="25:37" x14ac:dyDescent="0.3">
      <c r="Y290" s="14" t="s">
        <v>1380</v>
      </c>
      <c r="Z290" s="15" t="s">
        <v>1061</v>
      </c>
      <c r="AA290" s="15" t="s">
        <v>1836</v>
      </c>
      <c r="AB290" s="15"/>
      <c r="AI290" s="15" t="s">
        <v>95</v>
      </c>
      <c r="AJ290" s="15" t="s">
        <v>4363</v>
      </c>
      <c r="AK290" s="15" t="s">
        <v>3358</v>
      </c>
    </row>
    <row r="291" spans="25:37" x14ac:dyDescent="0.3">
      <c r="Y291" s="14" t="s">
        <v>1380</v>
      </c>
      <c r="Z291" s="15" t="s">
        <v>1080</v>
      </c>
      <c r="AA291" s="15" t="s">
        <v>1837</v>
      </c>
      <c r="AB291" s="15"/>
      <c r="AI291" s="15" t="s">
        <v>95</v>
      </c>
      <c r="AJ291" s="15" t="s">
        <v>4364</v>
      </c>
      <c r="AK291" s="15" t="s">
        <v>3359</v>
      </c>
    </row>
    <row r="292" spans="25:37" x14ac:dyDescent="0.3">
      <c r="Y292" s="14" t="s">
        <v>1380</v>
      </c>
      <c r="Z292" s="15" t="s">
        <v>1113</v>
      </c>
      <c r="AA292" s="15" t="s">
        <v>1838</v>
      </c>
      <c r="AB292" s="15"/>
      <c r="AI292" s="15" t="s">
        <v>1357</v>
      </c>
      <c r="AJ292" s="15" t="s">
        <v>4365</v>
      </c>
      <c r="AK292" s="15" t="s">
        <v>3360</v>
      </c>
    </row>
    <row r="293" spans="25:37" x14ac:dyDescent="0.3">
      <c r="Y293" s="14" t="s">
        <v>1380</v>
      </c>
      <c r="Z293" s="15" t="s">
        <v>1096</v>
      </c>
      <c r="AA293" s="15" t="s">
        <v>1839</v>
      </c>
      <c r="AB293" s="15"/>
      <c r="AI293" s="19" t="s">
        <v>227</v>
      </c>
      <c r="AJ293" s="19" t="s">
        <v>4366</v>
      </c>
      <c r="AK293" s="19" t="s">
        <v>3361</v>
      </c>
    </row>
    <row r="294" spans="25:37" x14ac:dyDescent="0.3">
      <c r="Y294" s="14" t="s">
        <v>1380</v>
      </c>
      <c r="Z294" s="15" t="s">
        <v>1112</v>
      </c>
      <c r="AA294" s="15" t="s">
        <v>1840</v>
      </c>
      <c r="AB294" s="15"/>
      <c r="AI294" s="19" t="s">
        <v>227</v>
      </c>
      <c r="AJ294" s="19" t="s">
        <v>4367</v>
      </c>
      <c r="AK294" s="19" t="s">
        <v>3362</v>
      </c>
    </row>
    <row r="295" spans="25:37" x14ac:dyDescent="0.3">
      <c r="Y295" s="14" t="s">
        <v>1380</v>
      </c>
      <c r="Z295" s="15" t="s">
        <v>1082</v>
      </c>
      <c r="AA295" s="15" t="s">
        <v>1841</v>
      </c>
      <c r="AB295" s="15"/>
      <c r="AI295" s="19" t="s">
        <v>227</v>
      </c>
      <c r="AJ295" s="19" t="s">
        <v>4368</v>
      </c>
      <c r="AK295" s="19" t="s">
        <v>3363</v>
      </c>
    </row>
    <row r="296" spans="25:37" x14ac:dyDescent="0.3">
      <c r="Y296" s="14" t="s">
        <v>1380</v>
      </c>
      <c r="Z296" s="15" t="s">
        <v>1059</v>
      </c>
      <c r="AA296" s="15" t="s">
        <v>1842</v>
      </c>
      <c r="AB296" s="15"/>
      <c r="AI296" s="19" t="s">
        <v>227</v>
      </c>
      <c r="AJ296" s="19" t="s">
        <v>4369</v>
      </c>
      <c r="AK296" s="19" t="s">
        <v>3364</v>
      </c>
    </row>
    <row r="297" spans="25:37" x14ac:dyDescent="0.3">
      <c r="Y297" s="14" t="s">
        <v>1380</v>
      </c>
      <c r="Z297" s="15" t="s">
        <v>1057</v>
      </c>
      <c r="AA297" s="15" t="s">
        <v>1843</v>
      </c>
      <c r="AB297" s="15"/>
      <c r="AI297" s="19" t="s">
        <v>227</v>
      </c>
      <c r="AJ297" s="19" t="s">
        <v>4370</v>
      </c>
      <c r="AK297" s="19" t="s">
        <v>3365</v>
      </c>
    </row>
    <row r="298" spans="25:37" x14ac:dyDescent="0.3">
      <c r="Y298" s="14" t="s">
        <v>1380</v>
      </c>
      <c r="Z298" s="15" t="s">
        <v>223</v>
      </c>
      <c r="AA298" s="15" t="s">
        <v>1844</v>
      </c>
      <c r="AB298" s="15"/>
      <c r="AI298" s="19" t="s">
        <v>227</v>
      </c>
      <c r="AJ298" s="19" t="s">
        <v>4371</v>
      </c>
      <c r="AK298" s="19" t="s">
        <v>3366</v>
      </c>
    </row>
    <row r="299" spans="25:37" x14ac:dyDescent="0.3">
      <c r="Y299" s="14" t="s">
        <v>1380</v>
      </c>
      <c r="Z299" s="15" t="s">
        <v>1360</v>
      </c>
      <c r="AA299" s="15" t="s">
        <v>1845</v>
      </c>
      <c r="AB299" s="15"/>
      <c r="AI299" s="19" t="s">
        <v>227</v>
      </c>
      <c r="AJ299" s="19" t="s">
        <v>4372</v>
      </c>
      <c r="AK299" s="19" t="s">
        <v>3367</v>
      </c>
    </row>
    <row r="300" spans="25:37" x14ac:dyDescent="0.3">
      <c r="Y300" s="14" t="s">
        <v>1380</v>
      </c>
      <c r="Z300" s="15" t="s">
        <v>1356</v>
      </c>
      <c r="AA300" s="15" t="s">
        <v>1846</v>
      </c>
      <c r="AB300" s="15"/>
      <c r="AI300" s="19" t="s">
        <v>227</v>
      </c>
      <c r="AJ300" s="19" t="s">
        <v>4373</v>
      </c>
      <c r="AK300" s="19" t="s">
        <v>3368</v>
      </c>
    </row>
    <row r="301" spans="25:37" x14ac:dyDescent="0.3">
      <c r="Y301" s="19" t="s">
        <v>7</v>
      </c>
      <c r="Z301" s="19" t="s">
        <v>103</v>
      </c>
      <c r="AA301" s="19" t="s">
        <v>1848</v>
      </c>
      <c r="AB301" s="15"/>
      <c r="AI301" s="19" t="s">
        <v>227</v>
      </c>
      <c r="AJ301" s="19" t="s">
        <v>4374</v>
      </c>
      <c r="AK301" s="19" t="s">
        <v>3369</v>
      </c>
    </row>
    <row r="302" spans="25:37" x14ac:dyDescent="0.3">
      <c r="Y302" s="14" t="s">
        <v>1380</v>
      </c>
      <c r="Z302" s="15" t="s">
        <v>483</v>
      </c>
      <c r="AA302" s="15" t="s">
        <v>1849</v>
      </c>
      <c r="AB302" s="15"/>
      <c r="AI302" s="19" t="s">
        <v>227</v>
      </c>
      <c r="AJ302" s="19" t="s">
        <v>4375</v>
      </c>
      <c r="AK302" s="19" t="s">
        <v>3370</v>
      </c>
    </row>
    <row r="303" spans="25:37" x14ac:dyDescent="0.3">
      <c r="Y303" s="19" t="s">
        <v>1365</v>
      </c>
      <c r="Z303" s="19" t="s">
        <v>1133</v>
      </c>
      <c r="AA303" s="19" t="s">
        <v>1850</v>
      </c>
      <c r="AB303" s="15"/>
      <c r="AI303" s="19" t="s">
        <v>227</v>
      </c>
      <c r="AJ303" s="19" t="s">
        <v>4376</v>
      </c>
      <c r="AK303" s="19" t="s">
        <v>3371</v>
      </c>
    </row>
    <row r="304" spans="25:37" x14ac:dyDescent="0.3">
      <c r="Y304" s="14" t="s">
        <v>229</v>
      </c>
      <c r="Z304" s="15" t="s">
        <v>1531</v>
      </c>
      <c r="AA304" s="15" t="s">
        <v>1851</v>
      </c>
      <c r="AB304" s="15"/>
      <c r="AI304" s="19" t="s">
        <v>227</v>
      </c>
      <c r="AJ304" s="19" t="s">
        <v>4377</v>
      </c>
      <c r="AK304" s="19" t="s">
        <v>3372</v>
      </c>
    </row>
    <row r="305" spans="25:37" x14ac:dyDescent="0.3">
      <c r="Y305" s="14" t="s">
        <v>229</v>
      </c>
      <c r="Z305" s="15" t="s">
        <v>1531</v>
      </c>
      <c r="AA305" s="15" t="s">
        <v>1852</v>
      </c>
      <c r="AB305" s="15"/>
      <c r="AI305" s="19" t="s">
        <v>227</v>
      </c>
      <c r="AJ305" s="19" t="s">
        <v>4378</v>
      </c>
      <c r="AK305" s="19" t="s">
        <v>3373</v>
      </c>
    </row>
    <row r="306" spans="25:37" x14ac:dyDescent="0.3">
      <c r="Y306" s="19" t="s">
        <v>1367</v>
      </c>
      <c r="Z306" s="19" t="s">
        <v>419</v>
      </c>
      <c r="AA306" s="19" t="s">
        <v>1853</v>
      </c>
      <c r="AB306" s="15"/>
      <c r="AI306" s="15" t="s">
        <v>907</v>
      </c>
      <c r="AJ306" s="15" t="s">
        <v>4260</v>
      </c>
      <c r="AK306" s="15" t="s">
        <v>3374</v>
      </c>
    </row>
    <row r="307" spans="25:37" x14ac:dyDescent="0.3">
      <c r="Y307" s="14" t="s">
        <v>228</v>
      </c>
      <c r="Z307" s="15" t="s">
        <v>1063</v>
      </c>
      <c r="AA307" s="15" t="s">
        <v>1854</v>
      </c>
      <c r="AB307" s="15"/>
      <c r="AI307" s="19" t="s">
        <v>227</v>
      </c>
      <c r="AJ307" s="19" t="s">
        <v>4379</v>
      </c>
      <c r="AK307" s="19" t="s">
        <v>3375</v>
      </c>
    </row>
    <row r="308" spans="25:37" x14ac:dyDescent="0.3">
      <c r="Y308" s="14" t="s">
        <v>15</v>
      </c>
      <c r="Z308" s="15" t="s">
        <v>1665</v>
      </c>
      <c r="AA308" s="15" t="s">
        <v>1855</v>
      </c>
      <c r="AB308" s="15"/>
      <c r="AI308" s="19" t="s">
        <v>227</v>
      </c>
      <c r="AJ308" s="19" t="s">
        <v>4380</v>
      </c>
      <c r="AK308" s="19" t="s">
        <v>3376</v>
      </c>
    </row>
    <row r="309" spans="25:37" x14ac:dyDescent="0.3">
      <c r="Y309" s="14" t="s">
        <v>15</v>
      </c>
      <c r="Z309" s="15" t="s">
        <v>1606</v>
      </c>
      <c r="AA309" s="15" t="s">
        <v>1856</v>
      </c>
      <c r="AB309" s="15"/>
      <c r="AI309" s="19" t="s">
        <v>227</v>
      </c>
      <c r="AJ309" s="19" t="s">
        <v>4381</v>
      </c>
      <c r="AK309" s="19" t="s">
        <v>3377</v>
      </c>
    </row>
    <row r="310" spans="25:37" x14ac:dyDescent="0.3">
      <c r="Y310" s="14" t="s">
        <v>10</v>
      </c>
      <c r="Z310" s="15" t="s">
        <v>1690</v>
      </c>
      <c r="AA310" s="15" t="s">
        <v>1857</v>
      </c>
      <c r="AB310" s="15"/>
      <c r="AI310" s="15" t="s">
        <v>499</v>
      </c>
      <c r="AJ310" s="15" t="s">
        <v>4382</v>
      </c>
      <c r="AK310" s="15" t="s">
        <v>3378</v>
      </c>
    </row>
    <row r="311" spans="25:37" x14ac:dyDescent="0.3">
      <c r="Y311" s="14" t="s">
        <v>10</v>
      </c>
      <c r="Z311" s="15" t="s">
        <v>1617</v>
      </c>
      <c r="AA311" s="15" t="s">
        <v>1858</v>
      </c>
      <c r="AB311" s="15"/>
      <c r="AI311" s="15" t="s">
        <v>500</v>
      </c>
      <c r="AJ311" s="15" t="s">
        <v>4383</v>
      </c>
      <c r="AK311" s="15" t="s">
        <v>3379</v>
      </c>
    </row>
    <row r="312" spans="25:37" x14ac:dyDescent="0.3">
      <c r="Y312" s="14" t="s">
        <v>10</v>
      </c>
      <c r="Z312" s="15" t="s">
        <v>1577</v>
      </c>
      <c r="AA312" s="15" t="s">
        <v>1859</v>
      </c>
      <c r="AB312" s="15"/>
      <c r="AI312" s="19" t="s">
        <v>94</v>
      </c>
      <c r="AJ312" s="19" t="s">
        <v>4384</v>
      </c>
      <c r="AK312" s="19" t="s">
        <v>3380</v>
      </c>
    </row>
    <row r="313" spans="25:37" x14ac:dyDescent="0.3">
      <c r="Y313" s="14" t="s">
        <v>10</v>
      </c>
      <c r="Z313" s="15" t="s">
        <v>1569</v>
      </c>
      <c r="AA313" s="15" t="s">
        <v>1860</v>
      </c>
      <c r="AB313" s="15"/>
      <c r="AI313" s="19" t="s">
        <v>227</v>
      </c>
      <c r="AJ313" s="19" t="s">
        <v>4385</v>
      </c>
      <c r="AK313" s="19" t="s">
        <v>3381</v>
      </c>
    </row>
    <row r="314" spans="25:37" x14ac:dyDescent="0.3">
      <c r="Y314" s="14" t="s">
        <v>10</v>
      </c>
      <c r="Z314" s="15" t="s">
        <v>1565</v>
      </c>
      <c r="AA314" s="15" t="s">
        <v>1861</v>
      </c>
      <c r="AB314" s="15"/>
      <c r="AI314" s="15" t="s">
        <v>498</v>
      </c>
      <c r="AJ314" s="15" t="s">
        <v>4386</v>
      </c>
      <c r="AK314" s="15" t="s">
        <v>3382</v>
      </c>
    </row>
    <row r="315" spans="25:37" x14ac:dyDescent="0.3">
      <c r="Y315" s="14" t="s">
        <v>10</v>
      </c>
      <c r="Z315" s="15" t="s">
        <v>1563</v>
      </c>
      <c r="AA315" s="15" t="s">
        <v>1862</v>
      </c>
      <c r="AB315" s="15"/>
      <c r="AI315" s="15" t="s">
        <v>500</v>
      </c>
      <c r="AJ315" s="15" t="s">
        <v>4387</v>
      </c>
      <c r="AK315" s="15" t="s">
        <v>3383</v>
      </c>
    </row>
    <row r="316" spans="25:37" x14ac:dyDescent="0.3">
      <c r="Y316" s="14" t="s">
        <v>230</v>
      </c>
      <c r="Z316" s="15" t="s">
        <v>1618</v>
      </c>
      <c r="AA316" s="15" t="s">
        <v>1864</v>
      </c>
      <c r="AB316" s="15"/>
      <c r="AI316" s="15" t="s">
        <v>501</v>
      </c>
      <c r="AJ316" s="15" t="s">
        <v>4388</v>
      </c>
      <c r="AK316" s="15" t="s">
        <v>3384</v>
      </c>
    </row>
    <row r="317" spans="25:37" x14ac:dyDescent="0.3">
      <c r="Y317" s="14" t="s">
        <v>230</v>
      </c>
      <c r="Z317" s="15" t="s">
        <v>1596</v>
      </c>
      <c r="AA317" s="15" t="s">
        <v>1865</v>
      </c>
      <c r="AB317" s="15"/>
      <c r="AI317" s="15" t="s">
        <v>502</v>
      </c>
      <c r="AJ317" s="15" t="s">
        <v>4389</v>
      </c>
      <c r="AK317" s="15" t="s">
        <v>3385</v>
      </c>
    </row>
    <row r="318" spans="25:37" x14ac:dyDescent="0.3">
      <c r="Y318" s="14" t="s">
        <v>230</v>
      </c>
      <c r="Z318" s="15" t="s">
        <v>1583</v>
      </c>
      <c r="AA318" s="15" t="s">
        <v>1866</v>
      </c>
      <c r="AB318" s="15"/>
      <c r="AI318" s="15" t="s">
        <v>503</v>
      </c>
      <c r="AJ318" s="15" t="s">
        <v>4390</v>
      </c>
      <c r="AK318" s="15" t="s">
        <v>3386</v>
      </c>
    </row>
    <row r="319" spans="25:37" x14ac:dyDescent="0.3">
      <c r="Y319" s="14" t="s">
        <v>249</v>
      </c>
      <c r="Z319" s="15" t="s">
        <v>1570</v>
      </c>
      <c r="AA319" s="15" t="s">
        <v>1868</v>
      </c>
      <c r="AB319" s="15"/>
      <c r="AI319" s="15" t="s">
        <v>504</v>
      </c>
      <c r="AJ319" s="15" t="s">
        <v>4391</v>
      </c>
      <c r="AK319" s="15" t="s">
        <v>3387</v>
      </c>
    </row>
    <row r="320" spans="25:37" x14ac:dyDescent="0.3">
      <c r="Y320" s="14" t="s">
        <v>251</v>
      </c>
      <c r="Z320" s="15" t="s">
        <v>1538</v>
      </c>
      <c r="AA320" s="15" t="s">
        <v>1869</v>
      </c>
      <c r="AB320" s="15"/>
      <c r="AI320" s="15" t="s">
        <v>505</v>
      </c>
      <c r="AJ320" s="15" t="s">
        <v>4392</v>
      </c>
      <c r="AK320" s="15" t="s">
        <v>3388</v>
      </c>
    </row>
    <row r="321" spans="25:37" x14ac:dyDescent="0.3">
      <c r="Y321" s="19" t="s">
        <v>1322</v>
      </c>
      <c r="Z321" s="19" t="s">
        <v>5182</v>
      </c>
      <c r="AA321" s="19" t="s">
        <v>5238</v>
      </c>
      <c r="AB321" s="15"/>
      <c r="AI321" s="19" t="s">
        <v>227</v>
      </c>
      <c r="AJ321" s="19" t="s">
        <v>4393</v>
      </c>
      <c r="AK321" s="19" t="s">
        <v>3389</v>
      </c>
    </row>
    <row r="322" spans="25:37" x14ac:dyDescent="0.3">
      <c r="Y322" s="14" t="s">
        <v>1367</v>
      </c>
      <c r="Z322" s="15" t="s">
        <v>385</v>
      </c>
      <c r="AA322" s="15" t="s">
        <v>1870</v>
      </c>
      <c r="AB322" s="15"/>
      <c r="AI322" s="19" t="s">
        <v>227</v>
      </c>
      <c r="AJ322" s="19" t="s">
        <v>4394</v>
      </c>
      <c r="AK322" s="19" t="s">
        <v>3390</v>
      </c>
    </row>
    <row r="323" spans="25:37" x14ac:dyDescent="0.3">
      <c r="Y323" s="14" t="s">
        <v>1367</v>
      </c>
      <c r="Z323" s="15" t="s">
        <v>386</v>
      </c>
      <c r="AA323" s="15" t="s">
        <v>1871</v>
      </c>
      <c r="AB323" s="15"/>
      <c r="AI323" s="15" t="s">
        <v>485</v>
      </c>
      <c r="AJ323" s="15" t="s">
        <v>4395</v>
      </c>
      <c r="AK323" s="15" t="s">
        <v>3391</v>
      </c>
    </row>
    <row r="324" spans="25:37" x14ac:dyDescent="0.3">
      <c r="Y324" s="14" t="s">
        <v>1367</v>
      </c>
      <c r="Z324" s="15" t="s">
        <v>387</v>
      </c>
      <c r="AA324" s="15" t="s">
        <v>1872</v>
      </c>
      <c r="AB324" s="15"/>
      <c r="AI324" s="15" t="s">
        <v>486</v>
      </c>
      <c r="AJ324" s="15" t="s">
        <v>4396</v>
      </c>
      <c r="AK324" s="15" t="s">
        <v>3392</v>
      </c>
    </row>
    <row r="325" spans="25:37" x14ac:dyDescent="0.3">
      <c r="Y325" s="14" t="s">
        <v>1367</v>
      </c>
      <c r="Z325" s="15" t="s">
        <v>388</v>
      </c>
      <c r="AA325" s="15" t="s">
        <v>1873</v>
      </c>
      <c r="AB325" s="15"/>
      <c r="AI325" s="15" t="s">
        <v>510</v>
      </c>
      <c r="AJ325" s="15" t="s">
        <v>4397</v>
      </c>
      <c r="AK325" s="15" t="s">
        <v>3393</v>
      </c>
    </row>
    <row r="326" spans="25:37" x14ac:dyDescent="0.3">
      <c r="Y326" s="14" t="s">
        <v>1367</v>
      </c>
      <c r="Z326" s="15" t="s">
        <v>92</v>
      </c>
      <c r="AA326" s="15" t="s">
        <v>1874</v>
      </c>
      <c r="AB326" s="15"/>
      <c r="AI326" s="15" t="s">
        <v>511</v>
      </c>
      <c r="AJ326" s="15" t="s">
        <v>4398</v>
      </c>
      <c r="AK326" s="15" t="s">
        <v>3394</v>
      </c>
    </row>
    <row r="327" spans="25:37" x14ac:dyDescent="0.3">
      <c r="Y327" s="14" t="s">
        <v>1367</v>
      </c>
      <c r="Z327" s="15" t="s">
        <v>389</v>
      </c>
      <c r="AA327" s="15" t="s">
        <v>1875</v>
      </c>
      <c r="AB327" s="15"/>
      <c r="AI327" s="15" t="s">
        <v>513</v>
      </c>
      <c r="AJ327" s="15" t="s">
        <v>4399</v>
      </c>
      <c r="AK327" s="15" t="s">
        <v>3395</v>
      </c>
    </row>
    <row r="328" spans="25:37" x14ac:dyDescent="0.3">
      <c r="Y328" s="14" t="s">
        <v>1367</v>
      </c>
      <c r="Z328" s="15" t="s">
        <v>390</v>
      </c>
      <c r="AA328" s="15" t="s">
        <v>1876</v>
      </c>
      <c r="AB328" s="15"/>
      <c r="AI328" s="15" t="s">
        <v>96</v>
      </c>
      <c r="AJ328" s="15" t="s">
        <v>4400</v>
      </c>
      <c r="AK328" s="15" t="s">
        <v>3396</v>
      </c>
    </row>
    <row r="329" spans="25:37" x14ac:dyDescent="0.3">
      <c r="Y329" s="14" t="s">
        <v>1367</v>
      </c>
      <c r="Z329" s="15" t="s">
        <v>391</v>
      </c>
      <c r="AA329" s="15" t="s">
        <v>1877</v>
      </c>
      <c r="AB329" s="15"/>
      <c r="AI329" s="15" t="s">
        <v>96</v>
      </c>
      <c r="AJ329" s="15" t="s">
        <v>4401</v>
      </c>
      <c r="AK329" s="15" t="s">
        <v>3397</v>
      </c>
    </row>
    <row r="330" spans="25:37" x14ac:dyDescent="0.3">
      <c r="Y330" s="19" t="s">
        <v>1367</v>
      </c>
      <c r="Z330" s="19" t="s">
        <v>418</v>
      </c>
      <c r="AA330" s="19" t="s">
        <v>1878</v>
      </c>
      <c r="AB330" s="15"/>
      <c r="AI330" s="19" t="s">
        <v>77</v>
      </c>
      <c r="AJ330" s="19" t="s">
        <v>4402</v>
      </c>
      <c r="AK330" s="19" t="s">
        <v>3398</v>
      </c>
    </row>
    <row r="331" spans="25:37" x14ac:dyDescent="0.3">
      <c r="Y331" s="19" t="s">
        <v>1367</v>
      </c>
      <c r="Z331" s="19" t="s">
        <v>378</v>
      </c>
      <c r="AA331" s="19" t="s">
        <v>1879</v>
      </c>
      <c r="AB331" s="15"/>
      <c r="AI331" s="15" t="s">
        <v>486</v>
      </c>
      <c r="AJ331" s="15" t="s">
        <v>4403</v>
      </c>
      <c r="AK331" s="15" t="s">
        <v>3399</v>
      </c>
    </row>
    <row r="332" spans="25:37" x14ac:dyDescent="0.3">
      <c r="Y332" s="19" t="s">
        <v>1367</v>
      </c>
      <c r="Z332" s="19" t="s">
        <v>380</v>
      </c>
      <c r="AA332" s="19" t="s">
        <v>1880</v>
      </c>
      <c r="AB332" s="15"/>
      <c r="AI332" s="15" t="s">
        <v>491</v>
      </c>
      <c r="AJ332" s="15" t="s">
        <v>4404</v>
      </c>
      <c r="AK332" s="15" t="s">
        <v>3400</v>
      </c>
    </row>
    <row r="333" spans="25:37" x14ac:dyDescent="0.3">
      <c r="Y333" s="19" t="s">
        <v>1367</v>
      </c>
      <c r="Z333" s="19" t="s">
        <v>287</v>
      </c>
      <c r="AA333" s="19" t="s">
        <v>1881</v>
      </c>
      <c r="AB333" s="15"/>
      <c r="AI333" s="15" t="s">
        <v>491</v>
      </c>
      <c r="AJ333" s="15" t="s">
        <v>4405</v>
      </c>
      <c r="AK333" s="15" t="s">
        <v>3401</v>
      </c>
    </row>
    <row r="334" spans="25:37" x14ac:dyDescent="0.3">
      <c r="Y334" s="19" t="s">
        <v>1367</v>
      </c>
      <c r="Z334" s="19" t="s">
        <v>146</v>
      </c>
      <c r="AA334" s="19" t="s">
        <v>1882</v>
      </c>
      <c r="AB334" s="15"/>
      <c r="AI334" s="15" t="s">
        <v>492</v>
      </c>
      <c r="AJ334" s="15" t="s">
        <v>4406</v>
      </c>
      <c r="AK334" s="15" t="s">
        <v>3402</v>
      </c>
    </row>
    <row r="335" spans="25:37" x14ac:dyDescent="0.3">
      <c r="Y335" s="19" t="s">
        <v>1367</v>
      </c>
      <c r="Z335" s="19" t="s">
        <v>147</v>
      </c>
      <c r="AA335" s="19" t="s">
        <v>1883</v>
      </c>
      <c r="AB335" s="15"/>
      <c r="AI335" s="15" t="s">
        <v>484</v>
      </c>
      <c r="AJ335" s="15" t="s">
        <v>4407</v>
      </c>
      <c r="AK335" s="15" t="s">
        <v>3403</v>
      </c>
    </row>
    <row r="336" spans="25:37" x14ac:dyDescent="0.3">
      <c r="Y336" s="19" t="s">
        <v>1367</v>
      </c>
      <c r="Z336" s="19" t="s">
        <v>145</v>
      </c>
      <c r="AA336" s="19" t="s">
        <v>1884</v>
      </c>
      <c r="AB336" s="15"/>
      <c r="AI336" s="15" t="s">
        <v>485</v>
      </c>
      <c r="AJ336" s="15" t="s">
        <v>4408</v>
      </c>
      <c r="AK336" s="15" t="s">
        <v>3404</v>
      </c>
    </row>
    <row r="337" spans="25:37" x14ac:dyDescent="0.3">
      <c r="Y337" s="19" t="s">
        <v>1367</v>
      </c>
      <c r="Z337" s="19" t="s">
        <v>137</v>
      </c>
      <c r="AA337" s="19" t="s">
        <v>1885</v>
      </c>
      <c r="AB337" s="15"/>
      <c r="AI337" s="15" t="s">
        <v>487</v>
      </c>
      <c r="AJ337" s="15" t="s">
        <v>4409</v>
      </c>
      <c r="AK337" s="15" t="s">
        <v>3405</v>
      </c>
    </row>
    <row r="338" spans="25:37" x14ac:dyDescent="0.3">
      <c r="Y338" s="19" t="s">
        <v>1367</v>
      </c>
      <c r="Z338" s="19" t="s">
        <v>370</v>
      </c>
      <c r="AA338" s="19" t="s">
        <v>1886</v>
      </c>
      <c r="AB338" s="15"/>
      <c r="AI338" s="15" t="s">
        <v>512</v>
      </c>
      <c r="AJ338" s="15" t="s">
        <v>4410</v>
      </c>
      <c r="AK338" s="15" t="s">
        <v>3406</v>
      </c>
    </row>
    <row r="339" spans="25:37" x14ac:dyDescent="0.3">
      <c r="Y339" s="19" t="s">
        <v>1367</v>
      </c>
      <c r="Z339" s="19" t="s">
        <v>238</v>
      </c>
      <c r="AA339" s="19" t="s">
        <v>1887</v>
      </c>
      <c r="AB339" s="15"/>
      <c r="AI339" s="15" t="s">
        <v>93</v>
      </c>
      <c r="AJ339" s="15" t="s">
        <v>4411</v>
      </c>
      <c r="AK339" s="15" t="s">
        <v>3407</v>
      </c>
    </row>
    <row r="340" spans="25:37" x14ac:dyDescent="0.3">
      <c r="Y340" s="19" t="s">
        <v>1367</v>
      </c>
      <c r="Z340" s="19" t="s">
        <v>237</v>
      </c>
      <c r="AA340" s="19" t="s">
        <v>1888</v>
      </c>
      <c r="AB340" s="15"/>
      <c r="AI340" s="15" t="s">
        <v>658</v>
      </c>
      <c r="AJ340" s="15" t="s">
        <v>4412</v>
      </c>
      <c r="AK340" s="15" t="s">
        <v>3408</v>
      </c>
    </row>
    <row r="341" spans="25:37" x14ac:dyDescent="0.3">
      <c r="Y341" s="19" t="s">
        <v>1367</v>
      </c>
      <c r="Z341" s="19" t="s">
        <v>236</v>
      </c>
      <c r="AA341" s="19" t="s">
        <v>1889</v>
      </c>
      <c r="AB341" s="15"/>
      <c r="AI341" s="15" t="s">
        <v>399</v>
      </c>
      <c r="AJ341" s="15" t="s">
        <v>4413</v>
      </c>
      <c r="AK341" s="15" t="s">
        <v>3409</v>
      </c>
    </row>
    <row r="342" spans="25:37" x14ac:dyDescent="0.3">
      <c r="Y342" s="19" t="s">
        <v>1367</v>
      </c>
      <c r="Z342" s="19" t="s">
        <v>235</v>
      </c>
      <c r="AA342" s="19" t="s">
        <v>1890</v>
      </c>
      <c r="AB342" s="15"/>
      <c r="AI342" s="15" t="s">
        <v>400</v>
      </c>
      <c r="AJ342" s="15" t="s">
        <v>4414</v>
      </c>
      <c r="AK342" s="15" t="s">
        <v>3410</v>
      </c>
    </row>
    <row r="343" spans="25:37" x14ac:dyDescent="0.3">
      <c r="Y343" s="19" t="s">
        <v>1367</v>
      </c>
      <c r="Z343" s="19" t="s">
        <v>1188</v>
      </c>
      <c r="AA343" s="19" t="s">
        <v>1891</v>
      </c>
      <c r="AB343" s="15"/>
      <c r="AI343" s="15" t="s">
        <v>401</v>
      </c>
      <c r="AJ343" s="15" t="s">
        <v>4415</v>
      </c>
      <c r="AK343" s="15" t="s">
        <v>3411</v>
      </c>
    </row>
    <row r="344" spans="25:37" x14ac:dyDescent="0.3">
      <c r="Y344" s="19" t="s">
        <v>1367</v>
      </c>
      <c r="Z344" s="19" t="s">
        <v>381</v>
      </c>
      <c r="AA344" s="19" t="s">
        <v>1892</v>
      </c>
      <c r="AB344" s="15"/>
      <c r="AI344" s="15" t="s">
        <v>96</v>
      </c>
      <c r="AJ344" s="15" t="s">
        <v>4416</v>
      </c>
      <c r="AK344" s="15" t="s">
        <v>3412</v>
      </c>
    </row>
    <row r="345" spans="25:37" x14ac:dyDescent="0.3">
      <c r="Y345" s="19" t="s">
        <v>1367</v>
      </c>
      <c r="Z345" s="19" t="s">
        <v>371</v>
      </c>
      <c r="AA345" s="19" t="s">
        <v>1893</v>
      </c>
      <c r="AB345" s="15"/>
      <c r="AI345" s="19" t="s">
        <v>77</v>
      </c>
      <c r="AJ345" s="19" t="s">
        <v>4417</v>
      </c>
      <c r="AK345" s="19" t="s">
        <v>3413</v>
      </c>
    </row>
    <row r="346" spans="25:37" x14ac:dyDescent="0.3">
      <c r="Y346" s="19" t="s">
        <v>1367</v>
      </c>
      <c r="Z346" s="19" t="s">
        <v>374</v>
      </c>
      <c r="AA346" s="19" t="s">
        <v>1894</v>
      </c>
      <c r="AB346" s="15"/>
      <c r="AI346" s="19" t="s">
        <v>77</v>
      </c>
      <c r="AJ346" s="19" t="s">
        <v>4418</v>
      </c>
      <c r="AK346" s="19" t="s">
        <v>3414</v>
      </c>
    </row>
    <row r="347" spans="25:37" x14ac:dyDescent="0.3">
      <c r="Y347" s="19" t="s">
        <v>1367</v>
      </c>
      <c r="Z347" s="19" t="s">
        <v>382</v>
      </c>
      <c r="AA347" s="19" t="s">
        <v>1895</v>
      </c>
      <c r="AB347" s="15"/>
      <c r="AI347" s="15" t="s">
        <v>88</v>
      </c>
      <c r="AJ347" s="15" t="s">
        <v>4419</v>
      </c>
      <c r="AK347" s="15" t="s">
        <v>3415</v>
      </c>
    </row>
    <row r="348" spans="25:37" x14ac:dyDescent="0.3">
      <c r="Y348" s="19" t="s">
        <v>1367</v>
      </c>
      <c r="Z348" s="19" t="s">
        <v>375</v>
      </c>
      <c r="AA348" s="19" t="s">
        <v>1896</v>
      </c>
      <c r="AB348" s="15"/>
      <c r="AI348" s="15" t="s">
        <v>85</v>
      </c>
      <c r="AJ348" s="15" t="s">
        <v>4420</v>
      </c>
      <c r="AK348" s="15" t="s">
        <v>3416</v>
      </c>
    </row>
    <row r="349" spans="25:37" x14ac:dyDescent="0.3">
      <c r="Y349" s="19" t="s">
        <v>1367</v>
      </c>
      <c r="Z349" s="19" t="s">
        <v>383</v>
      </c>
      <c r="AA349" s="19" t="s">
        <v>1897</v>
      </c>
      <c r="AB349" s="15"/>
      <c r="AI349" s="19" t="s">
        <v>77</v>
      </c>
      <c r="AJ349" s="19" t="s">
        <v>4421</v>
      </c>
      <c r="AK349" s="19" t="s">
        <v>3417</v>
      </c>
    </row>
    <row r="350" spans="25:37" x14ac:dyDescent="0.3">
      <c r="Y350" s="19" t="s">
        <v>1367</v>
      </c>
      <c r="Z350" s="19" t="s">
        <v>5</v>
      </c>
      <c r="AA350" s="19" t="s">
        <v>1898</v>
      </c>
      <c r="AB350" s="15"/>
      <c r="AI350" s="19" t="s">
        <v>65</v>
      </c>
      <c r="AJ350" s="19" t="s">
        <v>4422</v>
      </c>
      <c r="AK350" s="19" t="s">
        <v>3418</v>
      </c>
    </row>
    <row r="351" spans="25:37" x14ac:dyDescent="0.3">
      <c r="Y351" s="19" t="s">
        <v>1367</v>
      </c>
      <c r="Z351" s="19" t="s">
        <v>377</v>
      </c>
      <c r="AA351" s="19" t="s">
        <v>1899</v>
      </c>
      <c r="AB351" s="15"/>
      <c r="AI351" s="15" t="s">
        <v>225</v>
      </c>
      <c r="AJ351" s="15" t="s">
        <v>4423</v>
      </c>
      <c r="AK351" s="15" t="s">
        <v>3419</v>
      </c>
    </row>
    <row r="352" spans="25:37" x14ac:dyDescent="0.3">
      <c r="Y352" s="19" t="s">
        <v>1367</v>
      </c>
      <c r="Z352" s="19" t="s">
        <v>384</v>
      </c>
      <c r="AA352" s="19" t="s">
        <v>1900</v>
      </c>
      <c r="AB352" s="15"/>
      <c r="AI352" s="15" t="s">
        <v>225</v>
      </c>
      <c r="AJ352" s="15" t="s">
        <v>4424</v>
      </c>
      <c r="AK352" s="15" t="s">
        <v>3420</v>
      </c>
    </row>
    <row r="353" spans="25:37" x14ac:dyDescent="0.3">
      <c r="Y353" s="19" t="s">
        <v>1367</v>
      </c>
      <c r="Z353" s="19" t="s">
        <v>248</v>
      </c>
      <c r="AA353" s="19" t="s">
        <v>1901</v>
      </c>
      <c r="AB353" s="15"/>
      <c r="AI353" s="15" t="s">
        <v>80</v>
      </c>
      <c r="AJ353" s="15" t="s">
        <v>4425</v>
      </c>
      <c r="AK353" s="15" t="s">
        <v>3421</v>
      </c>
    </row>
    <row r="354" spans="25:37" x14ac:dyDescent="0.3">
      <c r="Y354" s="19" t="s">
        <v>1367</v>
      </c>
      <c r="Z354" s="19" t="s">
        <v>92</v>
      </c>
      <c r="AA354" s="19" t="s">
        <v>1902</v>
      </c>
      <c r="AB354" s="15"/>
      <c r="AI354" s="19" t="s">
        <v>94</v>
      </c>
      <c r="AJ354" s="19" t="s">
        <v>4426</v>
      </c>
      <c r="AK354" s="19" t="s">
        <v>3422</v>
      </c>
    </row>
    <row r="355" spans="25:37" x14ac:dyDescent="0.3">
      <c r="Y355" s="19" t="s">
        <v>1367</v>
      </c>
      <c r="Z355" s="19" t="s">
        <v>392</v>
      </c>
      <c r="AA355" s="19" t="s">
        <v>1903</v>
      </c>
      <c r="AB355" s="15"/>
      <c r="AI355" s="15" t="s">
        <v>495</v>
      </c>
      <c r="AJ355" s="15" t="s">
        <v>4427</v>
      </c>
      <c r="AK355" s="15" t="s">
        <v>3423</v>
      </c>
    </row>
    <row r="356" spans="25:37" x14ac:dyDescent="0.3">
      <c r="Y356" s="19" t="s">
        <v>1367</v>
      </c>
      <c r="Z356" s="19" t="s">
        <v>379</v>
      </c>
      <c r="AA356" s="19" t="s">
        <v>1904</v>
      </c>
      <c r="AB356" s="15"/>
      <c r="AI356" s="15" t="s">
        <v>225</v>
      </c>
      <c r="AJ356" s="15" t="s">
        <v>4428</v>
      </c>
      <c r="AK356" s="15" t="s">
        <v>3424</v>
      </c>
    </row>
    <row r="357" spans="25:37" x14ac:dyDescent="0.3">
      <c r="Y357" s="19" t="s">
        <v>1365</v>
      </c>
      <c r="Z357" s="19" t="s">
        <v>574</v>
      </c>
      <c r="AA357" s="19" t="s">
        <v>1905</v>
      </c>
      <c r="AB357" s="15"/>
      <c r="AI357" s="15" t="s">
        <v>80</v>
      </c>
      <c r="AJ357" s="15" t="s">
        <v>4429</v>
      </c>
      <c r="AK357" s="15" t="s">
        <v>3425</v>
      </c>
    </row>
    <row r="358" spans="25:37" x14ac:dyDescent="0.3">
      <c r="Y358" s="19" t="s">
        <v>1367</v>
      </c>
      <c r="Z358" s="19" t="s">
        <v>172</v>
      </c>
      <c r="AA358" s="19" t="s">
        <v>1906</v>
      </c>
      <c r="AB358" s="15"/>
      <c r="AI358" s="15" t="s">
        <v>82</v>
      </c>
      <c r="AJ358" s="15" t="s">
        <v>4430</v>
      </c>
      <c r="AK358" s="15" t="s">
        <v>3426</v>
      </c>
    </row>
    <row r="359" spans="25:37" x14ac:dyDescent="0.3">
      <c r="Y359" s="19" t="s">
        <v>1367</v>
      </c>
      <c r="Z359" s="19" t="s">
        <v>72</v>
      </c>
      <c r="AA359" s="19" t="s">
        <v>1907</v>
      </c>
      <c r="AB359" s="15"/>
      <c r="AI359" s="15" t="s">
        <v>1256</v>
      </c>
      <c r="AJ359" s="15" t="s">
        <v>4431</v>
      </c>
      <c r="AK359" s="15" t="s">
        <v>3427</v>
      </c>
    </row>
    <row r="360" spans="25:37" x14ac:dyDescent="0.3">
      <c r="Y360" s="19" t="s">
        <v>1367</v>
      </c>
      <c r="Z360" s="19" t="s">
        <v>1119</v>
      </c>
      <c r="AA360" s="19" t="s">
        <v>1908</v>
      </c>
      <c r="AB360" s="15"/>
      <c r="AI360" s="15" t="s">
        <v>495</v>
      </c>
      <c r="AJ360" s="15" t="s">
        <v>4432</v>
      </c>
      <c r="AK360" s="15" t="s">
        <v>3428</v>
      </c>
    </row>
    <row r="361" spans="25:37" x14ac:dyDescent="0.3">
      <c r="Y361" s="19" t="s">
        <v>1367</v>
      </c>
      <c r="Z361" s="19" t="s">
        <v>1348</v>
      </c>
      <c r="AA361" s="19" t="s">
        <v>1909</v>
      </c>
      <c r="AB361" s="15"/>
      <c r="AI361" s="15" t="s">
        <v>521</v>
      </c>
      <c r="AJ361" s="15" t="s">
        <v>4433</v>
      </c>
      <c r="AK361" s="15" t="s">
        <v>3429</v>
      </c>
    </row>
    <row r="362" spans="25:37" x14ac:dyDescent="0.3">
      <c r="Y362" s="19" t="s">
        <v>1365</v>
      </c>
      <c r="Z362" s="19" t="s">
        <v>164</v>
      </c>
      <c r="AA362" s="19" t="s">
        <v>1910</v>
      </c>
      <c r="AB362" s="15"/>
      <c r="AI362" s="19" t="s">
        <v>77</v>
      </c>
      <c r="AJ362" s="19" t="s">
        <v>4434</v>
      </c>
      <c r="AK362" s="19" t="s">
        <v>3430</v>
      </c>
    </row>
    <row r="363" spans="25:37" x14ac:dyDescent="0.3">
      <c r="Y363" s="19" t="s">
        <v>1367</v>
      </c>
      <c r="Z363" s="19" t="s">
        <v>1347</v>
      </c>
      <c r="AA363" s="19" t="s">
        <v>1911</v>
      </c>
      <c r="AB363" s="15"/>
      <c r="AI363" s="15" t="s">
        <v>1256</v>
      </c>
      <c r="AJ363" s="15" t="s">
        <v>4435</v>
      </c>
      <c r="AK363" s="15" t="s">
        <v>3431</v>
      </c>
    </row>
    <row r="364" spans="25:37" x14ac:dyDescent="0.3">
      <c r="Y364" s="14" t="s">
        <v>233</v>
      </c>
      <c r="Z364" s="15" t="s">
        <v>563</v>
      </c>
      <c r="AA364" s="15" t="s">
        <v>1912</v>
      </c>
      <c r="AB364" s="15"/>
      <c r="AI364" s="15" t="s">
        <v>224</v>
      </c>
      <c r="AJ364" s="15" t="s">
        <v>4436</v>
      </c>
      <c r="AK364" s="15" t="s">
        <v>3432</v>
      </c>
    </row>
    <row r="365" spans="25:37" x14ac:dyDescent="0.3">
      <c r="Y365" s="14" t="s">
        <v>8</v>
      </c>
      <c r="Z365" s="15" t="s">
        <v>542</v>
      </c>
      <c r="AA365" s="15" t="s">
        <v>1913</v>
      </c>
      <c r="AB365" s="15"/>
      <c r="AI365" s="15" t="s">
        <v>1257</v>
      </c>
      <c r="AJ365" s="15" t="s">
        <v>4437</v>
      </c>
      <c r="AK365" s="15" t="s">
        <v>3433</v>
      </c>
    </row>
    <row r="366" spans="25:37" x14ac:dyDescent="0.3">
      <c r="Y366" s="14" t="s">
        <v>1048</v>
      </c>
      <c r="Z366" s="15" t="s">
        <v>1107</v>
      </c>
      <c r="AA366" s="15" t="s">
        <v>1914</v>
      </c>
      <c r="AB366" s="15"/>
      <c r="AI366" s="15" t="s">
        <v>526</v>
      </c>
      <c r="AJ366" s="15" t="s">
        <v>4438</v>
      </c>
      <c r="AK366" s="15" t="s">
        <v>3434</v>
      </c>
    </row>
    <row r="367" spans="25:37" x14ac:dyDescent="0.3">
      <c r="Y367" s="14" t="s">
        <v>231</v>
      </c>
      <c r="Z367" s="15" t="s">
        <v>1266</v>
      </c>
      <c r="AA367" s="15" t="s">
        <v>1915</v>
      </c>
      <c r="AB367" s="15"/>
      <c r="AI367" s="15" t="s">
        <v>66</v>
      </c>
      <c r="AJ367" s="15" t="s">
        <v>4439</v>
      </c>
      <c r="AK367" s="15" t="s">
        <v>3435</v>
      </c>
    </row>
    <row r="368" spans="25:37" x14ac:dyDescent="0.3">
      <c r="Y368" s="14" t="s">
        <v>231</v>
      </c>
      <c r="Z368" s="15" t="s">
        <v>1259</v>
      </c>
      <c r="AA368" s="15" t="s">
        <v>1916</v>
      </c>
      <c r="AB368" s="15"/>
      <c r="AI368" s="15" t="s">
        <v>66</v>
      </c>
      <c r="AJ368" s="15" t="s">
        <v>4440</v>
      </c>
      <c r="AK368" s="15" t="s">
        <v>3436</v>
      </c>
    </row>
    <row r="369" spans="25:37" x14ac:dyDescent="0.3">
      <c r="Y369" s="14" t="s">
        <v>231</v>
      </c>
      <c r="Z369" s="15" t="s">
        <v>1234</v>
      </c>
      <c r="AA369" s="15" t="s">
        <v>1917</v>
      </c>
      <c r="AB369" s="15"/>
      <c r="AI369" s="15" t="s">
        <v>525</v>
      </c>
      <c r="AJ369" s="15" t="s">
        <v>4441</v>
      </c>
      <c r="AK369" s="15" t="s">
        <v>3437</v>
      </c>
    </row>
    <row r="370" spans="25:37" x14ac:dyDescent="0.3">
      <c r="Y370" s="14" t="s">
        <v>118</v>
      </c>
      <c r="Z370" s="15" t="s">
        <v>1182</v>
      </c>
      <c r="AA370" s="15" t="s">
        <v>1918</v>
      </c>
      <c r="AB370" s="15"/>
      <c r="AI370" s="15" t="s">
        <v>527</v>
      </c>
      <c r="AJ370" s="15" t="s">
        <v>4442</v>
      </c>
      <c r="AK370" s="15" t="s">
        <v>3438</v>
      </c>
    </row>
    <row r="371" spans="25:37" x14ac:dyDescent="0.3">
      <c r="Y371" s="14" t="s">
        <v>118</v>
      </c>
      <c r="Z371" s="15" t="s">
        <v>1337</v>
      </c>
      <c r="AA371" s="15" t="s">
        <v>1919</v>
      </c>
      <c r="AB371" s="15"/>
      <c r="AI371" s="15" t="s">
        <v>525</v>
      </c>
      <c r="AJ371" s="15" t="s">
        <v>4443</v>
      </c>
      <c r="AK371" s="15" t="s">
        <v>3439</v>
      </c>
    </row>
    <row r="372" spans="25:37" x14ac:dyDescent="0.3">
      <c r="Y372" s="14" t="s">
        <v>1045</v>
      </c>
      <c r="Z372" s="15" t="s">
        <v>1068</v>
      </c>
      <c r="AA372" s="15" t="s">
        <v>1920</v>
      </c>
      <c r="AB372" s="15"/>
      <c r="AI372" s="15" t="s">
        <v>1106</v>
      </c>
      <c r="AJ372" s="15" t="s">
        <v>4444</v>
      </c>
      <c r="AK372" s="15" t="s">
        <v>3440</v>
      </c>
    </row>
    <row r="373" spans="25:37" x14ac:dyDescent="0.3">
      <c r="Y373" s="14" t="s">
        <v>231</v>
      </c>
      <c r="Z373" s="15" t="s">
        <v>1354</v>
      </c>
      <c r="AA373" s="15" t="s">
        <v>1921</v>
      </c>
      <c r="AB373" s="15"/>
      <c r="AI373" s="19" t="s">
        <v>69</v>
      </c>
      <c r="AJ373" s="19" t="s">
        <v>4445</v>
      </c>
      <c r="AK373" s="19" t="s">
        <v>3441</v>
      </c>
    </row>
    <row r="374" spans="25:37" x14ac:dyDescent="0.3">
      <c r="Y374" s="19" t="s">
        <v>7</v>
      </c>
      <c r="Z374" s="19" t="s">
        <v>69</v>
      </c>
      <c r="AA374" s="19" t="s">
        <v>1923</v>
      </c>
      <c r="AB374" s="15"/>
      <c r="AI374" s="19" t="s">
        <v>77</v>
      </c>
      <c r="AJ374" s="19" t="s">
        <v>4446</v>
      </c>
      <c r="AK374" s="19" t="s">
        <v>3442</v>
      </c>
    </row>
    <row r="375" spans="25:37" x14ac:dyDescent="0.3">
      <c r="Y375" s="19" t="s">
        <v>7</v>
      </c>
      <c r="Z375" s="19" t="s">
        <v>77</v>
      </c>
      <c r="AA375" s="19" t="s">
        <v>1924</v>
      </c>
      <c r="AB375" s="15"/>
      <c r="AI375" s="15" t="s">
        <v>525</v>
      </c>
      <c r="AJ375" s="15" t="s">
        <v>4447</v>
      </c>
      <c r="AK375" s="15" t="s">
        <v>3443</v>
      </c>
    </row>
    <row r="376" spans="25:37" x14ac:dyDescent="0.3">
      <c r="Y376" s="19" t="s">
        <v>7</v>
      </c>
      <c r="Z376" s="19" t="s">
        <v>94</v>
      </c>
      <c r="AA376" s="19" t="s">
        <v>1925</v>
      </c>
      <c r="AB376" s="15"/>
      <c r="AI376" s="15" t="s">
        <v>528</v>
      </c>
      <c r="AJ376" s="15" t="s">
        <v>4448</v>
      </c>
      <c r="AK376" s="15" t="s">
        <v>3444</v>
      </c>
    </row>
    <row r="377" spans="25:37" x14ac:dyDescent="0.3">
      <c r="Y377" s="19" t="s">
        <v>7</v>
      </c>
      <c r="Z377" s="19" t="s">
        <v>490</v>
      </c>
      <c r="AA377" s="19" t="s">
        <v>1926</v>
      </c>
      <c r="AB377" s="15"/>
      <c r="AI377" s="15" t="s">
        <v>529</v>
      </c>
      <c r="AJ377" s="15" t="s">
        <v>4449</v>
      </c>
      <c r="AK377" s="15" t="s">
        <v>3445</v>
      </c>
    </row>
    <row r="378" spans="25:37" x14ac:dyDescent="0.3">
      <c r="Y378" s="19" t="s">
        <v>7</v>
      </c>
      <c r="Z378" s="19" t="s">
        <v>78</v>
      </c>
      <c r="AA378" s="19" t="s">
        <v>1927</v>
      </c>
      <c r="AB378" s="15"/>
      <c r="AI378" s="15" t="s">
        <v>68</v>
      </c>
      <c r="AJ378" s="15" t="s">
        <v>4450</v>
      </c>
      <c r="AK378" s="15" t="s">
        <v>3446</v>
      </c>
    </row>
    <row r="379" spans="25:37" x14ac:dyDescent="0.3">
      <c r="Y379" s="19" t="s">
        <v>7</v>
      </c>
      <c r="Z379" s="19" t="s">
        <v>79</v>
      </c>
      <c r="AA379" s="19" t="s">
        <v>1928</v>
      </c>
      <c r="AB379" s="15"/>
      <c r="AI379" s="15" t="s">
        <v>1219</v>
      </c>
      <c r="AJ379" s="15" t="s">
        <v>4451</v>
      </c>
      <c r="AK379" s="15" t="s">
        <v>3447</v>
      </c>
    </row>
    <row r="380" spans="25:37" x14ac:dyDescent="0.3">
      <c r="Y380" s="19" t="s">
        <v>7</v>
      </c>
      <c r="Z380" s="19" t="s">
        <v>70</v>
      </c>
      <c r="AA380" s="19" t="s">
        <v>1929</v>
      </c>
      <c r="AB380" s="15"/>
      <c r="AI380" s="15" t="s">
        <v>85</v>
      </c>
      <c r="AJ380" s="15" t="s">
        <v>4452</v>
      </c>
      <c r="AK380" s="15" t="s">
        <v>3448</v>
      </c>
    </row>
    <row r="381" spans="25:37" x14ac:dyDescent="0.3">
      <c r="Y381" s="19" t="s">
        <v>7</v>
      </c>
      <c r="Z381" s="19" t="s">
        <v>71</v>
      </c>
      <c r="AA381" s="19" t="s">
        <v>1930</v>
      </c>
      <c r="AB381" s="15"/>
      <c r="AI381" s="15" t="s">
        <v>511</v>
      </c>
      <c r="AJ381" s="15" t="s">
        <v>4453</v>
      </c>
      <c r="AK381" s="15" t="s">
        <v>3449</v>
      </c>
    </row>
    <row r="382" spans="25:37" x14ac:dyDescent="0.3">
      <c r="Y382" s="19" t="s">
        <v>7</v>
      </c>
      <c r="Z382" s="19" t="s">
        <v>65</v>
      </c>
      <c r="AA382" s="19" t="s">
        <v>1931</v>
      </c>
      <c r="AB382" s="15"/>
      <c r="AI382" s="15" t="s">
        <v>525</v>
      </c>
      <c r="AJ382" s="15" t="s">
        <v>4454</v>
      </c>
      <c r="AK382" s="15" t="s">
        <v>3450</v>
      </c>
    </row>
    <row r="383" spans="25:37" x14ac:dyDescent="0.3">
      <c r="Y383" s="19" t="s">
        <v>7</v>
      </c>
      <c r="Z383" s="19" t="s">
        <v>519</v>
      </c>
      <c r="AA383" s="19" t="s">
        <v>1932</v>
      </c>
      <c r="AB383" s="15"/>
      <c r="AI383" s="15" t="s">
        <v>491</v>
      </c>
      <c r="AJ383" s="15" t="s">
        <v>4455</v>
      </c>
      <c r="AK383" s="15" t="s">
        <v>3451</v>
      </c>
    </row>
    <row r="384" spans="25:37" x14ac:dyDescent="0.3">
      <c r="Y384" s="19" t="s">
        <v>7</v>
      </c>
      <c r="Z384" s="19" t="s">
        <v>64</v>
      </c>
      <c r="AA384" s="19" t="s">
        <v>1933</v>
      </c>
      <c r="AB384" s="15"/>
      <c r="AI384" s="15" t="s">
        <v>83</v>
      </c>
      <c r="AJ384" s="15" t="s">
        <v>4456</v>
      </c>
      <c r="AK384" s="15" t="s">
        <v>3452</v>
      </c>
    </row>
    <row r="385" spans="25:37" x14ac:dyDescent="0.3">
      <c r="Y385" s="19" t="s">
        <v>7</v>
      </c>
      <c r="Z385" s="19" t="s">
        <v>67</v>
      </c>
      <c r="AA385" s="19" t="s">
        <v>1934</v>
      </c>
      <c r="AB385" s="15"/>
      <c r="AI385" s="15" t="s">
        <v>532</v>
      </c>
      <c r="AJ385" s="15" t="s">
        <v>4457</v>
      </c>
      <c r="AK385" s="15" t="s">
        <v>3453</v>
      </c>
    </row>
    <row r="386" spans="25:37" x14ac:dyDescent="0.3">
      <c r="Y386" s="19" t="s">
        <v>7</v>
      </c>
      <c r="Z386" s="19" t="s">
        <v>103</v>
      </c>
      <c r="AA386" s="19" t="s">
        <v>1935</v>
      </c>
      <c r="AB386" s="15"/>
      <c r="AI386" s="19" t="s">
        <v>77</v>
      </c>
      <c r="AJ386" s="19" t="s">
        <v>4458</v>
      </c>
      <c r="AK386" s="19" t="s">
        <v>3454</v>
      </c>
    </row>
    <row r="387" spans="25:37" x14ac:dyDescent="0.3">
      <c r="Y387" s="19" t="s">
        <v>7</v>
      </c>
      <c r="Z387" s="19" t="s">
        <v>227</v>
      </c>
      <c r="AA387" s="19" t="s">
        <v>1936</v>
      </c>
      <c r="AB387" s="15"/>
      <c r="AI387" s="15" t="s">
        <v>106</v>
      </c>
      <c r="AJ387" s="15" t="s">
        <v>4459</v>
      </c>
      <c r="AK387" s="15" t="s">
        <v>3455</v>
      </c>
    </row>
    <row r="388" spans="25:37" x14ac:dyDescent="0.3">
      <c r="Y388" s="14" t="s">
        <v>10</v>
      </c>
      <c r="Z388" s="15" t="s">
        <v>478</v>
      </c>
      <c r="AA388" s="15" t="s">
        <v>1937</v>
      </c>
      <c r="AB388" s="15"/>
      <c r="AI388" s="15" t="s">
        <v>402</v>
      </c>
      <c r="AJ388" s="15" t="s">
        <v>4460</v>
      </c>
      <c r="AK388" s="15" t="s">
        <v>3456</v>
      </c>
    </row>
    <row r="389" spans="25:37" x14ac:dyDescent="0.3">
      <c r="Y389" s="14" t="s">
        <v>9</v>
      </c>
      <c r="Z389" s="15" t="s">
        <v>473</v>
      </c>
      <c r="AA389" s="15" t="s">
        <v>1938</v>
      </c>
      <c r="AB389" s="15"/>
      <c r="AI389" s="15" t="s">
        <v>533</v>
      </c>
      <c r="AJ389" s="15" t="s">
        <v>4461</v>
      </c>
      <c r="AK389" s="15" t="s">
        <v>3457</v>
      </c>
    </row>
    <row r="390" spans="25:37" x14ac:dyDescent="0.3">
      <c r="Y390" s="14" t="s">
        <v>1331</v>
      </c>
      <c r="Z390" s="15" t="s">
        <v>255</v>
      </c>
      <c r="AA390" s="15" t="s">
        <v>1939</v>
      </c>
      <c r="AB390" s="15"/>
      <c r="AI390" s="15" t="s">
        <v>515</v>
      </c>
      <c r="AJ390" s="15" t="s">
        <v>4462</v>
      </c>
      <c r="AK390" s="15" t="s">
        <v>3458</v>
      </c>
    </row>
    <row r="391" spans="25:37" x14ac:dyDescent="0.3">
      <c r="Y391" s="14" t="s">
        <v>246</v>
      </c>
      <c r="Z391" s="15" t="s">
        <v>603</v>
      </c>
      <c r="AA391" s="15" t="s">
        <v>1940</v>
      </c>
      <c r="AB391" s="15"/>
      <c r="AI391" s="15" t="s">
        <v>515</v>
      </c>
      <c r="AJ391" s="15" t="s">
        <v>4463</v>
      </c>
      <c r="AK391" s="15" t="s">
        <v>3459</v>
      </c>
    </row>
    <row r="392" spans="25:37" x14ac:dyDescent="0.3">
      <c r="Y392" s="14" t="s">
        <v>246</v>
      </c>
      <c r="Z392" s="15" t="s">
        <v>892</v>
      </c>
      <c r="AA392" s="15" t="s">
        <v>1941</v>
      </c>
      <c r="AB392" s="15"/>
      <c r="AI392" s="15" t="s">
        <v>535</v>
      </c>
      <c r="AJ392" s="15" t="s">
        <v>4464</v>
      </c>
      <c r="AK392" s="15" t="s">
        <v>3460</v>
      </c>
    </row>
    <row r="393" spans="25:37" x14ac:dyDescent="0.3">
      <c r="Y393" s="14" t="s">
        <v>246</v>
      </c>
      <c r="Z393" s="15" t="s">
        <v>895</v>
      </c>
      <c r="AA393" s="15" t="s">
        <v>1942</v>
      </c>
      <c r="AB393" s="15"/>
      <c r="AI393" s="19" t="s">
        <v>77</v>
      </c>
      <c r="AJ393" s="19" t="s">
        <v>4465</v>
      </c>
      <c r="AK393" s="19" t="s">
        <v>3461</v>
      </c>
    </row>
    <row r="394" spans="25:37" x14ac:dyDescent="0.3">
      <c r="Y394" s="14" t="s">
        <v>246</v>
      </c>
      <c r="Z394" s="15" t="s">
        <v>896</v>
      </c>
      <c r="AA394" s="15" t="s">
        <v>1943</v>
      </c>
      <c r="AB394" s="15"/>
      <c r="AI394" s="15" t="s">
        <v>523</v>
      </c>
      <c r="AJ394" s="15" t="s">
        <v>4466</v>
      </c>
      <c r="AK394" s="15" t="s">
        <v>3462</v>
      </c>
    </row>
    <row r="395" spans="25:37" x14ac:dyDescent="0.3">
      <c r="Y395" s="14" t="s">
        <v>246</v>
      </c>
      <c r="Z395" s="15" t="s">
        <v>897</v>
      </c>
      <c r="AA395" s="15" t="s">
        <v>1944</v>
      </c>
      <c r="AB395" s="15"/>
      <c r="AI395" s="15" t="s">
        <v>530</v>
      </c>
      <c r="AJ395" s="15" t="s">
        <v>4467</v>
      </c>
      <c r="AK395" s="15" t="s">
        <v>3463</v>
      </c>
    </row>
    <row r="396" spans="25:37" x14ac:dyDescent="0.3">
      <c r="Y396" s="14" t="s">
        <v>246</v>
      </c>
      <c r="Z396" s="15" t="s">
        <v>893</v>
      </c>
      <c r="AA396" s="15" t="s">
        <v>1945</v>
      </c>
      <c r="AB396" s="15"/>
      <c r="AI396" s="15" t="s">
        <v>536</v>
      </c>
      <c r="AJ396" s="15" t="s">
        <v>4468</v>
      </c>
      <c r="AK396" s="15" t="s">
        <v>3464</v>
      </c>
    </row>
    <row r="397" spans="25:37" x14ac:dyDescent="0.3">
      <c r="Y397" s="14" t="s">
        <v>246</v>
      </c>
      <c r="Z397" s="15" t="s">
        <v>894</v>
      </c>
      <c r="AA397" s="15" t="s">
        <v>1946</v>
      </c>
      <c r="AB397" s="15"/>
      <c r="AI397" s="15" t="s">
        <v>537</v>
      </c>
      <c r="AJ397" s="15" t="s">
        <v>4469</v>
      </c>
      <c r="AK397" s="15" t="s">
        <v>3465</v>
      </c>
    </row>
    <row r="398" spans="25:37" x14ac:dyDescent="0.3">
      <c r="Y398" s="14" t="s">
        <v>246</v>
      </c>
      <c r="Z398" s="15" t="s">
        <v>469</v>
      </c>
      <c r="AA398" s="15" t="s">
        <v>1947</v>
      </c>
      <c r="AB398" s="15"/>
      <c r="AI398" s="15" t="s">
        <v>68</v>
      </c>
      <c r="AJ398" s="15" t="s">
        <v>4470</v>
      </c>
      <c r="AK398" s="15" t="s">
        <v>3466</v>
      </c>
    </row>
    <row r="399" spans="25:37" x14ac:dyDescent="0.3">
      <c r="Y399" s="14" t="s">
        <v>231</v>
      </c>
      <c r="Z399" s="15" t="s">
        <v>607</v>
      </c>
      <c r="AA399" s="15" t="s">
        <v>1948</v>
      </c>
      <c r="AB399" s="15"/>
      <c r="AI399" s="15" t="s">
        <v>539</v>
      </c>
      <c r="AJ399" s="15" t="s">
        <v>4471</v>
      </c>
      <c r="AK399" s="15" t="s">
        <v>3467</v>
      </c>
    </row>
    <row r="400" spans="25:37" x14ac:dyDescent="0.3">
      <c r="Y400" s="14" t="s">
        <v>246</v>
      </c>
      <c r="Z400" s="15" t="s">
        <v>898</v>
      </c>
      <c r="AA400" s="15" t="s">
        <v>1949</v>
      </c>
      <c r="AB400" s="15"/>
      <c r="AI400" s="15" t="s">
        <v>540</v>
      </c>
      <c r="AJ400" s="15" t="s">
        <v>4470</v>
      </c>
      <c r="AK400" s="15" t="s">
        <v>3468</v>
      </c>
    </row>
    <row r="401" spans="25:37" x14ac:dyDescent="0.3">
      <c r="Y401" s="14" t="s">
        <v>246</v>
      </c>
      <c r="Z401" s="15" t="s">
        <v>899</v>
      </c>
      <c r="AA401" s="15" t="s">
        <v>1950</v>
      </c>
      <c r="AB401" s="15"/>
      <c r="AI401" s="15" t="s">
        <v>540</v>
      </c>
      <c r="AJ401" s="15" t="s">
        <v>4470</v>
      </c>
      <c r="AK401" s="15" t="s">
        <v>3469</v>
      </c>
    </row>
    <row r="402" spans="25:37" x14ac:dyDescent="0.3">
      <c r="Y402" s="14" t="s">
        <v>246</v>
      </c>
      <c r="Z402" s="15" t="s">
        <v>731</v>
      </c>
      <c r="AA402" s="15" t="s">
        <v>1951</v>
      </c>
      <c r="AB402" s="15"/>
      <c r="AI402" s="15" t="s">
        <v>83</v>
      </c>
      <c r="AJ402" s="15" t="s">
        <v>4472</v>
      </c>
      <c r="AK402" s="15" t="s">
        <v>3470</v>
      </c>
    </row>
    <row r="403" spans="25:37" x14ac:dyDescent="0.3">
      <c r="Y403" s="14" t="s">
        <v>246</v>
      </c>
      <c r="Z403" s="15" t="s">
        <v>730</v>
      </c>
      <c r="AA403" s="15" t="s">
        <v>1952</v>
      </c>
      <c r="AB403" s="15"/>
      <c r="AI403" s="19" t="s">
        <v>77</v>
      </c>
      <c r="AJ403" s="19" t="s">
        <v>4473</v>
      </c>
      <c r="AK403" s="19" t="s">
        <v>3471</v>
      </c>
    </row>
    <row r="404" spans="25:37" x14ac:dyDescent="0.3">
      <c r="Y404" s="14" t="s">
        <v>246</v>
      </c>
      <c r="Z404" s="15" t="s">
        <v>734</v>
      </c>
      <c r="AA404" s="15" t="s">
        <v>1953</v>
      </c>
      <c r="AB404" s="15"/>
      <c r="AI404" s="19" t="s">
        <v>65</v>
      </c>
      <c r="AJ404" s="19" t="s">
        <v>4474</v>
      </c>
      <c r="AK404" s="19" t="s">
        <v>3472</v>
      </c>
    </row>
    <row r="405" spans="25:37" x14ac:dyDescent="0.3">
      <c r="Y405" s="14" t="s">
        <v>246</v>
      </c>
      <c r="Z405" s="15" t="s">
        <v>732</v>
      </c>
      <c r="AA405" s="15" t="s">
        <v>1954</v>
      </c>
      <c r="AB405" s="15"/>
      <c r="AI405" s="19" t="s">
        <v>103</v>
      </c>
      <c r="AJ405" s="19" t="s">
        <v>4475</v>
      </c>
      <c r="AK405" s="19" t="s">
        <v>3473</v>
      </c>
    </row>
    <row r="406" spans="25:37" x14ac:dyDescent="0.3">
      <c r="Y406" s="14" t="s">
        <v>246</v>
      </c>
      <c r="Z406" s="15" t="s">
        <v>716</v>
      </c>
      <c r="AA406" s="15" t="s">
        <v>1955</v>
      </c>
      <c r="AB406" s="15"/>
      <c r="AI406" s="19" t="s">
        <v>103</v>
      </c>
      <c r="AJ406" s="19" t="s">
        <v>4476</v>
      </c>
      <c r="AK406" s="19" t="s">
        <v>3474</v>
      </c>
    </row>
    <row r="407" spans="25:37" x14ac:dyDescent="0.3">
      <c r="Y407" s="14" t="s">
        <v>246</v>
      </c>
      <c r="Z407" s="15" t="s">
        <v>717</v>
      </c>
      <c r="AA407" s="15" t="s">
        <v>1956</v>
      </c>
      <c r="AB407" s="15"/>
      <c r="AI407" s="19" t="s">
        <v>67</v>
      </c>
      <c r="AJ407" s="19" t="s">
        <v>4477</v>
      </c>
      <c r="AK407" s="19" t="s">
        <v>3475</v>
      </c>
    </row>
    <row r="408" spans="25:37" x14ac:dyDescent="0.3">
      <c r="Y408" s="14" t="s">
        <v>246</v>
      </c>
      <c r="Z408" s="15" t="s">
        <v>718</v>
      </c>
      <c r="AA408" s="15" t="s">
        <v>1957</v>
      </c>
      <c r="AB408" s="15"/>
      <c r="AI408" s="19" t="s">
        <v>67</v>
      </c>
      <c r="AJ408" s="19" t="s">
        <v>4478</v>
      </c>
      <c r="AK408" s="19" t="s">
        <v>3476</v>
      </c>
    </row>
    <row r="409" spans="25:37" x14ac:dyDescent="0.3">
      <c r="Y409" s="14" t="s">
        <v>246</v>
      </c>
      <c r="Z409" s="15" t="s">
        <v>710</v>
      </c>
      <c r="AA409" s="15" t="s">
        <v>1958</v>
      </c>
      <c r="AB409" s="15"/>
      <c r="AI409" s="19" t="s">
        <v>67</v>
      </c>
      <c r="AJ409" s="19" t="s">
        <v>4479</v>
      </c>
      <c r="AK409" s="19" t="s">
        <v>3477</v>
      </c>
    </row>
    <row r="410" spans="25:37" x14ac:dyDescent="0.3">
      <c r="Y410" s="14" t="s">
        <v>246</v>
      </c>
      <c r="Z410" s="15" t="s">
        <v>670</v>
      </c>
      <c r="AA410" s="15" t="s">
        <v>1959</v>
      </c>
      <c r="AB410" s="15"/>
      <c r="AI410" s="15" t="s">
        <v>225</v>
      </c>
      <c r="AJ410" s="15" t="s">
        <v>4480</v>
      </c>
      <c r="AK410" s="15" t="s">
        <v>3478</v>
      </c>
    </row>
    <row r="411" spans="25:37" x14ac:dyDescent="0.3">
      <c r="Y411" s="14" t="s">
        <v>231</v>
      </c>
      <c r="Z411" s="15" t="s">
        <v>573</v>
      </c>
      <c r="AA411" s="15" t="s">
        <v>1960</v>
      </c>
      <c r="AB411" s="15"/>
      <c r="AI411" s="15" t="s">
        <v>242</v>
      </c>
      <c r="AJ411" s="15" t="s">
        <v>4481</v>
      </c>
      <c r="AK411" s="15" t="s">
        <v>3479</v>
      </c>
    </row>
    <row r="412" spans="25:37" x14ac:dyDescent="0.3">
      <c r="Y412" s="14" t="s">
        <v>246</v>
      </c>
      <c r="Z412" s="15" t="s">
        <v>669</v>
      </c>
      <c r="AA412" s="15" t="s">
        <v>1961</v>
      </c>
      <c r="AB412" s="15"/>
      <c r="AI412" s="15" t="s">
        <v>1166</v>
      </c>
      <c r="AJ412" s="15" t="s">
        <v>4482</v>
      </c>
      <c r="AK412" s="15" t="s">
        <v>3480</v>
      </c>
    </row>
    <row r="413" spans="25:37" x14ac:dyDescent="0.3">
      <c r="Y413" s="14" t="s">
        <v>246</v>
      </c>
      <c r="Z413" s="15" t="s">
        <v>665</v>
      </c>
      <c r="AA413" s="15" t="s">
        <v>1962</v>
      </c>
      <c r="AB413" s="15"/>
      <c r="AI413" s="19" t="s">
        <v>103</v>
      </c>
      <c r="AJ413" s="19" t="s">
        <v>4483</v>
      </c>
      <c r="AK413" s="19" t="s">
        <v>3481</v>
      </c>
    </row>
    <row r="414" spans="25:37" x14ac:dyDescent="0.3">
      <c r="Y414" s="14" t="s">
        <v>232</v>
      </c>
      <c r="Z414" s="15" t="s">
        <v>557</v>
      </c>
      <c r="AA414" s="15" t="s">
        <v>1963</v>
      </c>
      <c r="AB414" s="15"/>
      <c r="AI414" s="15" t="s">
        <v>242</v>
      </c>
      <c r="AJ414" s="15" t="s">
        <v>4484</v>
      </c>
      <c r="AK414" s="15" t="s">
        <v>3482</v>
      </c>
    </row>
    <row r="415" spans="25:37" x14ac:dyDescent="0.3">
      <c r="Y415" s="14" t="s">
        <v>247</v>
      </c>
      <c r="Z415" s="15" t="s">
        <v>265</v>
      </c>
      <c r="AA415" s="15" t="s">
        <v>1964</v>
      </c>
      <c r="AB415" s="15"/>
      <c r="AI415" s="15" t="s">
        <v>540</v>
      </c>
      <c r="AJ415" s="15" t="s">
        <v>4485</v>
      </c>
      <c r="AK415" s="15" t="s">
        <v>3483</v>
      </c>
    </row>
    <row r="416" spans="25:37" x14ac:dyDescent="0.3">
      <c r="Y416" s="14" t="s">
        <v>246</v>
      </c>
      <c r="Z416" s="15" t="s">
        <v>480</v>
      </c>
      <c r="AA416" s="15" t="s">
        <v>1965</v>
      </c>
      <c r="AB416" s="15"/>
      <c r="AI416" s="15" t="s">
        <v>463</v>
      </c>
      <c r="AJ416" s="15" t="s">
        <v>4486</v>
      </c>
      <c r="AK416" s="15" t="s">
        <v>3484</v>
      </c>
    </row>
    <row r="417" spans="25:37" x14ac:dyDescent="0.3">
      <c r="Y417" s="14" t="s">
        <v>246</v>
      </c>
      <c r="Z417" s="15" t="s">
        <v>472</v>
      </c>
      <c r="AA417" s="15" t="s">
        <v>1966</v>
      </c>
      <c r="AB417" s="15"/>
      <c r="AI417" s="15" t="s">
        <v>1167</v>
      </c>
      <c r="AJ417" s="15" t="s">
        <v>4487</v>
      </c>
      <c r="AK417" s="15" t="s">
        <v>3485</v>
      </c>
    </row>
    <row r="418" spans="25:37" x14ac:dyDescent="0.3">
      <c r="Y418" s="14" t="s">
        <v>246</v>
      </c>
      <c r="Z418" s="15" t="s">
        <v>566</v>
      </c>
      <c r="AA418" s="15" t="s">
        <v>1968</v>
      </c>
      <c r="AB418" s="15"/>
      <c r="AI418" s="15" t="s">
        <v>75</v>
      </c>
      <c r="AJ418" s="15" t="s">
        <v>4488</v>
      </c>
      <c r="AK418" s="15" t="s">
        <v>3486</v>
      </c>
    </row>
    <row r="419" spans="25:37" x14ac:dyDescent="0.3">
      <c r="Y419" s="14" t="s">
        <v>246</v>
      </c>
      <c r="Z419" s="15" t="s">
        <v>481</v>
      </c>
      <c r="AA419" s="15" t="s">
        <v>1969</v>
      </c>
      <c r="AB419" s="15"/>
      <c r="AI419" s="15" t="s">
        <v>1106</v>
      </c>
      <c r="AJ419" s="15" t="s">
        <v>4489</v>
      </c>
      <c r="AK419" s="15" t="s">
        <v>3487</v>
      </c>
    </row>
    <row r="420" spans="25:37" x14ac:dyDescent="0.3">
      <c r="Y420" s="14" t="s">
        <v>246</v>
      </c>
      <c r="Z420" s="15" t="s">
        <v>479</v>
      </c>
      <c r="AA420" s="15" t="s">
        <v>1970</v>
      </c>
      <c r="AB420" s="15"/>
      <c r="AI420" s="15" t="s">
        <v>1168</v>
      </c>
      <c r="AJ420" s="15" t="s">
        <v>4490</v>
      </c>
      <c r="AK420" s="15" t="s">
        <v>3488</v>
      </c>
    </row>
    <row r="421" spans="25:37" x14ac:dyDescent="0.3">
      <c r="Y421" s="14" t="s">
        <v>246</v>
      </c>
      <c r="Z421" s="15" t="s">
        <v>258</v>
      </c>
      <c r="AA421" s="15" t="s">
        <v>1971</v>
      </c>
      <c r="AB421" s="15"/>
      <c r="AI421" s="19" t="s">
        <v>77</v>
      </c>
      <c r="AJ421" s="19" t="s">
        <v>4491</v>
      </c>
      <c r="AK421" s="19" t="s">
        <v>3489</v>
      </c>
    </row>
    <row r="422" spans="25:37" x14ac:dyDescent="0.3">
      <c r="Y422" s="14" t="s">
        <v>246</v>
      </c>
      <c r="Z422" s="15" t="s">
        <v>468</v>
      </c>
      <c r="AA422" s="15" t="s">
        <v>1972</v>
      </c>
      <c r="AB422" s="15"/>
      <c r="AI422" s="15" t="s">
        <v>83</v>
      </c>
      <c r="AJ422" s="15" t="s">
        <v>4492</v>
      </c>
      <c r="AK422" s="15" t="s">
        <v>3490</v>
      </c>
    </row>
    <row r="423" spans="25:37" x14ac:dyDescent="0.3">
      <c r="Y423" s="14" t="s">
        <v>246</v>
      </c>
      <c r="Z423" s="15" t="s">
        <v>256</v>
      </c>
      <c r="AA423" s="15" t="s">
        <v>1973</v>
      </c>
      <c r="AB423" s="15"/>
      <c r="AI423" s="19" t="s">
        <v>65</v>
      </c>
      <c r="AJ423" s="19" t="s">
        <v>4493</v>
      </c>
      <c r="AK423" s="19" t="s">
        <v>3491</v>
      </c>
    </row>
    <row r="424" spans="25:37" x14ac:dyDescent="0.3">
      <c r="Y424" s="14" t="s">
        <v>246</v>
      </c>
      <c r="Z424" s="15" t="s">
        <v>1175</v>
      </c>
      <c r="AA424" s="15" t="s">
        <v>1974</v>
      </c>
      <c r="AB424" s="15"/>
      <c r="AI424" s="15" t="s">
        <v>83</v>
      </c>
      <c r="AJ424" s="15" t="s">
        <v>4494</v>
      </c>
      <c r="AK424" s="15" t="s">
        <v>3492</v>
      </c>
    </row>
    <row r="425" spans="25:37" x14ac:dyDescent="0.3">
      <c r="Y425" s="14" t="s">
        <v>246</v>
      </c>
      <c r="Z425" s="15" t="s">
        <v>1145</v>
      </c>
      <c r="AA425" s="15" t="s">
        <v>1975</v>
      </c>
      <c r="AB425" s="15"/>
      <c r="AI425" s="15" t="s">
        <v>1057</v>
      </c>
      <c r="AJ425" s="15" t="s">
        <v>4495</v>
      </c>
      <c r="AK425" s="15" t="s">
        <v>3493</v>
      </c>
    </row>
    <row r="426" spans="25:37" x14ac:dyDescent="0.3">
      <c r="Y426" s="14" t="s">
        <v>246</v>
      </c>
      <c r="Z426" s="15" t="s">
        <v>1132</v>
      </c>
      <c r="AA426" s="15" t="s">
        <v>1976</v>
      </c>
      <c r="AB426" s="15"/>
      <c r="AI426" s="15" t="s">
        <v>223</v>
      </c>
      <c r="AJ426" s="15" t="s">
        <v>223</v>
      </c>
      <c r="AK426" s="15" t="s">
        <v>3494</v>
      </c>
    </row>
    <row r="427" spans="25:37" x14ac:dyDescent="0.3">
      <c r="Y427" s="14" t="s">
        <v>246</v>
      </c>
      <c r="Z427" s="15" t="s">
        <v>1131</v>
      </c>
      <c r="AA427" s="15" t="s">
        <v>1977</v>
      </c>
      <c r="AB427" s="15"/>
      <c r="AI427" s="15" t="s">
        <v>88</v>
      </c>
      <c r="AJ427" s="15" t="s">
        <v>4496</v>
      </c>
      <c r="AK427" s="15" t="s">
        <v>3495</v>
      </c>
    </row>
    <row r="428" spans="25:37" x14ac:dyDescent="0.3">
      <c r="Y428" s="14" t="s">
        <v>246</v>
      </c>
      <c r="Z428" s="15" t="s">
        <v>1103</v>
      </c>
      <c r="AA428" s="15" t="s">
        <v>1978</v>
      </c>
      <c r="AB428" s="15"/>
      <c r="AI428" s="19" t="s">
        <v>70</v>
      </c>
      <c r="AJ428" s="19" t="s">
        <v>4497</v>
      </c>
      <c r="AK428" s="19" t="s">
        <v>3496</v>
      </c>
    </row>
    <row r="429" spans="25:37" x14ac:dyDescent="0.3">
      <c r="Y429" s="14" t="s">
        <v>246</v>
      </c>
      <c r="Z429" s="15" t="s">
        <v>1117</v>
      </c>
      <c r="AA429" s="15" t="s">
        <v>1979</v>
      </c>
      <c r="AB429" s="15"/>
      <c r="AI429" s="15" t="s">
        <v>1341</v>
      </c>
      <c r="AJ429" s="15" t="s">
        <v>4498</v>
      </c>
      <c r="AK429" s="15" t="s">
        <v>3497</v>
      </c>
    </row>
    <row r="430" spans="25:37" x14ac:dyDescent="0.3">
      <c r="Y430" s="14" t="s">
        <v>246</v>
      </c>
      <c r="Z430" s="15" t="s">
        <v>1118</v>
      </c>
      <c r="AA430" s="15" t="s">
        <v>1980</v>
      </c>
      <c r="AB430" s="15"/>
      <c r="AI430" s="19" t="s">
        <v>103</v>
      </c>
      <c r="AJ430" s="19" t="s">
        <v>4499</v>
      </c>
      <c r="AK430" s="19" t="s">
        <v>3498</v>
      </c>
    </row>
    <row r="431" spans="25:37" x14ac:dyDescent="0.3">
      <c r="Y431" s="14" t="s">
        <v>1376</v>
      </c>
      <c r="Z431" s="15" t="s">
        <v>1524</v>
      </c>
      <c r="AA431" s="15" t="s">
        <v>1981</v>
      </c>
      <c r="AB431" s="15"/>
      <c r="AI431" s="15" t="s">
        <v>227</v>
      </c>
      <c r="AJ431" s="15" t="s">
        <v>4500</v>
      </c>
      <c r="AK431" s="15" t="s">
        <v>3499</v>
      </c>
    </row>
    <row r="432" spans="25:37" x14ac:dyDescent="0.3">
      <c r="Y432" s="14" t="s">
        <v>118</v>
      </c>
      <c r="Z432" s="15" t="s">
        <v>1261</v>
      </c>
      <c r="AA432" s="15" t="s">
        <v>1982</v>
      </c>
      <c r="AB432" s="15"/>
      <c r="AI432" s="19" t="s">
        <v>227</v>
      </c>
      <c r="AJ432" s="19" t="s">
        <v>4501</v>
      </c>
      <c r="AK432" s="19" t="s">
        <v>3500</v>
      </c>
    </row>
    <row r="433" spans="25:37" x14ac:dyDescent="0.3">
      <c r="Y433" s="14" t="s">
        <v>118</v>
      </c>
      <c r="Z433" s="15" t="s">
        <v>1073</v>
      </c>
      <c r="AA433" s="15" t="s">
        <v>1983</v>
      </c>
      <c r="AB433" s="15"/>
      <c r="AI433" s="19" t="s">
        <v>227</v>
      </c>
      <c r="AJ433" s="19" t="s">
        <v>4502</v>
      </c>
      <c r="AK433" s="19" t="s">
        <v>3501</v>
      </c>
    </row>
    <row r="434" spans="25:37" x14ac:dyDescent="0.3">
      <c r="Y434" s="14" t="s">
        <v>29</v>
      </c>
      <c r="Z434" s="15" t="s">
        <v>1209</v>
      </c>
      <c r="AA434" s="15" t="s">
        <v>1984</v>
      </c>
      <c r="AB434" s="15"/>
      <c r="AI434" s="19" t="s">
        <v>227</v>
      </c>
      <c r="AJ434" s="19" t="s">
        <v>4503</v>
      </c>
      <c r="AK434" s="19" t="s">
        <v>3502</v>
      </c>
    </row>
    <row r="435" spans="25:37" x14ac:dyDescent="0.3">
      <c r="Y435" s="14" t="s">
        <v>112</v>
      </c>
      <c r="Z435" s="15" t="s">
        <v>1201</v>
      </c>
      <c r="AA435" s="15" t="s">
        <v>1985</v>
      </c>
      <c r="AB435" s="15"/>
      <c r="AI435" s="19" t="s">
        <v>227</v>
      </c>
      <c r="AJ435" s="19" t="s">
        <v>4504</v>
      </c>
      <c r="AK435" s="19" t="s">
        <v>3503</v>
      </c>
    </row>
    <row r="436" spans="25:37" x14ac:dyDescent="0.3">
      <c r="Y436" s="14" t="s">
        <v>118</v>
      </c>
      <c r="Z436" s="15" t="s">
        <v>1171</v>
      </c>
      <c r="AA436" s="15" t="s">
        <v>1986</v>
      </c>
      <c r="AB436" s="15"/>
      <c r="AI436" s="15" t="s">
        <v>1262</v>
      </c>
      <c r="AJ436" s="15" t="s">
        <v>4505</v>
      </c>
      <c r="AK436" s="15" t="s">
        <v>3504</v>
      </c>
    </row>
    <row r="437" spans="25:37" x14ac:dyDescent="0.3">
      <c r="Y437" s="14" t="s">
        <v>118</v>
      </c>
      <c r="Z437" s="15" t="s">
        <v>1072</v>
      </c>
      <c r="AA437" s="15" t="s">
        <v>1987</v>
      </c>
      <c r="AB437" s="15"/>
      <c r="AI437" s="15" t="s">
        <v>1262</v>
      </c>
      <c r="AJ437" s="15" t="s">
        <v>4506</v>
      </c>
      <c r="AK437" s="15" t="s">
        <v>3505</v>
      </c>
    </row>
    <row r="438" spans="25:37" x14ac:dyDescent="0.3">
      <c r="Y438" s="14" t="s">
        <v>1365</v>
      </c>
      <c r="Z438" s="15" t="s">
        <v>470</v>
      </c>
      <c r="AA438" s="15" t="s">
        <v>1988</v>
      </c>
      <c r="AB438" s="15"/>
      <c r="AI438" s="15" t="s">
        <v>225</v>
      </c>
      <c r="AJ438" s="15" t="s">
        <v>4507</v>
      </c>
      <c r="AK438" s="15" t="s">
        <v>3506</v>
      </c>
    </row>
    <row r="439" spans="25:37" x14ac:dyDescent="0.3">
      <c r="Y439" s="14" t="s">
        <v>10</v>
      </c>
      <c r="Z439" s="15" t="s">
        <v>580</v>
      </c>
      <c r="AA439" s="15" t="s">
        <v>1989</v>
      </c>
      <c r="AB439" s="15"/>
      <c r="AI439" s="15" t="s">
        <v>225</v>
      </c>
      <c r="AJ439" s="15" t="s">
        <v>4508</v>
      </c>
      <c r="AK439" s="15" t="s">
        <v>3507</v>
      </c>
    </row>
    <row r="440" spans="25:37" x14ac:dyDescent="0.3">
      <c r="Y440" s="14" t="s">
        <v>29</v>
      </c>
      <c r="Z440" s="15" t="s">
        <v>618</v>
      </c>
      <c r="AA440" s="15" t="s">
        <v>1990</v>
      </c>
      <c r="AB440" s="15"/>
      <c r="AI440" s="15" t="s">
        <v>225</v>
      </c>
      <c r="AJ440" s="15" t="s">
        <v>4509</v>
      </c>
      <c r="AK440" s="15" t="s">
        <v>3508</v>
      </c>
    </row>
    <row r="441" spans="25:37" x14ac:dyDescent="0.3">
      <c r="Y441" s="14" t="s">
        <v>231</v>
      </c>
      <c r="Z441" s="15" t="s">
        <v>611</v>
      </c>
      <c r="AA441" s="15" t="s">
        <v>1991</v>
      </c>
      <c r="AB441" s="15"/>
      <c r="AI441" s="15" t="s">
        <v>81</v>
      </c>
      <c r="AJ441" s="15" t="s">
        <v>4510</v>
      </c>
      <c r="AK441" s="15" t="s">
        <v>3509</v>
      </c>
    </row>
    <row r="442" spans="25:37" x14ac:dyDescent="0.3">
      <c r="Y442" s="14" t="s">
        <v>249</v>
      </c>
      <c r="Z442" s="15" t="s">
        <v>619</v>
      </c>
      <c r="AA442" s="15" t="s">
        <v>1992</v>
      </c>
      <c r="AB442" s="15"/>
      <c r="AI442" s="19" t="s">
        <v>77</v>
      </c>
      <c r="AJ442" s="19" t="s">
        <v>4511</v>
      </c>
      <c r="AK442" s="19" t="s">
        <v>3510</v>
      </c>
    </row>
    <row r="443" spans="25:37" x14ac:dyDescent="0.3">
      <c r="Y443" s="14" t="s">
        <v>230</v>
      </c>
      <c r="Z443" s="15" t="s">
        <v>620</v>
      </c>
      <c r="AA443" s="15" t="s">
        <v>1993</v>
      </c>
      <c r="AB443" s="15"/>
      <c r="AI443" s="19" t="s">
        <v>77</v>
      </c>
      <c r="AJ443" s="19" t="s">
        <v>4512</v>
      </c>
      <c r="AK443" s="19" t="s">
        <v>3511</v>
      </c>
    </row>
    <row r="444" spans="25:37" x14ac:dyDescent="0.3">
      <c r="Y444" s="14" t="s">
        <v>231</v>
      </c>
      <c r="Z444" s="15" t="s">
        <v>612</v>
      </c>
      <c r="AA444" s="15" t="s">
        <v>1994</v>
      </c>
      <c r="AB444" s="15"/>
      <c r="AI444" s="19" t="s">
        <v>64</v>
      </c>
      <c r="AJ444" s="19" t="s">
        <v>4513</v>
      </c>
      <c r="AK444" s="19" t="s">
        <v>3512</v>
      </c>
    </row>
    <row r="445" spans="25:37" x14ac:dyDescent="0.3">
      <c r="Y445" s="14" t="s">
        <v>231</v>
      </c>
      <c r="Z445" s="15" t="s">
        <v>613</v>
      </c>
      <c r="AA445" s="15" t="s">
        <v>1995</v>
      </c>
      <c r="AB445" s="15"/>
      <c r="AI445" s="15" t="s">
        <v>88</v>
      </c>
      <c r="AJ445" s="15" t="s">
        <v>4514</v>
      </c>
      <c r="AK445" s="15" t="s">
        <v>3513</v>
      </c>
    </row>
    <row r="446" spans="25:37" x14ac:dyDescent="0.3">
      <c r="Y446" s="14" t="s">
        <v>231</v>
      </c>
      <c r="Z446" s="15" t="s">
        <v>614</v>
      </c>
      <c r="AA446" s="15" t="s">
        <v>1996</v>
      </c>
      <c r="AB446" s="15"/>
      <c r="AI446" s="15" t="s">
        <v>85</v>
      </c>
      <c r="AJ446" s="15" t="s">
        <v>4515</v>
      </c>
      <c r="AK446" s="15" t="s">
        <v>3514</v>
      </c>
    </row>
    <row r="447" spans="25:37" x14ac:dyDescent="0.3">
      <c r="Y447" s="14" t="s">
        <v>231</v>
      </c>
      <c r="Z447" s="15" t="s">
        <v>621</v>
      </c>
      <c r="AA447" s="15" t="s">
        <v>1997</v>
      </c>
      <c r="AB447" s="15"/>
      <c r="AI447" s="15" t="s">
        <v>74</v>
      </c>
      <c r="AJ447" s="15" t="s">
        <v>4516</v>
      </c>
      <c r="AK447" s="15" t="s">
        <v>3515</v>
      </c>
    </row>
    <row r="448" spans="25:37" x14ac:dyDescent="0.3">
      <c r="Y448" s="14" t="s">
        <v>249</v>
      </c>
      <c r="Z448" s="15" t="s">
        <v>626</v>
      </c>
      <c r="AA448" s="15" t="s">
        <v>1998</v>
      </c>
      <c r="AB448" s="15"/>
      <c r="AI448" s="15" t="s">
        <v>73</v>
      </c>
      <c r="AJ448" s="15" t="s">
        <v>4517</v>
      </c>
      <c r="AK448" s="15" t="s">
        <v>3516</v>
      </c>
    </row>
    <row r="449" spans="25:37" x14ac:dyDescent="0.3">
      <c r="Y449" s="14" t="s">
        <v>231</v>
      </c>
      <c r="Z449" s="15" t="s">
        <v>622</v>
      </c>
      <c r="AA449" s="15" t="s">
        <v>1999</v>
      </c>
      <c r="AB449" s="15"/>
      <c r="AI449" s="19" t="s">
        <v>69</v>
      </c>
      <c r="AJ449" s="19" t="s">
        <v>4518</v>
      </c>
      <c r="AK449" s="19" t="s">
        <v>3517</v>
      </c>
    </row>
    <row r="450" spans="25:37" x14ac:dyDescent="0.3">
      <c r="Y450" s="14" t="s">
        <v>231</v>
      </c>
      <c r="Z450" s="15" t="s">
        <v>583</v>
      </c>
      <c r="AA450" s="15" t="s">
        <v>2000</v>
      </c>
      <c r="AB450" s="15"/>
      <c r="AI450" s="15" t="s">
        <v>1219</v>
      </c>
      <c r="AJ450" s="15" t="s">
        <v>4519</v>
      </c>
      <c r="AK450" s="15" t="s">
        <v>3518</v>
      </c>
    </row>
    <row r="451" spans="25:37" x14ac:dyDescent="0.3">
      <c r="Y451" s="14" t="s">
        <v>231</v>
      </c>
      <c r="Z451" s="15" t="s">
        <v>623</v>
      </c>
      <c r="AA451" s="15" t="s">
        <v>2001</v>
      </c>
      <c r="AB451" s="15"/>
      <c r="AI451" s="15" t="s">
        <v>1219</v>
      </c>
      <c r="AJ451" s="15" t="s">
        <v>4520</v>
      </c>
      <c r="AK451" s="15" t="s">
        <v>3519</v>
      </c>
    </row>
    <row r="452" spans="25:37" x14ac:dyDescent="0.3">
      <c r="Y452" s="14" t="s">
        <v>231</v>
      </c>
      <c r="Z452" s="15" t="s">
        <v>615</v>
      </c>
      <c r="AA452" s="15" t="s">
        <v>2002</v>
      </c>
      <c r="AB452" s="15"/>
      <c r="AI452" s="15" t="s">
        <v>224</v>
      </c>
      <c r="AJ452" s="15" t="s">
        <v>4521</v>
      </c>
      <c r="AK452" s="15" t="s">
        <v>3520</v>
      </c>
    </row>
    <row r="453" spans="25:37" x14ac:dyDescent="0.3">
      <c r="Y453" s="14" t="s">
        <v>231</v>
      </c>
      <c r="Z453" s="15" t="s">
        <v>624</v>
      </c>
      <c r="AA453" s="15" t="s">
        <v>2003</v>
      </c>
      <c r="AB453" s="15"/>
      <c r="AI453" s="15" t="s">
        <v>224</v>
      </c>
      <c r="AJ453" s="15" t="s">
        <v>4522</v>
      </c>
      <c r="AK453" s="15" t="s">
        <v>3521</v>
      </c>
    </row>
    <row r="454" spans="25:37" x14ac:dyDescent="0.3">
      <c r="Y454" s="14" t="s">
        <v>249</v>
      </c>
      <c r="Z454" s="15" t="s">
        <v>625</v>
      </c>
      <c r="AA454" s="15" t="s">
        <v>2004</v>
      </c>
      <c r="AB454" s="15"/>
      <c r="AI454" s="15" t="s">
        <v>1219</v>
      </c>
      <c r="AJ454" s="15" t="s">
        <v>4523</v>
      </c>
      <c r="AK454" s="15" t="s">
        <v>3522</v>
      </c>
    </row>
    <row r="455" spans="25:37" x14ac:dyDescent="0.3">
      <c r="Y455" s="14" t="s">
        <v>231</v>
      </c>
      <c r="Z455" s="15" t="s">
        <v>627</v>
      </c>
      <c r="AA455" s="15" t="s">
        <v>2005</v>
      </c>
      <c r="AB455" s="15"/>
      <c r="AI455" s="15" t="s">
        <v>75</v>
      </c>
      <c r="AJ455" s="15" t="s">
        <v>4524</v>
      </c>
      <c r="AK455" s="15" t="s">
        <v>3523</v>
      </c>
    </row>
    <row r="456" spans="25:37" x14ac:dyDescent="0.3">
      <c r="Y456" s="14" t="s">
        <v>230</v>
      </c>
      <c r="Z456" s="15" t="s">
        <v>628</v>
      </c>
      <c r="AA456" s="15" t="s">
        <v>2006</v>
      </c>
      <c r="AB456" s="15"/>
      <c r="AI456" s="15" t="s">
        <v>68</v>
      </c>
      <c r="AJ456" s="15" t="s">
        <v>4525</v>
      </c>
      <c r="AK456" s="15" t="s">
        <v>3524</v>
      </c>
    </row>
    <row r="457" spans="25:37" x14ac:dyDescent="0.3">
      <c r="Y457" s="14" t="s">
        <v>230</v>
      </c>
      <c r="Z457" s="15" t="s">
        <v>616</v>
      </c>
      <c r="AA457" s="15" t="s">
        <v>2007</v>
      </c>
      <c r="AB457" s="15"/>
      <c r="AI457" s="15" t="s">
        <v>224</v>
      </c>
      <c r="AJ457" s="15" t="s">
        <v>4526</v>
      </c>
      <c r="AK457" s="15" t="s">
        <v>3525</v>
      </c>
    </row>
    <row r="458" spans="25:37" x14ac:dyDescent="0.3">
      <c r="Y458" s="14" t="s">
        <v>231</v>
      </c>
      <c r="Z458" s="15" t="s">
        <v>617</v>
      </c>
      <c r="AA458" s="15" t="s">
        <v>2008</v>
      </c>
      <c r="AB458" s="15"/>
      <c r="AI458" s="15" t="s">
        <v>1219</v>
      </c>
      <c r="AJ458" s="15" t="s">
        <v>4527</v>
      </c>
      <c r="AK458" s="15" t="s">
        <v>3526</v>
      </c>
    </row>
    <row r="459" spans="25:37" x14ac:dyDescent="0.3">
      <c r="Y459" s="14" t="s">
        <v>232</v>
      </c>
      <c r="Z459" s="15" t="s">
        <v>584</v>
      </c>
      <c r="AA459" s="15" t="s">
        <v>2009</v>
      </c>
      <c r="AB459" s="15"/>
      <c r="AI459" s="15" t="s">
        <v>1219</v>
      </c>
      <c r="AJ459" s="15" t="s">
        <v>4528</v>
      </c>
      <c r="AK459" s="15" t="s">
        <v>3527</v>
      </c>
    </row>
    <row r="460" spans="25:37" x14ac:dyDescent="0.3">
      <c r="Y460" s="14" t="s">
        <v>232</v>
      </c>
      <c r="Z460" s="15" t="s">
        <v>586</v>
      </c>
      <c r="AA460" s="15" t="s">
        <v>2010</v>
      </c>
      <c r="AB460" s="15"/>
      <c r="AI460" s="15" t="s">
        <v>66</v>
      </c>
      <c r="AJ460" s="15" t="s">
        <v>4529</v>
      </c>
      <c r="AK460" s="15" t="s">
        <v>3528</v>
      </c>
    </row>
    <row r="461" spans="25:37" x14ac:dyDescent="0.3">
      <c r="Y461" s="14" t="s">
        <v>247</v>
      </c>
      <c r="Z461" s="15" t="s">
        <v>596</v>
      </c>
      <c r="AA461" s="15" t="s">
        <v>2011</v>
      </c>
      <c r="AB461" s="15"/>
      <c r="AI461" s="15" t="s">
        <v>76</v>
      </c>
      <c r="AJ461" s="15" t="s">
        <v>4530</v>
      </c>
      <c r="AK461" s="15" t="s">
        <v>3529</v>
      </c>
    </row>
    <row r="462" spans="25:37" x14ac:dyDescent="0.3">
      <c r="Y462" s="14" t="s">
        <v>232</v>
      </c>
      <c r="Z462" s="15" t="s">
        <v>629</v>
      </c>
      <c r="AA462" s="15" t="s">
        <v>2012</v>
      </c>
      <c r="AB462" s="15"/>
      <c r="AI462" s="19" t="s">
        <v>78</v>
      </c>
      <c r="AJ462" s="19" t="s">
        <v>4531</v>
      </c>
      <c r="AK462" s="19" t="s">
        <v>3530</v>
      </c>
    </row>
    <row r="463" spans="25:37" x14ac:dyDescent="0.3">
      <c r="Y463" s="14" t="s">
        <v>14</v>
      </c>
      <c r="Z463" s="15" t="s">
        <v>1526</v>
      </c>
      <c r="AA463" s="15" t="s">
        <v>2013</v>
      </c>
      <c r="AB463" s="15"/>
      <c r="AI463" s="19" t="s">
        <v>65</v>
      </c>
      <c r="AJ463" s="19" t="s">
        <v>4532</v>
      </c>
      <c r="AK463" s="19" t="s">
        <v>3531</v>
      </c>
    </row>
    <row r="464" spans="25:37" x14ac:dyDescent="0.3">
      <c r="Y464" s="14" t="s">
        <v>1048</v>
      </c>
      <c r="Z464" s="15" t="s">
        <v>1054</v>
      </c>
      <c r="AA464" s="15" t="s">
        <v>2014</v>
      </c>
      <c r="AB464" s="15"/>
      <c r="AI464" s="19" t="s">
        <v>67</v>
      </c>
      <c r="AJ464" s="19" t="s">
        <v>4533</v>
      </c>
      <c r="AK464" s="19" t="s">
        <v>3532</v>
      </c>
    </row>
    <row r="465" spans="25:37" x14ac:dyDescent="0.3">
      <c r="Y465" s="14" t="s">
        <v>1048</v>
      </c>
      <c r="Z465" s="15" t="s">
        <v>1046</v>
      </c>
      <c r="AA465" s="15" t="s">
        <v>2017</v>
      </c>
      <c r="AB465" s="15"/>
      <c r="AI465" s="19" t="s">
        <v>110</v>
      </c>
      <c r="AJ465" s="19" t="s">
        <v>4534</v>
      </c>
      <c r="AK465" s="19" t="s">
        <v>3533</v>
      </c>
    </row>
    <row r="466" spans="25:37" x14ac:dyDescent="0.3">
      <c r="Y466" s="14" t="s">
        <v>1331</v>
      </c>
      <c r="Z466" s="15" t="s">
        <v>1060</v>
      </c>
      <c r="AA466" s="15" t="s">
        <v>2018</v>
      </c>
      <c r="AB466" s="15"/>
      <c r="AI466" s="15" t="s">
        <v>106</v>
      </c>
      <c r="AJ466" s="15" t="s">
        <v>4535</v>
      </c>
      <c r="AK466" s="15" t="s">
        <v>3534</v>
      </c>
    </row>
    <row r="467" spans="25:37" x14ac:dyDescent="0.3">
      <c r="Y467" s="14" t="s">
        <v>1048</v>
      </c>
      <c r="Z467" s="15" t="s">
        <v>1523</v>
      </c>
      <c r="AA467" s="15" t="s">
        <v>2019</v>
      </c>
      <c r="AB467" s="15"/>
      <c r="AI467" s="15" t="s">
        <v>109</v>
      </c>
      <c r="AJ467" s="15" t="s">
        <v>4536</v>
      </c>
      <c r="AK467" s="15" t="s">
        <v>3535</v>
      </c>
    </row>
    <row r="468" spans="25:37" x14ac:dyDescent="0.3">
      <c r="Y468" s="19" t="s">
        <v>11</v>
      </c>
      <c r="Z468" s="19" t="s">
        <v>448</v>
      </c>
      <c r="AA468" s="19" t="s">
        <v>2020</v>
      </c>
      <c r="AB468" s="15"/>
      <c r="AI468" s="15" t="s">
        <v>75</v>
      </c>
      <c r="AJ468" s="15" t="s">
        <v>4537</v>
      </c>
      <c r="AK468" s="15" t="s">
        <v>3536</v>
      </c>
    </row>
    <row r="469" spans="25:37" x14ac:dyDescent="0.3">
      <c r="Y469" s="19" t="s">
        <v>11</v>
      </c>
      <c r="Z469" s="19" t="s">
        <v>263</v>
      </c>
      <c r="AA469" s="19" t="s">
        <v>2021</v>
      </c>
      <c r="AB469" s="15"/>
      <c r="AI469" s="15" t="s">
        <v>105</v>
      </c>
      <c r="AJ469" s="15" t="s">
        <v>4538</v>
      </c>
      <c r="AK469" s="15" t="s">
        <v>3537</v>
      </c>
    </row>
    <row r="470" spans="25:37" x14ac:dyDescent="0.3">
      <c r="Y470" s="19" t="s">
        <v>11</v>
      </c>
      <c r="Z470" s="19" t="s">
        <v>449</v>
      </c>
      <c r="AA470" s="19" t="s">
        <v>2022</v>
      </c>
      <c r="AB470" s="15"/>
      <c r="AI470" s="15" t="s">
        <v>105</v>
      </c>
      <c r="AJ470" s="15" t="s">
        <v>4539</v>
      </c>
      <c r="AK470" s="15" t="s">
        <v>3538</v>
      </c>
    </row>
    <row r="471" spans="25:37" x14ac:dyDescent="0.3">
      <c r="Y471" s="19" t="s">
        <v>11</v>
      </c>
      <c r="Z471" s="19" t="s">
        <v>1515</v>
      </c>
      <c r="AA471" s="19" t="s">
        <v>2023</v>
      </c>
      <c r="AB471" s="15"/>
      <c r="AI471" s="19" t="s">
        <v>70</v>
      </c>
      <c r="AJ471" s="19" t="s">
        <v>4540</v>
      </c>
      <c r="AK471" s="19" t="s">
        <v>3539</v>
      </c>
    </row>
    <row r="472" spans="25:37" x14ac:dyDescent="0.3">
      <c r="Y472" s="19" t="s">
        <v>11</v>
      </c>
      <c r="Z472" s="19" t="s">
        <v>177</v>
      </c>
      <c r="AA472" s="19" t="s">
        <v>2024</v>
      </c>
      <c r="AB472" s="15"/>
      <c r="AI472" s="15" t="s">
        <v>105</v>
      </c>
      <c r="AJ472" s="15" t="s">
        <v>4541</v>
      </c>
      <c r="AK472" s="15" t="s">
        <v>3540</v>
      </c>
    </row>
    <row r="473" spans="25:37" x14ac:dyDescent="0.3">
      <c r="Y473" s="19" t="s">
        <v>11</v>
      </c>
      <c r="Z473" s="19" t="s">
        <v>424</v>
      </c>
      <c r="AA473" s="19" t="s">
        <v>2025</v>
      </c>
      <c r="AB473" s="15"/>
      <c r="AI473" s="19" t="s">
        <v>64</v>
      </c>
      <c r="AJ473" s="19" t="s">
        <v>4542</v>
      </c>
      <c r="AK473" s="19" t="s">
        <v>3541</v>
      </c>
    </row>
    <row r="474" spans="25:37" x14ac:dyDescent="0.3">
      <c r="Y474" s="19" t="s">
        <v>11</v>
      </c>
      <c r="Z474" s="19" t="s">
        <v>1111</v>
      </c>
      <c r="AA474" s="19" t="s">
        <v>2026</v>
      </c>
      <c r="AB474" s="15"/>
      <c r="AI474" s="15" t="s">
        <v>88</v>
      </c>
      <c r="AJ474" s="15" t="s">
        <v>4543</v>
      </c>
      <c r="AK474" s="15" t="s">
        <v>3542</v>
      </c>
    </row>
    <row r="475" spans="25:37" x14ac:dyDescent="0.3">
      <c r="Y475" s="19" t="s">
        <v>11</v>
      </c>
      <c r="Z475" s="19" t="s">
        <v>254</v>
      </c>
      <c r="AA475" s="19" t="s">
        <v>2027</v>
      </c>
      <c r="AB475" s="15"/>
      <c r="AI475" s="19" t="s">
        <v>67</v>
      </c>
      <c r="AJ475" s="19" t="s">
        <v>4544</v>
      </c>
      <c r="AK475" s="19" t="s">
        <v>3543</v>
      </c>
    </row>
    <row r="476" spans="25:37" x14ac:dyDescent="0.3">
      <c r="Y476" s="19" t="s">
        <v>11</v>
      </c>
      <c r="Z476" s="19" t="s">
        <v>650</v>
      </c>
      <c r="AA476" s="19" t="s">
        <v>2028</v>
      </c>
      <c r="AB476" s="15"/>
      <c r="AI476" s="15" t="s">
        <v>104</v>
      </c>
      <c r="AJ476" s="15" t="s">
        <v>4545</v>
      </c>
      <c r="AK476" s="15" t="s">
        <v>3544</v>
      </c>
    </row>
    <row r="477" spans="25:37" x14ac:dyDescent="0.3">
      <c r="Y477" s="14" t="s">
        <v>11</v>
      </c>
      <c r="Z477" s="15" t="s">
        <v>280</v>
      </c>
      <c r="AA477" s="15" t="s">
        <v>2029</v>
      </c>
      <c r="AB477" s="15"/>
      <c r="AI477" s="19" t="s">
        <v>65</v>
      </c>
      <c r="AJ477" s="19" t="s">
        <v>4546</v>
      </c>
      <c r="AK477" s="19" t="s">
        <v>3545</v>
      </c>
    </row>
    <row r="478" spans="25:37" x14ac:dyDescent="0.3">
      <c r="Y478" s="14" t="s">
        <v>11</v>
      </c>
      <c r="Z478" s="15" t="s">
        <v>450</v>
      </c>
      <c r="AA478" s="15" t="s">
        <v>2030</v>
      </c>
      <c r="AB478" s="15"/>
      <c r="AI478" s="19" t="s">
        <v>67</v>
      </c>
      <c r="AJ478" s="19" t="s">
        <v>4547</v>
      </c>
      <c r="AK478" s="19" t="s">
        <v>3546</v>
      </c>
    </row>
    <row r="479" spans="25:37" x14ac:dyDescent="0.3">
      <c r="Y479" s="14" t="s">
        <v>11</v>
      </c>
      <c r="Z479" s="15" t="s">
        <v>273</v>
      </c>
      <c r="AA479" s="15" t="s">
        <v>2031</v>
      </c>
      <c r="AB479" s="15"/>
      <c r="AI479" s="15" t="s">
        <v>101</v>
      </c>
      <c r="AJ479" s="15" t="s">
        <v>4548</v>
      </c>
      <c r="AK479" s="15" t="s">
        <v>3547</v>
      </c>
    </row>
    <row r="480" spans="25:37" x14ac:dyDescent="0.3">
      <c r="Y480" s="14" t="s">
        <v>11</v>
      </c>
      <c r="Z480" s="15" t="s">
        <v>549</v>
      </c>
      <c r="AA480" s="15" t="s">
        <v>2032</v>
      </c>
      <c r="AB480" s="15"/>
      <c r="AI480" s="15" t="s">
        <v>102</v>
      </c>
      <c r="AJ480" s="15" t="s">
        <v>4549</v>
      </c>
      <c r="AK480" s="15" t="s">
        <v>3548</v>
      </c>
    </row>
    <row r="481" spans="25:37" x14ac:dyDescent="0.3">
      <c r="Y481" s="14" t="s">
        <v>11</v>
      </c>
      <c r="Z481" s="15" t="s">
        <v>257</v>
      </c>
      <c r="AA481" s="15" t="s">
        <v>2033</v>
      </c>
      <c r="AB481" s="15"/>
      <c r="AI481" s="15" t="s">
        <v>227</v>
      </c>
      <c r="AJ481" s="15" t="s">
        <v>4550</v>
      </c>
      <c r="AK481" s="15" t="s">
        <v>3549</v>
      </c>
    </row>
    <row r="482" spans="25:37" x14ac:dyDescent="0.3">
      <c r="Y482" s="19" t="s">
        <v>1366</v>
      </c>
      <c r="Z482" s="19" t="s">
        <v>91</v>
      </c>
      <c r="AA482" s="19" t="s">
        <v>2034</v>
      </c>
      <c r="AB482" s="15"/>
      <c r="AI482" s="15" t="s">
        <v>227</v>
      </c>
      <c r="AJ482" s="15" t="s">
        <v>4551</v>
      </c>
      <c r="AK482" s="15" t="s">
        <v>3550</v>
      </c>
    </row>
    <row r="483" spans="25:37" x14ac:dyDescent="0.3">
      <c r="Y483" s="19" t="s">
        <v>1366</v>
      </c>
      <c r="Z483" s="19" t="s">
        <v>1067</v>
      </c>
      <c r="AA483" s="19" t="s">
        <v>2035</v>
      </c>
      <c r="AB483" s="15"/>
      <c r="AI483" s="19" t="s">
        <v>71</v>
      </c>
      <c r="AJ483" s="19" t="s">
        <v>4552</v>
      </c>
      <c r="AK483" s="19" t="s">
        <v>3551</v>
      </c>
    </row>
    <row r="484" spans="25:37" x14ac:dyDescent="0.3">
      <c r="Y484" s="19" t="s">
        <v>1365</v>
      </c>
      <c r="Z484" s="19" t="s">
        <v>1516</v>
      </c>
      <c r="AA484" s="19" t="s">
        <v>2036</v>
      </c>
      <c r="AB484" s="15"/>
      <c r="AI484" s="19" t="s">
        <v>67</v>
      </c>
      <c r="AJ484" s="19" t="s">
        <v>4553</v>
      </c>
      <c r="AK484" s="19" t="s">
        <v>3552</v>
      </c>
    </row>
    <row r="485" spans="25:37" x14ac:dyDescent="0.3">
      <c r="Y485" s="19" t="s">
        <v>20</v>
      </c>
      <c r="Z485" s="19" t="s">
        <v>409</v>
      </c>
      <c r="AA485" s="19" t="s">
        <v>2037</v>
      </c>
      <c r="AB485" s="15"/>
      <c r="AI485" s="15" t="s">
        <v>225</v>
      </c>
      <c r="AJ485" s="15" t="s">
        <v>4554</v>
      </c>
      <c r="AK485" s="15" t="s">
        <v>3553</v>
      </c>
    </row>
    <row r="486" spans="25:37" x14ac:dyDescent="0.3">
      <c r="Y486" s="19" t="s">
        <v>1365</v>
      </c>
      <c r="Z486" s="19" t="s">
        <v>63</v>
      </c>
      <c r="AA486" s="19" t="s">
        <v>2038</v>
      </c>
      <c r="AB486" s="15"/>
      <c r="AI486" s="19" t="s">
        <v>71</v>
      </c>
      <c r="AJ486" s="19" t="s">
        <v>4555</v>
      </c>
      <c r="AK486" s="19" t="s">
        <v>3554</v>
      </c>
    </row>
    <row r="487" spans="25:37" x14ac:dyDescent="0.3">
      <c r="Y487" s="19" t="s">
        <v>1364</v>
      </c>
      <c r="Z487" s="19" t="s">
        <v>1159</v>
      </c>
      <c r="AA487" s="19" t="s">
        <v>2039</v>
      </c>
      <c r="AB487" s="15"/>
      <c r="AI487" s="19" t="s">
        <v>65</v>
      </c>
      <c r="AJ487" s="19" t="s">
        <v>4556</v>
      </c>
      <c r="AK487" s="19" t="s">
        <v>3555</v>
      </c>
    </row>
    <row r="488" spans="25:37" x14ac:dyDescent="0.3">
      <c r="Y488" s="19" t="s">
        <v>1365</v>
      </c>
      <c r="Z488" s="19" t="s">
        <v>86</v>
      </c>
      <c r="AA488" s="19" t="s">
        <v>2040</v>
      </c>
      <c r="AB488" s="15"/>
      <c r="AI488" s="15" t="s">
        <v>255</v>
      </c>
      <c r="AJ488" s="15" t="s">
        <v>4557</v>
      </c>
      <c r="AK488" s="15" t="s">
        <v>3556</v>
      </c>
    </row>
    <row r="489" spans="25:37" x14ac:dyDescent="0.3">
      <c r="Y489" s="14" t="s">
        <v>1364</v>
      </c>
      <c r="Z489" s="15" t="s">
        <v>333</v>
      </c>
      <c r="AA489" s="15" t="s">
        <v>2041</v>
      </c>
      <c r="AB489" s="15"/>
      <c r="AI489" s="15" t="s">
        <v>1139</v>
      </c>
      <c r="AJ489" s="15" t="s">
        <v>4558</v>
      </c>
      <c r="AK489" s="15" t="s">
        <v>3557</v>
      </c>
    </row>
    <row r="490" spans="25:37" x14ac:dyDescent="0.3">
      <c r="Y490" s="14" t="s">
        <v>1364</v>
      </c>
      <c r="Z490" s="15" t="s">
        <v>352</v>
      </c>
      <c r="AA490" s="15" t="s">
        <v>2042</v>
      </c>
      <c r="AB490" s="15"/>
      <c r="AI490" s="15" t="s">
        <v>1140</v>
      </c>
      <c r="AJ490" s="15" t="s">
        <v>4559</v>
      </c>
      <c r="AK490" s="15" t="s">
        <v>3558</v>
      </c>
    </row>
    <row r="491" spans="25:37" x14ac:dyDescent="0.3">
      <c r="Y491" s="14" t="s">
        <v>1364</v>
      </c>
      <c r="Z491" s="15" t="s">
        <v>1226</v>
      </c>
      <c r="AA491" s="15" t="s">
        <v>2043</v>
      </c>
      <c r="AB491" s="15"/>
      <c r="AI491" s="19" t="s">
        <v>77</v>
      </c>
      <c r="AJ491" s="19" t="s">
        <v>4560</v>
      </c>
      <c r="AK491" s="19" t="s">
        <v>3559</v>
      </c>
    </row>
    <row r="492" spans="25:37" x14ac:dyDescent="0.3">
      <c r="Y492" s="14" t="s">
        <v>1364</v>
      </c>
      <c r="Z492" s="15" t="s">
        <v>436</v>
      </c>
      <c r="AA492" s="15" t="s">
        <v>2044</v>
      </c>
      <c r="AB492" s="15"/>
      <c r="AI492" s="19" t="s">
        <v>77</v>
      </c>
      <c r="AJ492" s="19" t="s">
        <v>4561</v>
      </c>
      <c r="AK492" s="19" t="s">
        <v>3560</v>
      </c>
    </row>
    <row r="493" spans="25:37" x14ac:dyDescent="0.3">
      <c r="Y493" s="14" t="s">
        <v>1364</v>
      </c>
      <c r="Z493" s="15" t="s">
        <v>1227</v>
      </c>
      <c r="AA493" s="15" t="s">
        <v>2045</v>
      </c>
      <c r="AB493" s="15"/>
      <c r="AI493" s="15" t="s">
        <v>83</v>
      </c>
      <c r="AJ493" s="15" t="s">
        <v>4562</v>
      </c>
      <c r="AK493" s="15" t="s">
        <v>3561</v>
      </c>
    </row>
    <row r="494" spans="25:37" x14ac:dyDescent="0.3">
      <c r="Y494" s="14" t="s">
        <v>1364</v>
      </c>
      <c r="Z494" s="15" t="s">
        <v>353</v>
      </c>
      <c r="AA494" s="15" t="s">
        <v>2046</v>
      </c>
      <c r="AB494" s="15"/>
      <c r="AI494" s="15" t="s">
        <v>1043</v>
      </c>
      <c r="AJ494" s="15" t="s">
        <v>4563</v>
      </c>
      <c r="AK494" s="15" t="s">
        <v>3562</v>
      </c>
    </row>
    <row r="495" spans="25:37" x14ac:dyDescent="0.3">
      <c r="Y495" s="14" t="s">
        <v>1364</v>
      </c>
      <c r="Z495" s="15" t="s">
        <v>455</v>
      </c>
      <c r="AA495" s="15" t="s">
        <v>2047</v>
      </c>
      <c r="AB495" s="15"/>
      <c r="AI495" s="15" t="s">
        <v>1082</v>
      </c>
      <c r="AJ495" s="15" t="s">
        <v>4564</v>
      </c>
      <c r="AK495" s="15" t="s">
        <v>3563</v>
      </c>
    </row>
    <row r="496" spans="25:37" x14ac:dyDescent="0.3">
      <c r="Y496" s="14" t="s">
        <v>1364</v>
      </c>
      <c r="Z496" s="15" t="s">
        <v>1250</v>
      </c>
      <c r="AA496" s="15" t="s">
        <v>2048</v>
      </c>
      <c r="AB496" s="15"/>
      <c r="AI496" s="15" t="s">
        <v>83</v>
      </c>
      <c r="AJ496" s="15" t="s">
        <v>4565</v>
      </c>
      <c r="AK496" s="15" t="s">
        <v>3564</v>
      </c>
    </row>
    <row r="497" spans="25:37" x14ac:dyDescent="0.3">
      <c r="Y497" s="14" t="s">
        <v>1364</v>
      </c>
      <c r="Z497" s="15" t="s">
        <v>310</v>
      </c>
      <c r="AA497" s="15" t="s">
        <v>2049</v>
      </c>
      <c r="AB497" s="15"/>
      <c r="AI497" s="15" t="s">
        <v>1082</v>
      </c>
      <c r="AJ497" s="15" t="s">
        <v>4566</v>
      </c>
      <c r="AK497" s="15" t="s">
        <v>3565</v>
      </c>
    </row>
    <row r="498" spans="25:37" x14ac:dyDescent="0.3">
      <c r="Y498" s="14" t="s">
        <v>1364</v>
      </c>
      <c r="Z498" s="15" t="s">
        <v>316</v>
      </c>
      <c r="AA498" s="15" t="s">
        <v>2050</v>
      </c>
      <c r="AB498" s="15"/>
      <c r="AI498" s="19" t="s">
        <v>65</v>
      </c>
      <c r="AJ498" s="19" t="s">
        <v>4567</v>
      </c>
      <c r="AK498" s="19" t="s">
        <v>3566</v>
      </c>
    </row>
    <row r="499" spans="25:37" x14ac:dyDescent="0.3">
      <c r="Y499" s="14" t="s">
        <v>1364</v>
      </c>
      <c r="Z499" s="15" t="s">
        <v>1228</v>
      </c>
      <c r="AA499" s="15" t="s">
        <v>2051</v>
      </c>
      <c r="AB499" s="15"/>
      <c r="AI499" s="15" t="s">
        <v>1360</v>
      </c>
      <c r="AJ499" s="15" t="s">
        <v>4568</v>
      </c>
      <c r="AK499" s="15" t="s">
        <v>3567</v>
      </c>
    </row>
    <row r="500" spans="25:37" x14ac:dyDescent="0.3">
      <c r="Y500" s="14" t="s">
        <v>1364</v>
      </c>
      <c r="Z500" s="15" t="s">
        <v>354</v>
      </c>
      <c r="AA500" s="15" t="s">
        <v>2052</v>
      </c>
      <c r="AB500" s="15"/>
      <c r="AI500" s="15" t="s">
        <v>95</v>
      </c>
      <c r="AJ500" s="15" t="s">
        <v>4570</v>
      </c>
      <c r="AK500" s="15" t="s">
        <v>3569</v>
      </c>
    </row>
    <row r="501" spans="25:37" x14ac:dyDescent="0.3">
      <c r="Y501" s="14" t="s">
        <v>1364</v>
      </c>
      <c r="Z501" s="15" t="s">
        <v>317</v>
      </c>
      <c r="AA501" s="15" t="s">
        <v>2053</v>
      </c>
      <c r="AB501" s="15"/>
      <c r="AI501" s="15" t="s">
        <v>95</v>
      </c>
      <c r="AJ501" s="15" t="s">
        <v>4571</v>
      </c>
      <c r="AK501" s="15" t="s">
        <v>3570</v>
      </c>
    </row>
    <row r="502" spans="25:37" x14ac:dyDescent="0.3">
      <c r="Y502" s="14" t="s">
        <v>1364</v>
      </c>
      <c r="Z502" s="15" t="s">
        <v>182</v>
      </c>
      <c r="AA502" s="15" t="s">
        <v>2054</v>
      </c>
      <c r="AB502" s="15"/>
      <c r="AI502" s="15" t="s">
        <v>95</v>
      </c>
      <c r="AJ502" s="15" t="s">
        <v>4572</v>
      </c>
      <c r="AK502" s="15" t="s">
        <v>3571</v>
      </c>
    </row>
    <row r="503" spans="25:37" x14ac:dyDescent="0.3">
      <c r="Y503" s="14" t="s">
        <v>1364</v>
      </c>
      <c r="Z503" s="15" t="s">
        <v>318</v>
      </c>
      <c r="AA503" s="15" t="s">
        <v>2055</v>
      </c>
      <c r="AB503" s="15"/>
      <c r="AI503" s="15" t="s">
        <v>95</v>
      </c>
      <c r="AJ503" s="15" t="s">
        <v>4573</v>
      </c>
      <c r="AK503" s="15" t="s">
        <v>3572</v>
      </c>
    </row>
    <row r="504" spans="25:37" x14ac:dyDescent="0.3">
      <c r="Y504" s="14" t="s">
        <v>1364</v>
      </c>
      <c r="Z504" s="15" t="s">
        <v>309</v>
      </c>
      <c r="AA504" s="15" t="s">
        <v>2056</v>
      </c>
      <c r="AB504" s="15"/>
      <c r="AI504" s="15" t="s">
        <v>95</v>
      </c>
      <c r="AJ504" s="15" t="s">
        <v>4574</v>
      </c>
      <c r="AK504" s="15" t="s">
        <v>3573</v>
      </c>
    </row>
    <row r="505" spans="25:37" x14ac:dyDescent="0.3">
      <c r="Y505" s="14" t="s">
        <v>1364</v>
      </c>
      <c r="Z505" s="15" t="s">
        <v>355</v>
      </c>
      <c r="AA505" s="15" t="s">
        <v>2057</v>
      </c>
      <c r="AB505" s="15"/>
      <c r="AI505" s="15" t="s">
        <v>95</v>
      </c>
      <c r="AJ505" s="15" t="s">
        <v>4575</v>
      </c>
      <c r="AK505" s="15" t="s">
        <v>3574</v>
      </c>
    </row>
    <row r="506" spans="25:37" x14ac:dyDescent="0.3">
      <c r="Y506" s="14" t="s">
        <v>1364</v>
      </c>
      <c r="Z506" s="15" t="s">
        <v>181</v>
      </c>
      <c r="AA506" s="15" t="s">
        <v>2058</v>
      </c>
      <c r="AB506" s="15"/>
      <c r="AI506" s="15" t="s">
        <v>95</v>
      </c>
      <c r="AJ506" s="15" t="s">
        <v>4576</v>
      </c>
      <c r="AK506" s="15" t="s">
        <v>3575</v>
      </c>
    </row>
    <row r="507" spans="25:37" x14ac:dyDescent="0.3">
      <c r="Y507" s="14" t="s">
        <v>1364</v>
      </c>
      <c r="Z507" s="15" t="s">
        <v>297</v>
      </c>
      <c r="AA507" s="15" t="s">
        <v>2059</v>
      </c>
      <c r="AB507" s="15"/>
      <c r="AI507" s="15" t="s">
        <v>95</v>
      </c>
      <c r="AJ507" s="15" t="s">
        <v>4577</v>
      </c>
      <c r="AK507" s="15" t="s">
        <v>3576</v>
      </c>
    </row>
    <row r="508" spans="25:37" x14ac:dyDescent="0.3">
      <c r="Y508" s="14" t="s">
        <v>1364</v>
      </c>
      <c r="Z508" s="15" t="s">
        <v>433</v>
      </c>
      <c r="AA508" s="15" t="s">
        <v>2060</v>
      </c>
      <c r="AB508" s="15"/>
      <c r="AI508" s="15" t="s">
        <v>95</v>
      </c>
      <c r="AJ508" s="15" t="s">
        <v>4578</v>
      </c>
      <c r="AK508" s="15" t="s">
        <v>3577</v>
      </c>
    </row>
    <row r="509" spans="25:37" x14ac:dyDescent="0.3">
      <c r="Y509" s="14" t="s">
        <v>1365</v>
      </c>
      <c r="Z509" s="15" t="s">
        <v>211</v>
      </c>
      <c r="AA509" s="15" t="s">
        <v>2061</v>
      </c>
      <c r="AB509" s="15"/>
      <c r="AI509" s="15" t="s">
        <v>95</v>
      </c>
      <c r="AJ509" s="15" t="s">
        <v>4579</v>
      </c>
      <c r="AK509" s="15" t="s">
        <v>3578</v>
      </c>
    </row>
    <row r="510" spans="25:37" x14ac:dyDescent="0.3">
      <c r="Y510" s="14" t="s">
        <v>1364</v>
      </c>
      <c r="Z510" s="15" t="s">
        <v>308</v>
      </c>
      <c r="AA510" s="15" t="s">
        <v>2062</v>
      </c>
      <c r="AB510" s="15"/>
      <c r="AI510" s="15" t="s">
        <v>95</v>
      </c>
      <c r="AJ510" s="15" t="s">
        <v>4580</v>
      </c>
      <c r="AK510" s="15" t="s">
        <v>3579</v>
      </c>
    </row>
    <row r="511" spans="25:37" x14ac:dyDescent="0.3">
      <c r="Y511" s="14" t="s">
        <v>1364</v>
      </c>
      <c r="Z511" s="15" t="s">
        <v>319</v>
      </c>
      <c r="AA511" s="15" t="s">
        <v>2063</v>
      </c>
      <c r="AB511" s="15"/>
      <c r="AI511" s="15" t="s">
        <v>95</v>
      </c>
      <c r="AJ511" s="15" t="s">
        <v>4581</v>
      </c>
      <c r="AK511" s="15" t="s">
        <v>3580</v>
      </c>
    </row>
    <row r="512" spans="25:37" x14ac:dyDescent="0.3">
      <c r="Y512" s="14" t="s">
        <v>1364</v>
      </c>
      <c r="Z512" s="15" t="s">
        <v>356</v>
      </c>
      <c r="AA512" s="15" t="s">
        <v>2064</v>
      </c>
      <c r="AB512" s="15"/>
      <c r="AI512" s="15" t="s">
        <v>982</v>
      </c>
      <c r="AJ512" s="15" t="s">
        <v>4582</v>
      </c>
      <c r="AK512" s="15" t="s">
        <v>3581</v>
      </c>
    </row>
    <row r="513" spans="25:37" x14ac:dyDescent="0.3">
      <c r="Y513" s="14" t="s">
        <v>1364</v>
      </c>
      <c r="Z513" s="15" t="s">
        <v>320</v>
      </c>
      <c r="AA513" s="15" t="s">
        <v>2065</v>
      </c>
      <c r="AB513" s="15"/>
      <c r="AI513" s="15" t="s">
        <v>559</v>
      </c>
      <c r="AJ513" s="15" t="s">
        <v>4583</v>
      </c>
      <c r="AK513" s="15" t="s">
        <v>3582</v>
      </c>
    </row>
    <row r="514" spans="25:37" x14ac:dyDescent="0.3">
      <c r="Y514" s="14" t="s">
        <v>1364</v>
      </c>
      <c r="Z514" s="15" t="s">
        <v>307</v>
      </c>
      <c r="AA514" s="15" t="s">
        <v>2066</v>
      </c>
      <c r="AB514" s="15"/>
      <c r="AI514" s="15" t="s">
        <v>559</v>
      </c>
      <c r="AJ514" s="15" t="s">
        <v>4584</v>
      </c>
      <c r="AK514" s="15" t="s">
        <v>3583</v>
      </c>
    </row>
    <row r="515" spans="25:37" x14ac:dyDescent="0.3">
      <c r="Y515" s="14" t="s">
        <v>1364</v>
      </c>
      <c r="Z515" s="15" t="s">
        <v>180</v>
      </c>
      <c r="AA515" s="15" t="s">
        <v>2067</v>
      </c>
      <c r="AB515" s="15"/>
      <c r="AI515" s="15" t="s">
        <v>597</v>
      </c>
      <c r="AJ515" s="15" t="s">
        <v>4585</v>
      </c>
      <c r="AK515" s="15" t="s">
        <v>3584</v>
      </c>
    </row>
    <row r="516" spans="25:37" x14ac:dyDescent="0.3">
      <c r="Y516" s="14" t="s">
        <v>1364</v>
      </c>
      <c r="Z516" s="15" t="s">
        <v>294</v>
      </c>
      <c r="AA516" s="15" t="s">
        <v>2068</v>
      </c>
      <c r="AB516" s="15"/>
      <c r="AI516" s="15" t="s">
        <v>572</v>
      </c>
      <c r="AJ516" s="15" t="s">
        <v>1294</v>
      </c>
      <c r="AK516" s="15" t="s">
        <v>3585</v>
      </c>
    </row>
    <row r="517" spans="25:37" x14ac:dyDescent="0.3">
      <c r="Y517" s="14" t="s">
        <v>1365</v>
      </c>
      <c r="Z517" s="15" t="s">
        <v>476</v>
      </c>
      <c r="AA517" s="15" t="s">
        <v>2069</v>
      </c>
      <c r="AB517" s="15"/>
      <c r="AI517" s="15" t="s">
        <v>252</v>
      </c>
      <c r="AJ517" s="15" t="s">
        <v>4586</v>
      </c>
      <c r="AK517" s="15" t="s">
        <v>3586</v>
      </c>
    </row>
    <row r="518" spans="25:37" x14ac:dyDescent="0.3">
      <c r="Y518" s="14" t="s">
        <v>1364</v>
      </c>
      <c r="Z518" s="15" t="s">
        <v>1288</v>
      </c>
      <c r="AA518" s="15" t="s">
        <v>2070</v>
      </c>
      <c r="AB518" s="15"/>
      <c r="AI518" s="15" t="s">
        <v>252</v>
      </c>
      <c r="AJ518" s="15" t="s">
        <v>4587</v>
      </c>
      <c r="AK518" s="15" t="s">
        <v>3587</v>
      </c>
    </row>
    <row r="519" spans="25:37" x14ac:dyDescent="0.3">
      <c r="Y519" s="14" t="s">
        <v>1364</v>
      </c>
      <c r="Z519" s="15" t="s">
        <v>306</v>
      </c>
      <c r="AA519" s="15" t="s">
        <v>2071</v>
      </c>
      <c r="AB519" s="15"/>
      <c r="AI519" s="15" t="s">
        <v>1531</v>
      </c>
      <c r="AJ519" s="15" t="s">
        <v>4588</v>
      </c>
      <c r="AK519" s="15" t="s">
        <v>3588</v>
      </c>
    </row>
    <row r="520" spans="25:37" x14ac:dyDescent="0.3">
      <c r="Y520" s="14" t="s">
        <v>1364</v>
      </c>
      <c r="Z520" s="15" t="s">
        <v>1279</v>
      </c>
      <c r="AA520" s="15" t="s">
        <v>2072</v>
      </c>
      <c r="AB520" s="15"/>
      <c r="AI520" s="15" t="s">
        <v>252</v>
      </c>
      <c r="AJ520" s="15" t="s">
        <v>4589</v>
      </c>
      <c r="AK520" s="15" t="s">
        <v>3589</v>
      </c>
    </row>
    <row r="521" spans="25:37" x14ac:dyDescent="0.3">
      <c r="Y521" s="14" t="s">
        <v>1364</v>
      </c>
      <c r="Z521" s="15" t="s">
        <v>321</v>
      </c>
      <c r="AA521" s="15" t="s">
        <v>2073</v>
      </c>
      <c r="AB521" s="15"/>
      <c r="AI521" s="15" t="s">
        <v>1176</v>
      </c>
      <c r="AJ521" s="15" t="s">
        <v>4590</v>
      </c>
      <c r="AK521" s="15" t="s">
        <v>3590</v>
      </c>
    </row>
    <row r="522" spans="25:37" x14ac:dyDescent="0.3">
      <c r="Y522" s="14" t="s">
        <v>1365</v>
      </c>
      <c r="Z522" s="15" t="s">
        <v>587</v>
      </c>
      <c r="AA522" s="15" t="s">
        <v>2074</v>
      </c>
      <c r="AB522" s="15"/>
      <c r="AI522" s="15" t="s">
        <v>982</v>
      </c>
      <c r="AJ522" s="15" t="s">
        <v>4591</v>
      </c>
      <c r="AK522" s="15" t="s">
        <v>3591</v>
      </c>
    </row>
    <row r="523" spans="25:37" x14ac:dyDescent="0.3">
      <c r="Y523" s="14" t="s">
        <v>1364</v>
      </c>
      <c r="Z523" s="15" t="s">
        <v>334</v>
      </c>
      <c r="AA523" s="15" t="s">
        <v>2075</v>
      </c>
      <c r="AB523" s="15"/>
      <c r="AI523" s="15" t="s">
        <v>1186</v>
      </c>
      <c r="AJ523" s="15" t="s">
        <v>4592</v>
      </c>
      <c r="AK523" s="15" t="s">
        <v>3592</v>
      </c>
    </row>
    <row r="524" spans="25:37" x14ac:dyDescent="0.3">
      <c r="Y524" s="14" t="s">
        <v>1364</v>
      </c>
      <c r="Z524" s="15" t="s">
        <v>209</v>
      </c>
      <c r="AA524" s="15" t="s">
        <v>2076</v>
      </c>
      <c r="AB524" s="15"/>
      <c r="AI524" s="19" t="s">
        <v>5185</v>
      </c>
      <c r="AJ524" s="19" t="s">
        <v>5305</v>
      </c>
      <c r="AK524" s="19" t="s">
        <v>5245</v>
      </c>
    </row>
    <row r="525" spans="25:37" x14ac:dyDescent="0.3">
      <c r="Y525" s="14" t="s">
        <v>1366</v>
      </c>
      <c r="Z525" s="15" t="s">
        <v>148</v>
      </c>
      <c r="AA525" s="15" t="s">
        <v>2077</v>
      </c>
      <c r="AB525" s="15"/>
      <c r="AI525" s="19" t="s">
        <v>5187</v>
      </c>
      <c r="AJ525" s="19" t="s">
        <v>5306</v>
      </c>
      <c r="AK525" s="19" t="s">
        <v>5246</v>
      </c>
    </row>
    <row r="526" spans="25:37" x14ac:dyDescent="0.3">
      <c r="Y526" s="14" t="s">
        <v>1364</v>
      </c>
      <c r="Z526" s="15" t="s">
        <v>322</v>
      </c>
      <c r="AA526" s="15" t="s">
        <v>2078</v>
      </c>
      <c r="AB526" s="15"/>
      <c r="AI526" s="19" t="s">
        <v>5186</v>
      </c>
      <c r="AJ526" s="19" t="s">
        <v>5307</v>
      </c>
      <c r="AK526" s="19" t="s">
        <v>5247</v>
      </c>
    </row>
    <row r="527" spans="25:37" x14ac:dyDescent="0.3">
      <c r="Y527" s="14" t="s">
        <v>1364</v>
      </c>
      <c r="Z527" s="15" t="s">
        <v>305</v>
      </c>
      <c r="AA527" s="15" t="s">
        <v>2079</v>
      </c>
      <c r="AB527" s="15"/>
      <c r="AI527" s="19" t="s">
        <v>5182</v>
      </c>
      <c r="AJ527" s="19" t="s">
        <v>5308</v>
      </c>
      <c r="AK527" s="19" t="s">
        <v>5248</v>
      </c>
    </row>
    <row r="528" spans="25:37" x14ac:dyDescent="0.3">
      <c r="Y528" s="14" t="s">
        <v>1364</v>
      </c>
      <c r="Z528" s="15" t="s">
        <v>1289</v>
      </c>
      <c r="AA528" s="15" t="s">
        <v>2080</v>
      </c>
      <c r="AB528" s="15"/>
      <c r="AI528" s="19" t="s">
        <v>5189</v>
      </c>
      <c r="AJ528" s="19" t="s">
        <v>5309</v>
      </c>
      <c r="AK528" s="19" t="s">
        <v>5250</v>
      </c>
    </row>
    <row r="529" spans="25:37" x14ac:dyDescent="0.3">
      <c r="Y529" s="14" t="s">
        <v>1364</v>
      </c>
      <c r="Z529" s="15" t="s">
        <v>335</v>
      </c>
      <c r="AA529" s="15" t="s">
        <v>2081</v>
      </c>
      <c r="AB529" s="15"/>
      <c r="AI529" s="19" t="s">
        <v>5192</v>
      </c>
      <c r="AJ529" s="19" t="s">
        <v>5310</v>
      </c>
      <c r="AK529" s="19" t="s">
        <v>5254</v>
      </c>
    </row>
    <row r="530" spans="25:37" x14ac:dyDescent="0.3">
      <c r="Y530" s="14" t="s">
        <v>1364</v>
      </c>
      <c r="Z530" s="15" t="s">
        <v>1290</v>
      </c>
      <c r="AA530" s="15" t="s">
        <v>2082</v>
      </c>
      <c r="AB530" s="15"/>
      <c r="AI530" s="19" t="s">
        <v>5192</v>
      </c>
      <c r="AJ530" s="19" t="s">
        <v>5311</v>
      </c>
      <c r="AK530" s="19" t="s">
        <v>5255</v>
      </c>
    </row>
    <row r="531" spans="25:37" x14ac:dyDescent="0.3">
      <c r="Y531" s="14" t="s">
        <v>1364</v>
      </c>
      <c r="Z531" s="15" t="s">
        <v>323</v>
      </c>
      <c r="AA531" s="15" t="s">
        <v>2083</v>
      </c>
      <c r="AB531" s="15"/>
      <c r="AI531" s="19" t="s">
        <v>5192</v>
      </c>
      <c r="AJ531" s="19" t="s">
        <v>5312</v>
      </c>
      <c r="AK531" s="19" t="s">
        <v>5256</v>
      </c>
    </row>
    <row r="532" spans="25:37" x14ac:dyDescent="0.3">
      <c r="Y532" s="14" t="s">
        <v>1364</v>
      </c>
      <c r="Z532" s="15" t="s">
        <v>1229</v>
      </c>
      <c r="AA532" s="15" t="s">
        <v>2084</v>
      </c>
      <c r="AB532" s="15"/>
      <c r="AI532" s="19" t="s">
        <v>5192</v>
      </c>
      <c r="AJ532" s="19" t="s">
        <v>5313</v>
      </c>
      <c r="AK532" s="19" t="s">
        <v>5257</v>
      </c>
    </row>
    <row r="533" spans="25:37" x14ac:dyDescent="0.3">
      <c r="Y533" s="14" t="s">
        <v>1365</v>
      </c>
      <c r="Z533" s="15" t="s">
        <v>412</v>
      </c>
      <c r="AA533" s="15" t="s">
        <v>2085</v>
      </c>
      <c r="AB533" s="15"/>
      <c r="AI533" s="19" t="s">
        <v>5192</v>
      </c>
      <c r="AJ533" s="19" t="s">
        <v>5314</v>
      </c>
      <c r="AK533" s="19" t="s">
        <v>5258</v>
      </c>
    </row>
    <row r="534" spans="25:37" x14ac:dyDescent="0.3">
      <c r="Y534" s="14" t="s">
        <v>1364</v>
      </c>
      <c r="Z534" s="15" t="s">
        <v>324</v>
      </c>
      <c r="AA534" s="15" t="s">
        <v>2086</v>
      </c>
      <c r="AB534" s="15"/>
      <c r="AI534" s="19" t="s">
        <v>5187</v>
      </c>
      <c r="AJ534" s="19" t="s">
        <v>5303</v>
      </c>
      <c r="AK534" s="19" t="s">
        <v>5262</v>
      </c>
    </row>
    <row r="535" spans="25:37" x14ac:dyDescent="0.3">
      <c r="Y535" s="14" t="s">
        <v>1364</v>
      </c>
      <c r="Z535" s="15" t="s">
        <v>336</v>
      </c>
      <c r="AA535" s="15" t="s">
        <v>2087</v>
      </c>
      <c r="AB535" s="15"/>
      <c r="AI535" s="19" t="s">
        <v>5187</v>
      </c>
      <c r="AJ535" s="19" t="s">
        <v>5315</v>
      </c>
      <c r="AK535" s="19" t="s">
        <v>5263</v>
      </c>
    </row>
    <row r="536" spans="25:37" x14ac:dyDescent="0.3">
      <c r="Y536" s="14" t="s">
        <v>1364</v>
      </c>
      <c r="Z536" s="15" t="s">
        <v>1230</v>
      </c>
      <c r="AA536" s="15" t="s">
        <v>2088</v>
      </c>
      <c r="AB536" s="15"/>
      <c r="AI536" s="19" t="s">
        <v>5187</v>
      </c>
      <c r="AJ536" s="19" t="s">
        <v>5316</v>
      </c>
      <c r="AK536" s="19" t="s">
        <v>5264</v>
      </c>
    </row>
    <row r="537" spans="25:37" x14ac:dyDescent="0.3">
      <c r="Y537" s="14" t="s">
        <v>1364</v>
      </c>
      <c r="Z537" s="15" t="s">
        <v>208</v>
      </c>
      <c r="AA537" s="15" t="s">
        <v>2089</v>
      </c>
      <c r="AB537" s="15"/>
      <c r="AI537" s="19" t="s">
        <v>5184</v>
      </c>
      <c r="AJ537" s="19" t="s">
        <v>5315</v>
      </c>
      <c r="AK537" s="19" t="s">
        <v>5265</v>
      </c>
    </row>
    <row r="538" spans="25:37" x14ac:dyDescent="0.3">
      <c r="Y538" s="14" t="s">
        <v>1366</v>
      </c>
      <c r="Z538" s="15" t="s">
        <v>646</v>
      </c>
      <c r="AA538" s="15" t="s">
        <v>2090</v>
      </c>
      <c r="AB538" s="15"/>
      <c r="AI538" s="19" t="s">
        <v>5184</v>
      </c>
      <c r="AJ538" s="19" t="s">
        <v>5316</v>
      </c>
      <c r="AK538" s="19" t="s">
        <v>5266</v>
      </c>
    </row>
    <row r="539" spans="25:37" x14ac:dyDescent="0.3">
      <c r="Y539" s="14" t="s">
        <v>1364</v>
      </c>
      <c r="Z539" s="15" t="s">
        <v>325</v>
      </c>
      <c r="AA539" s="15" t="s">
        <v>2091</v>
      </c>
      <c r="AB539" s="15"/>
      <c r="AI539" s="19" t="s">
        <v>5185</v>
      </c>
      <c r="AJ539" s="19" t="s">
        <v>5303</v>
      </c>
      <c r="AK539" s="19" t="s">
        <v>5267</v>
      </c>
    </row>
    <row r="540" spans="25:37" x14ac:dyDescent="0.3">
      <c r="Y540" s="14" t="s">
        <v>1364</v>
      </c>
      <c r="Z540" s="15" t="s">
        <v>160</v>
      </c>
      <c r="AA540" s="15" t="s">
        <v>2092</v>
      </c>
      <c r="AB540" s="15"/>
      <c r="AI540" s="19" t="s">
        <v>5185</v>
      </c>
      <c r="AJ540" s="19" t="s">
        <v>5315</v>
      </c>
      <c r="AK540" s="19" t="s">
        <v>5268</v>
      </c>
    </row>
    <row r="541" spans="25:37" x14ac:dyDescent="0.3">
      <c r="Y541" s="14" t="s">
        <v>1364</v>
      </c>
      <c r="Z541" s="15" t="s">
        <v>304</v>
      </c>
      <c r="AA541" s="15" t="s">
        <v>2093</v>
      </c>
      <c r="AB541" s="15"/>
      <c r="AI541" s="19" t="s">
        <v>5185</v>
      </c>
      <c r="AJ541" s="19" t="s">
        <v>5316</v>
      </c>
      <c r="AK541" s="19" t="s">
        <v>5269</v>
      </c>
    </row>
    <row r="542" spans="25:37" x14ac:dyDescent="0.3">
      <c r="Y542" s="14" t="s">
        <v>1364</v>
      </c>
      <c r="Z542" s="15" t="s">
        <v>295</v>
      </c>
      <c r="AA542" s="15" t="s">
        <v>2094</v>
      </c>
      <c r="AB542" s="15"/>
      <c r="AI542" s="19" t="s">
        <v>5186</v>
      </c>
      <c r="AJ542" s="19" t="s">
        <v>5303</v>
      </c>
      <c r="AK542" s="19" t="s">
        <v>5270</v>
      </c>
    </row>
    <row r="543" spans="25:37" x14ac:dyDescent="0.3">
      <c r="Y543" s="14" t="s">
        <v>1364</v>
      </c>
      <c r="Z543" s="15" t="s">
        <v>303</v>
      </c>
      <c r="AA543" s="15" t="s">
        <v>2095</v>
      </c>
      <c r="AB543" s="15"/>
      <c r="AI543" s="19" t="s">
        <v>5186</v>
      </c>
      <c r="AJ543" s="19" t="s">
        <v>5315</v>
      </c>
      <c r="AK543" s="19" t="s">
        <v>5271</v>
      </c>
    </row>
    <row r="544" spans="25:37" x14ac:dyDescent="0.3">
      <c r="Y544" s="14" t="s">
        <v>1364</v>
      </c>
      <c r="Z544" s="15" t="s">
        <v>179</v>
      </c>
      <c r="AA544" s="15" t="s">
        <v>2096</v>
      </c>
      <c r="AB544" s="15"/>
      <c r="AI544" s="19" t="s">
        <v>5186</v>
      </c>
      <c r="AJ544" s="19" t="s">
        <v>5316</v>
      </c>
      <c r="AK544" s="19" t="s">
        <v>5272</v>
      </c>
    </row>
    <row r="545" spans="25:37" x14ac:dyDescent="0.3">
      <c r="Y545" s="14" t="s">
        <v>1364</v>
      </c>
      <c r="Z545" s="15" t="s">
        <v>302</v>
      </c>
      <c r="AA545" s="15" t="s">
        <v>2097</v>
      </c>
      <c r="AB545" s="15"/>
      <c r="AI545" s="19" t="s">
        <v>5182</v>
      </c>
      <c r="AJ545" s="19" t="s">
        <v>5303</v>
      </c>
      <c r="AK545" s="19" t="s">
        <v>5273</v>
      </c>
    </row>
    <row r="546" spans="25:37" x14ac:dyDescent="0.3">
      <c r="Y546" s="14" t="s">
        <v>1365</v>
      </c>
      <c r="Z546" s="15" t="s">
        <v>1161</v>
      </c>
      <c r="AA546" s="15" t="s">
        <v>2098</v>
      </c>
      <c r="AB546" s="15"/>
      <c r="AI546" s="19" t="s">
        <v>5182</v>
      </c>
      <c r="AJ546" s="19" t="s">
        <v>5315</v>
      </c>
      <c r="AK546" s="19" t="s">
        <v>5274</v>
      </c>
    </row>
    <row r="547" spans="25:37" x14ac:dyDescent="0.3">
      <c r="Y547" s="19" t="s">
        <v>1364</v>
      </c>
      <c r="Z547" s="19" t="s">
        <v>1280</v>
      </c>
      <c r="AA547" s="19" t="s">
        <v>2099</v>
      </c>
      <c r="AB547" s="15"/>
      <c r="AI547" s="19" t="s">
        <v>5182</v>
      </c>
      <c r="AJ547" s="19" t="s">
        <v>5316</v>
      </c>
      <c r="AK547" s="19" t="s">
        <v>5275</v>
      </c>
    </row>
    <row r="548" spans="25:37" x14ac:dyDescent="0.3">
      <c r="Y548" s="19" t="s">
        <v>1366</v>
      </c>
      <c r="Z548" s="19" t="s">
        <v>647</v>
      </c>
      <c r="AA548" s="19" t="s">
        <v>2100</v>
      </c>
      <c r="AB548" s="15"/>
      <c r="AI548" s="19" t="s">
        <v>5188</v>
      </c>
      <c r="AJ548" s="19" t="s">
        <v>5303</v>
      </c>
      <c r="AK548" s="19" t="s">
        <v>5276</v>
      </c>
    </row>
    <row r="549" spans="25:37" x14ac:dyDescent="0.3">
      <c r="Y549" s="19" t="s">
        <v>1364</v>
      </c>
      <c r="Z549" s="19" t="s">
        <v>326</v>
      </c>
      <c r="AA549" s="19" t="s">
        <v>2101</v>
      </c>
      <c r="AB549" s="15"/>
      <c r="AI549" s="19" t="s">
        <v>5188</v>
      </c>
      <c r="AJ549" s="19" t="s">
        <v>5315</v>
      </c>
      <c r="AK549" s="19" t="s">
        <v>5277</v>
      </c>
    </row>
    <row r="550" spans="25:37" x14ac:dyDescent="0.3">
      <c r="Y550" s="19" t="s">
        <v>1364</v>
      </c>
      <c r="Z550" s="19" t="s">
        <v>176</v>
      </c>
      <c r="AA550" s="19" t="s">
        <v>2102</v>
      </c>
      <c r="AB550" s="15"/>
      <c r="AI550" s="19" t="s">
        <v>5188</v>
      </c>
      <c r="AJ550" s="19" t="s">
        <v>5316</v>
      </c>
      <c r="AK550" s="19" t="s">
        <v>5278</v>
      </c>
    </row>
    <row r="551" spans="25:37" x14ac:dyDescent="0.3">
      <c r="Y551" s="19" t="s">
        <v>1364</v>
      </c>
      <c r="Z551" s="19" t="s">
        <v>1528</v>
      </c>
      <c r="AA551" s="19" t="s">
        <v>2103</v>
      </c>
      <c r="AB551" s="15"/>
      <c r="AI551" s="19" t="s">
        <v>5189</v>
      </c>
      <c r="AJ551" s="19" t="s">
        <v>5303</v>
      </c>
      <c r="AK551" s="19" t="s">
        <v>5279</v>
      </c>
    </row>
    <row r="552" spans="25:37" x14ac:dyDescent="0.3">
      <c r="Y552" s="19" t="s">
        <v>1364</v>
      </c>
      <c r="Z552" s="19" t="s">
        <v>437</v>
      </c>
      <c r="AA552" s="19" t="s">
        <v>2104</v>
      </c>
      <c r="AB552" s="15"/>
      <c r="AI552" s="19" t="s">
        <v>5189</v>
      </c>
      <c r="AJ552" s="19" t="s">
        <v>5315</v>
      </c>
      <c r="AK552" s="19" t="s">
        <v>5280</v>
      </c>
    </row>
    <row r="553" spans="25:37" x14ac:dyDescent="0.3">
      <c r="Y553" s="19" t="s">
        <v>1364</v>
      </c>
      <c r="Z553" s="19" t="s">
        <v>301</v>
      </c>
      <c r="AA553" s="19" t="s">
        <v>2105</v>
      </c>
      <c r="AB553" s="15"/>
      <c r="AI553" s="19" t="s">
        <v>5189</v>
      </c>
      <c r="AJ553" s="19" t="s">
        <v>5316</v>
      </c>
      <c r="AK553" s="19" t="s">
        <v>5281</v>
      </c>
    </row>
    <row r="554" spans="25:37" x14ac:dyDescent="0.3">
      <c r="Y554" s="19" t="s">
        <v>1364</v>
      </c>
      <c r="Z554" s="19" t="s">
        <v>327</v>
      </c>
      <c r="AA554" s="19" t="s">
        <v>2106</v>
      </c>
      <c r="AB554" s="15"/>
      <c r="AI554" s="19" t="s">
        <v>1493</v>
      </c>
      <c r="AJ554" s="19" t="s">
        <v>5315</v>
      </c>
      <c r="AK554" s="19" t="s">
        <v>5282</v>
      </c>
    </row>
    <row r="555" spans="25:37" x14ac:dyDescent="0.3">
      <c r="Y555" s="19" t="s">
        <v>1364</v>
      </c>
      <c r="Z555" s="19" t="s">
        <v>173</v>
      </c>
      <c r="AA555" s="19" t="s">
        <v>2107</v>
      </c>
      <c r="AB555" s="15"/>
      <c r="AI555" s="19" t="s">
        <v>1493</v>
      </c>
      <c r="AJ555" s="19" t="s">
        <v>5316</v>
      </c>
      <c r="AK555" s="19" t="s">
        <v>5283</v>
      </c>
    </row>
    <row r="556" spans="25:37" x14ac:dyDescent="0.3">
      <c r="Y556" s="19" t="s">
        <v>1364</v>
      </c>
      <c r="Z556" s="19" t="s">
        <v>300</v>
      </c>
      <c r="AA556" s="19" t="s">
        <v>2108</v>
      </c>
      <c r="AB556" s="15"/>
      <c r="AI556" s="19" t="s">
        <v>1493</v>
      </c>
      <c r="AJ556" s="19" t="s">
        <v>5303</v>
      </c>
      <c r="AK556" s="19" t="s">
        <v>5284</v>
      </c>
    </row>
    <row r="557" spans="25:37" x14ac:dyDescent="0.3">
      <c r="Y557" s="19" t="s">
        <v>1364</v>
      </c>
      <c r="Z557" s="19" t="s">
        <v>438</v>
      </c>
      <c r="AA557" s="19" t="s">
        <v>2109</v>
      </c>
      <c r="AB557" s="15"/>
      <c r="AI557" s="19" t="s">
        <v>77</v>
      </c>
      <c r="AJ557" s="19" t="s">
        <v>4593</v>
      </c>
      <c r="AK557" s="19" t="s">
        <v>3593</v>
      </c>
    </row>
    <row r="558" spans="25:37" x14ac:dyDescent="0.3">
      <c r="Y558" s="19" t="s">
        <v>1365</v>
      </c>
      <c r="Z558" s="19" t="s">
        <v>585</v>
      </c>
      <c r="AA558" s="19" t="s">
        <v>2110</v>
      </c>
      <c r="AB558" s="15"/>
      <c r="AI558" s="15" t="s">
        <v>1057</v>
      </c>
      <c r="AJ558" s="15" t="s">
        <v>4594</v>
      </c>
      <c r="AK558" s="15" t="s">
        <v>3594</v>
      </c>
    </row>
    <row r="559" spans="25:37" x14ac:dyDescent="0.3">
      <c r="Y559" s="19" t="s">
        <v>1364</v>
      </c>
      <c r="Z559" s="19" t="s">
        <v>174</v>
      </c>
      <c r="AA559" s="19" t="s">
        <v>2111</v>
      </c>
      <c r="AB559" s="15"/>
      <c r="AI559" s="15" t="s">
        <v>1165</v>
      </c>
      <c r="AJ559" s="15" t="s">
        <v>4595</v>
      </c>
      <c r="AK559" s="15" t="s">
        <v>3595</v>
      </c>
    </row>
    <row r="560" spans="25:37" x14ac:dyDescent="0.3">
      <c r="Y560" s="19" t="s">
        <v>1364</v>
      </c>
      <c r="Z560" s="19" t="s">
        <v>285</v>
      </c>
      <c r="AA560" s="19" t="s">
        <v>2112</v>
      </c>
      <c r="AB560" s="15"/>
      <c r="AI560" s="15" t="s">
        <v>1351</v>
      </c>
      <c r="AJ560" s="15" t="s">
        <v>4596</v>
      </c>
      <c r="AK560" s="15" t="s">
        <v>3596</v>
      </c>
    </row>
    <row r="561" spans="25:37" x14ac:dyDescent="0.3">
      <c r="Y561" s="19" t="s">
        <v>1364</v>
      </c>
      <c r="Z561" s="19" t="s">
        <v>328</v>
      </c>
      <c r="AA561" s="19" t="s">
        <v>2113</v>
      </c>
      <c r="AB561" s="15"/>
      <c r="AI561" s="15" t="s">
        <v>1351</v>
      </c>
      <c r="AJ561" s="15" t="s">
        <v>4597</v>
      </c>
      <c r="AK561" s="15" t="s">
        <v>3597</v>
      </c>
    </row>
    <row r="562" spans="25:37" x14ac:dyDescent="0.3">
      <c r="Y562" s="19" t="s">
        <v>1364</v>
      </c>
      <c r="Z562" s="19" t="s">
        <v>299</v>
      </c>
      <c r="AA562" s="19" t="s">
        <v>2114</v>
      </c>
      <c r="AB562" s="15"/>
      <c r="AI562" s="19" t="s">
        <v>77</v>
      </c>
      <c r="AJ562" s="19" t="s">
        <v>4598</v>
      </c>
      <c r="AK562" s="19" t="s">
        <v>3598</v>
      </c>
    </row>
    <row r="563" spans="25:37" x14ac:dyDescent="0.3">
      <c r="Y563" s="19" t="s">
        <v>1364</v>
      </c>
      <c r="Z563" s="19" t="s">
        <v>439</v>
      </c>
      <c r="AA563" s="19" t="s">
        <v>2115</v>
      </c>
      <c r="AB563" s="15"/>
      <c r="AI563" s="19" t="s">
        <v>77</v>
      </c>
      <c r="AJ563" s="19" t="s">
        <v>4599</v>
      </c>
      <c r="AK563" s="19" t="s">
        <v>3599</v>
      </c>
    </row>
    <row r="564" spans="25:37" x14ac:dyDescent="0.3">
      <c r="Y564" s="19" t="s">
        <v>1364</v>
      </c>
      <c r="Z564" s="19" t="s">
        <v>171</v>
      </c>
      <c r="AA564" s="19" t="s">
        <v>2116</v>
      </c>
      <c r="AB564" s="15"/>
      <c r="AI564" s="19" t="s">
        <v>77</v>
      </c>
      <c r="AJ564" s="19" t="s">
        <v>4600</v>
      </c>
      <c r="AK564" s="19" t="s">
        <v>3600</v>
      </c>
    </row>
    <row r="565" spans="25:37" x14ac:dyDescent="0.3">
      <c r="Y565" s="19" t="s">
        <v>1364</v>
      </c>
      <c r="Z565" s="19" t="s">
        <v>329</v>
      </c>
      <c r="AA565" s="19" t="s">
        <v>2117</v>
      </c>
      <c r="AB565" s="15"/>
      <c r="AI565" s="19" t="s">
        <v>77</v>
      </c>
      <c r="AJ565" s="19" t="s">
        <v>4601</v>
      </c>
      <c r="AK565" s="19" t="s">
        <v>3601</v>
      </c>
    </row>
    <row r="566" spans="25:37" x14ac:dyDescent="0.3">
      <c r="Y566" s="19" t="s">
        <v>1364</v>
      </c>
      <c r="Z566" s="19" t="s">
        <v>1513</v>
      </c>
      <c r="AA566" s="19" t="s">
        <v>2118</v>
      </c>
      <c r="AB566" s="15"/>
      <c r="AI566" s="15" t="s">
        <v>255</v>
      </c>
      <c r="AJ566" s="15" t="s">
        <v>4602</v>
      </c>
      <c r="AK566" s="15" t="s">
        <v>3602</v>
      </c>
    </row>
    <row r="567" spans="25:37" x14ac:dyDescent="0.3">
      <c r="Y567" s="19" t="s">
        <v>1364</v>
      </c>
      <c r="Z567" s="19" t="s">
        <v>1255</v>
      </c>
      <c r="AA567" s="19" t="s">
        <v>2119</v>
      </c>
      <c r="AB567" s="15"/>
      <c r="AI567" s="19" t="s">
        <v>70</v>
      </c>
      <c r="AJ567" s="19" t="s">
        <v>4604</v>
      </c>
      <c r="AK567" s="19" t="s">
        <v>3604</v>
      </c>
    </row>
    <row r="568" spans="25:37" x14ac:dyDescent="0.3">
      <c r="Y568" s="19" t="s">
        <v>1366</v>
      </c>
      <c r="Z568" s="19" t="s">
        <v>1502</v>
      </c>
      <c r="AA568" s="19" t="s">
        <v>2120</v>
      </c>
      <c r="AB568" s="15"/>
      <c r="AI568" s="19" t="s">
        <v>70</v>
      </c>
      <c r="AJ568" s="19" t="s">
        <v>4605</v>
      </c>
      <c r="AK568" s="19" t="s">
        <v>3605</v>
      </c>
    </row>
    <row r="569" spans="25:37" x14ac:dyDescent="0.3">
      <c r="Y569" s="19" t="s">
        <v>1364</v>
      </c>
      <c r="Z569" s="19" t="s">
        <v>298</v>
      </c>
      <c r="AA569" s="19" t="s">
        <v>2121</v>
      </c>
      <c r="AB569" s="15"/>
      <c r="AI569" s="19" t="s">
        <v>65</v>
      </c>
      <c r="AJ569" s="19" t="s">
        <v>4606</v>
      </c>
      <c r="AK569" s="19" t="s">
        <v>3606</v>
      </c>
    </row>
    <row r="570" spans="25:37" x14ac:dyDescent="0.3">
      <c r="Y570" s="19" t="s">
        <v>1364</v>
      </c>
      <c r="Z570" s="19" t="s">
        <v>440</v>
      </c>
      <c r="AA570" s="19" t="s">
        <v>2122</v>
      </c>
      <c r="AB570" s="15"/>
      <c r="AI570" s="19" t="s">
        <v>65</v>
      </c>
      <c r="AJ570" s="19" t="s">
        <v>4607</v>
      </c>
      <c r="AK570" s="19" t="s">
        <v>3607</v>
      </c>
    </row>
    <row r="571" spans="25:37" x14ac:dyDescent="0.3">
      <c r="Y571" s="19" t="s">
        <v>1364</v>
      </c>
      <c r="Z571" s="19" t="s">
        <v>330</v>
      </c>
      <c r="AA571" s="19" t="s">
        <v>2123</v>
      </c>
      <c r="AB571" s="15"/>
      <c r="AI571" s="19" t="s">
        <v>65</v>
      </c>
      <c r="AJ571" s="19" t="s">
        <v>4608</v>
      </c>
      <c r="AK571" s="19" t="s">
        <v>3608</v>
      </c>
    </row>
    <row r="572" spans="25:37" x14ac:dyDescent="0.3">
      <c r="Y572" s="19" t="s">
        <v>1364</v>
      </c>
      <c r="Z572" s="19" t="s">
        <v>1514</v>
      </c>
      <c r="AA572" s="19" t="s">
        <v>2124</v>
      </c>
      <c r="AB572" s="15"/>
      <c r="AI572" s="19" t="s">
        <v>65</v>
      </c>
      <c r="AJ572" s="19" t="s">
        <v>4609</v>
      </c>
      <c r="AK572" s="19" t="s">
        <v>3609</v>
      </c>
    </row>
    <row r="573" spans="25:37" x14ac:dyDescent="0.3">
      <c r="Y573" s="19" t="s">
        <v>1364</v>
      </c>
      <c r="Z573" s="19" t="s">
        <v>293</v>
      </c>
      <c r="AA573" s="19" t="s">
        <v>2125</v>
      </c>
      <c r="AB573" s="15"/>
      <c r="AI573" s="19" t="s">
        <v>65</v>
      </c>
      <c r="AJ573" s="19" t="s">
        <v>4610</v>
      </c>
      <c r="AK573" s="19" t="s">
        <v>3610</v>
      </c>
    </row>
    <row r="574" spans="25:37" x14ac:dyDescent="0.3">
      <c r="Y574" s="19" t="s">
        <v>1364</v>
      </c>
      <c r="Z574" s="19" t="s">
        <v>441</v>
      </c>
      <c r="AA574" s="19" t="s">
        <v>2126</v>
      </c>
      <c r="AB574" s="15"/>
      <c r="AI574" s="15" t="s">
        <v>1114</v>
      </c>
      <c r="AJ574" s="15" t="s">
        <v>4611</v>
      </c>
      <c r="AK574" s="15" t="s">
        <v>3611</v>
      </c>
    </row>
    <row r="575" spans="25:37" x14ac:dyDescent="0.3">
      <c r="Y575" s="19" t="s">
        <v>1364</v>
      </c>
      <c r="Z575" s="19" t="s">
        <v>331</v>
      </c>
      <c r="AA575" s="19" t="s">
        <v>2127</v>
      </c>
      <c r="AB575" s="15"/>
      <c r="AI575" s="15" t="s">
        <v>1114</v>
      </c>
      <c r="AJ575" s="15" t="s">
        <v>4612</v>
      </c>
      <c r="AK575" s="15" t="s">
        <v>3612</v>
      </c>
    </row>
    <row r="576" spans="25:37" x14ac:dyDescent="0.3">
      <c r="Y576" s="19" t="s">
        <v>1366</v>
      </c>
      <c r="Z576" s="19" t="s">
        <v>1503</v>
      </c>
      <c r="AA576" s="19" t="s">
        <v>2128</v>
      </c>
      <c r="AB576" s="15"/>
      <c r="AI576" s="19" t="s">
        <v>78</v>
      </c>
      <c r="AJ576" s="19" t="s">
        <v>4613</v>
      </c>
      <c r="AK576" s="19" t="s">
        <v>3613</v>
      </c>
    </row>
    <row r="577" spans="25:37" x14ac:dyDescent="0.3">
      <c r="Y577" s="19" t="s">
        <v>1364</v>
      </c>
      <c r="Z577" s="19" t="s">
        <v>1508</v>
      </c>
      <c r="AA577" s="19" t="s">
        <v>2129</v>
      </c>
      <c r="AB577" s="15"/>
      <c r="AI577" s="19" t="s">
        <v>78</v>
      </c>
      <c r="AJ577" s="19" t="s">
        <v>4614</v>
      </c>
      <c r="AK577" s="19" t="s">
        <v>3614</v>
      </c>
    </row>
    <row r="578" spans="25:37" x14ac:dyDescent="0.3">
      <c r="Y578" s="19" t="s">
        <v>1364</v>
      </c>
      <c r="Z578" s="19" t="s">
        <v>291</v>
      </c>
      <c r="AA578" s="19" t="s">
        <v>2130</v>
      </c>
      <c r="AB578" s="15"/>
      <c r="AI578" s="19" t="s">
        <v>490</v>
      </c>
      <c r="AJ578" s="19" t="s">
        <v>4615</v>
      </c>
      <c r="AK578" s="19" t="s">
        <v>3615</v>
      </c>
    </row>
    <row r="579" spans="25:37" x14ac:dyDescent="0.3">
      <c r="Y579" s="19" t="s">
        <v>1364</v>
      </c>
      <c r="Z579" s="19" t="s">
        <v>198</v>
      </c>
      <c r="AA579" s="19" t="s">
        <v>2131</v>
      </c>
      <c r="AB579" s="15"/>
      <c r="AI579" s="19" t="s">
        <v>64</v>
      </c>
      <c r="AJ579" s="19" t="s">
        <v>4616</v>
      </c>
      <c r="AK579" s="19" t="s">
        <v>3616</v>
      </c>
    </row>
    <row r="580" spans="25:37" x14ac:dyDescent="0.3">
      <c r="Y580" s="19" t="s">
        <v>1366</v>
      </c>
      <c r="Z580" s="19" t="s">
        <v>447</v>
      </c>
      <c r="AA580" s="19" t="s">
        <v>2132</v>
      </c>
      <c r="AB580" s="15"/>
      <c r="AI580" s="19" t="s">
        <v>69</v>
      </c>
      <c r="AJ580" s="19" t="s">
        <v>4617</v>
      </c>
      <c r="AK580" s="19" t="s">
        <v>3617</v>
      </c>
    </row>
    <row r="581" spans="25:37" x14ac:dyDescent="0.3">
      <c r="Y581" s="19" t="s">
        <v>1364</v>
      </c>
      <c r="Z581" s="19" t="s">
        <v>292</v>
      </c>
      <c r="AA581" s="19" t="s">
        <v>2133</v>
      </c>
      <c r="AB581" s="15"/>
      <c r="AI581" s="15" t="s">
        <v>1093</v>
      </c>
      <c r="AJ581" s="15" t="s">
        <v>4618</v>
      </c>
      <c r="AK581" s="15" t="s">
        <v>3618</v>
      </c>
    </row>
    <row r="582" spans="25:37" x14ac:dyDescent="0.3">
      <c r="Y582" s="19" t="s">
        <v>1364</v>
      </c>
      <c r="Z582" s="19" t="s">
        <v>332</v>
      </c>
      <c r="AA582" s="19" t="s">
        <v>2134</v>
      </c>
      <c r="AB582" s="15"/>
      <c r="AI582" s="15" t="s">
        <v>1266</v>
      </c>
      <c r="AJ582" s="15" t="s">
        <v>4619</v>
      </c>
      <c r="AK582" s="15" t="s">
        <v>3619</v>
      </c>
    </row>
    <row r="583" spans="25:37" x14ac:dyDescent="0.3">
      <c r="Y583" s="19" t="s">
        <v>1364</v>
      </c>
      <c r="Z583" s="19" t="s">
        <v>158</v>
      </c>
      <c r="AA583" s="19" t="s">
        <v>2135</v>
      </c>
      <c r="AB583" s="15"/>
      <c r="AI583" s="15" t="s">
        <v>1137</v>
      </c>
      <c r="AJ583" s="15" t="s">
        <v>4620</v>
      </c>
      <c r="AK583" s="15" t="s">
        <v>3620</v>
      </c>
    </row>
    <row r="584" spans="25:37" x14ac:dyDescent="0.3">
      <c r="Y584" s="19" t="s">
        <v>1364</v>
      </c>
      <c r="Z584" s="19" t="s">
        <v>1274</v>
      </c>
      <c r="AA584" s="19" t="s">
        <v>2136</v>
      </c>
      <c r="AB584" s="15"/>
      <c r="AI584" s="15" t="s">
        <v>1137</v>
      </c>
      <c r="AJ584" s="15" t="s">
        <v>4621</v>
      </c>
      <c r="AK584" s="15" t="s">
        <v>3621</v>
      </c>
    </row>
    <row r="585" spans="25:37" x14ac:dyDescent="0.3">
      <c r="Y585" s="19" t="s">
        <v>1364</v>
      </c>
      <c r="Z585" s="19" t="s">
        <v>1233</v>
      </c>
      <c r="AA585" s="19" t="s">
        <v>2137</v>
      </c>
      <c r="AB585" s="15"/>
      <c r="AI585" s="15" t="s">
        <v>1137</v>
      </c>
      <c r="AJ585" s="15" t="s">
        <v>4622</v>
      </c>
      <c r="AK585" s="15" t="s">
        <v>3622</v>
      </c>
    </row>
    <row r="586" spans="25:37" x14ac:dyDescent="0.3">
      <c r="Y586" s="19" t="s">
        <v>1364</v>
      </c>
      <c r="Z586" s="19" t="s">
        <v>1281</v>
      </c>
      <c r="AA586" s="19" t="s">
        <v>2138</v>
      </c>
      <c r="AB586" s="15"/>
      <c r="AI586" s="15" t="s">
        <v>1137</v>
      </c>
      <c r="AJ586" s="15" t="s">
        <v>4623</v>
      </c>
      <c r="AK586" s="15" t="s">
        <v>3623</v>
      </c>
    </row>
    <row r="587" spans="25:37" x14ac:dyDescent="0.3">
      <c r="Y587" s="19" t="s">
        <v>1364</v>
      </c>
      <c r="Z587" s="19" t="s">
        <v>197</v>
      </c>
      <c r="AA587" s="19" t="s">
        <v>2139</v>
      </c>
      <c r="AB587" s="15"/>
      <c r="AI587" s="15" t="s">
        <v>1356</v>
      </c>
      <c r="AJ587" s="15" t="s">
        <v>4365</v>
      </c>
      <c r="AK587" s="15" t="s">
        <v>3624</v>
      </c>
    </row>
    <row r="588" spans="25:37" x14ac:dyDescent="0.3">
      <c r="Y588" s="19" t="s">
        <v>1364</v>
      </c>
      <c r="Z588" s="19" t="s">
        <v>442</v>
      </c>
      <c r="AA588" s="19" t="s">
        <v>2140</v>
      </c>
      <c r="AB588" s="15"/>
      <c r="AI588" s="15" t="s">
        <v>1081</v>
      </c>
      <c r="AJ588" s="15" t="s">
        <v>4624</v>
      </c>
      <c r="AK588" s="15" t="s">
        <v>3625</v>
      </c>
    </row>
    <row r="589" spans="25:37" x14ac:dyDescent="0.3">
      <c r="Y589" s="19" t="s">
        <v>1364</v>
      </c>
      <c r="Z589" s="19" t="s">
        <v>289</v>
      </c>
      <c r="AA589" s="19" t="s">
        <v>2141</v>
      </c>
      <c r="AB589" s="15"/>
      <c r="AI589" s="15" t="s">
        <v>1057</v>
      </c>
      <c r="AJ589" s="15" t="s">
        <v>4625</v>
      </c>
      <c r="AK589" s="15" t="s">
        <v>3626</v>
      </c>
    </row>
    <row r="590" spans="25:37" x14ac:dyDescent="0.3">
      <c r="Y590" s="19" t="s">
        <v>1364</v>
      </c>
      <c r="Z590" s="19" t="s">
        <v>1273</v>
      </c>
      <c r="AA590" s="19" t="s">
        <v>2142</v>
      </c>
      <c r="AB590" s="15"/>
      <c r="AI590" s="15" t="s">
        <v>224</v>
      </c>
      <c r="AJ590" s="15" t="s">
        <v>4626</v>
      </c>
      <c r="AK590" s="15" t="s">
        <v>3627</v>
      </c>
    </row>
    <row r="591" spans="25:37" x14ac:dyDescent="0.3">
      <c r="Y591" s="19" t="s">
        <v>1364</v>
      </c>
      <c r="Z591" s="19" t="s">
        <v>337</v>
      </c>
      <c r="AA591" s="19" t="s">
        <v>2143</v>
      </c>
      <c r="AB591" s="15"/>
      <c r="AI591" s="15" t="s">
        <v>224</v>
      </c>
      <c r="AJ591" s="15" t="s">
        <v>4627</v>
      </c>
      <c r="AK591" s="15" t="s">
        <v>3628</v>
      </c>
    </row>
    <row r="592" spans="25:37" x14ac:dyDescent="0.3">
      <c r="Y592" s="19" t="s">
        <v>1364</v>
      </c>
      <c r="Z592" s="19" t="s">
        <v>207</v>
      </c>
      <c r="AA592" s="19" t="s">
        <v>2144</v>
      </c>
      <c r="AB592" s="15"/>
      <c r="AI592" s="15" t="s">
        <v>1059</v>
      </c>
      <c r="AJ592" s="15" t="s">
        <v>4628</v>
      </c>
      <c r="AK592" s="15" t="s">
        <v>3629</v>
      </c>
    </row>
    <row r="593" spans="25:37" x14ac:dyDescent="0.3">
      <c r="Y593" s="19" t="s">
        <v>1364</v>
      </c>
      <c r="Z593" s="19" t="s">
        <v>165</v>
      </c>
      <c r="AA593" s="19" t="s">
        <v>2145</v>
      </c>
      <c r="AB593" s="15"/>
      <c r="AI593" s="15" t="s">
        <v>1059</v>
      </c>
      <c r="AJ593" s="15" t="s">
        <v>4629</v>
      </c>
      <c r="AK593" s="15" t="s">
        <v>3630</v>
      </c>
    </row>
    <row r="594" spans="25:37" x14ac:dyDescent="0.3">
      <c r="Y594" s="19" t="s">
        <v>1365</v>
      </c>
      <c r="Z594" s="19" t="s">
        <v>1504</v>
      </c>
      <c r="AA594" s="19" t="s">
        <v>2146</v>
      </c>
      <c r="AB594" s="15"/>
      <c r="AI594" s="19" t="s">
        <v>65</v>
      </c>
      <c r="AJ594" s="19" t="s">
        <v>4630</v>
      </c>
      <c r="AK594" s="19" t="s">
        <v>3631</v>
      </c>
    </row>
    <row r="595" spans="25:37" x14ac:dyDescent="0.3">
      <c r="Y595" s="19" t="s">
        <v>1364</v>
      </c>
      <c r="Z595" s="19" t="s">
        <v>435</v>
      </c>
      <c r="AA595" s="19" t="s">
        <v>2147</v>
      </c>
      <c r="AB595" s="15"/>
      <c r="AI595" s="19" t="s">
        <v>65</v>
      </c>
      <c r="AJ595" s="19" t="s">
        <v>4631</v>
      </c>
      <c r="AK595" s="19" t="s">
        <v>3632</v>
      </c>
    </row>
    <row r="596" spans="25:37" x14ac:dyDescent="0.3">
      <c r="Y596" s="19" t="s">
        <v>1364</v>
      </c>
      <c r="Z596" s="19" t="s">
        <v>338</v>
      </c>
      <c r="AA596" s="19" t="s">
        <v>2148</v>
      </c>
      <c r="AB596" s="15"/>
      <c r="AI596" s="19" t="s">
        <v>65</v>
      </c>
      <c r="AJ596" s="19" t="s">
        <v>4632</v>
      </c>
      <c r="AK596" s="19" t="s">
        <v>3633</v>
      </c>
    </row>
    <row r="597" spans="25:37" x14ac:dyDescent="0.3">
      <c r="Y597" s="19" t="s">
        <v>1364</v>
      </c>
      <c r="Z597" s="19" t="s">
        <v>284</v>
      </c>
      <c r="AA597" s="19" t="s">
        <v>2149</v>
      </c>
      <c r="AB597" s="15"/>
      <c r="AI597" s="19" t="s">
        <v>65</v>
      </c>
      <c r="AJ597" s="19" t="s">
        <v>4633</v>
      </c>
      <c r="AK597" s="19" t="s">
        <v>3634</v>
      </c>
    </row>
    <row r="598" spans="25:37" x14ac:dyDescent="0.3">
      <c r="Y598" s="19" t="s">
        <v>1364</v>
      </c>
      <c r="Z598" s="19" t="s">
        <v>206</v>
      </c>
      <c r="AA598" s="19" t="s">
        <v>2150</v>
      </c>
      <c r="AB598" s="15"/>
      <c r="AI598" s="19" t="s">
        <v>65</v>
      </c>
      <c r="AJ598" s="19" t="s">
        <v>4634</v>
      </c>
      <c r="AK598" s="19" t="s">
        <v>3635</v>
      </c>
    </row>
    <row r="599" spans="25:37" x14ac:dyDescent="0.3">
      <c r="Y599" s="19" t="s">
        <v>1364</v>
      </c>
      <c r="Z599" s="19" t="s">
        <v>357</v>
      </c>
      <c r="AA599" s="19" t="s">
        <v>2151</v>
      </c>
      <c r="AB599" s="15"/>
      <c r="AI599" s="19" t="s">
        <v>65</v>
      </c>
      <c r="AJ599" s="19" t="s">
        <v>4635</v>
      </c>
      <c r="AK599" s="19" t="s">
        <v>3636</v>
      </c>
    </row>
    <row r="600" spans="25:37" x14ac:dyDescent="0.3">
      <c r="Y600" s="19" t="s">
        <v>1366</v>
      </c>
      <c r="Z600" s="19" t="s">
        <v>1505</v>
      </c>
      <c r="AA600" s="19" t="s">
        <v>2152</v>
      </c>
      <c r="AB600" s="15"/>
      <c r="AI600" s="19" t="s">
        <v>65</v>
      </c>
      <c r="AJ600" s="19" t="s">
        <v>4636</v>
      </c>
      <c r="AK600" s="19" t="s">
        <v>3637</v>
      </c>
    </row>
    <row r="601" spans="25:37" x14ac:dyDescent="0.3">
      <c r="Y601" s="19" t="s">
        <v>1364</v>
      </c>
      <c r="Z601" s="19" t="s">
        <v>339</v>
      </c>
      <c r="AA601" s="19" t="s">
        <v>2153</v>
      </c>
      <c r="AB601" s="15"/>
      <c r="AI601" s="15" t="s">
        <v>1061</v>
      </c>
      <c r="AJ601" s="15" t="s">
        <v>4637</v>
      </c>
      <c r="AK601" s="15" t="s">
        <v>3638</v>
      </c>
    </row>
    <row r="602" spans="25:37" x14ac:dyDescent="0.3">
      <c r="Y602" s="19" t="s">
        <v>1364</v>
      </c>
      <c r="Z602" s="19" t="s">
        <v>344</v>
      </c>
      <c r="AA602" s="19" t="s">
        <v>2154</v>
      </c>
      <c r="AB602" s="15"/>
      <c r="AI602" s="15" t="s">
        <v>538</v>
      </c>
      <c r="AJ602" s="15" t="s">
        <v>4638</v>
      </c>
      <c r="AK602" s="15" t="s">
        <v>3639</v>
      </c>
    </row>
    <row r="603" spans="25:37" x14ac:dyDescent="0.3">
      <c r="Y603" s="19" t="s">
        <v>1364</v>
      </c>
      <c r="Z603" s="19" t="s">
        <v>1248</v>
      </c>
      <c r="AA603" s="19" t="s">
        <v>2155</v>
      </c>
      <c r="AB603" s="15"/>
      <c r="AI603" s="15" t="s">
        <v>1062</v>
      </c>
      <c r="AJ603" s="15" t="s">
        <v>4639</v>
      </c>
      <c r="AK603" s="15" t="s">
        <v>3640</v>
      </c>
    </row>
    <row r="604" spans="25:37" x14ac:dyDescent="0.3">
      <c r="Y604" s="19" t="s">
        <v>1364</v>
      </c>
      <c r="Z604" s="19" t="s">
        <v>340</v>
      </c>
      <c r="AA604" s="19" t="s">
        <v>2156</v>
      </c>
      <c r="AB604" s="15"/>
      <c r="AI604" s="15" t="s">
        <v>5426</v>
      </c>
      <c r="AJ604" s="15" t="s">
        <v>4640</v>
      </c>
      <c r="AK604" s="15" t="s">
        <v>3641</v>
      </c>
    </row>
    <row r="605" spans="25:37" x14ac:dyDescent="0.3">
      <c r="Y605" s="19" t="s">
        <v>1364</v>
      </c>
      <c r="Z605" s="19" t="s">
        <v>345</v>
      </c>
      <c r="AA605" s="19" t="s">
        <v>2157</v>
      </c>
      <c r="AB605" s="15"/>
      <c r="AI605" s="15" t="s">
        <v>5426</v>
      </c>
      <c r="AJ605" s="15" t="s">
        <v>4641</v>
      </c>
      <c r="AK605" s="15" t="s">
        <v>3642</v>
      </c>
    </row>
    <row r="606" spans="25:37" x14ac:dyDescent="0.3">
      <c r="Y606" s="19" t="s">
        <v>1366</v>
      </c>
      <c r="Z606" s="19" t="s">
        <v>1517</v>
      </c>
      <c r="AA606" s="19" t="s">
        <v>2158</v>
      </c>
      <c r="AB606" s="15"/>
      <c r="AI606" s="15" t="s">
        <v>1063</v>
      </c>
      <c r="AJ606" s="15" t="s">
        <v>4642</v>
      </c>
      <c r="AK606" s="15" t="s">
        <v>3643</v>
      </c>
    </row>
    <row r="607" spans="25:37" x14ac:dyDescent="0.3">
      <c r="Y607" s="19" t="s">
        <v>1364</v>
      </c>
      <c r="Z607" s="19" t="s">
        <v>341</v>
      </c>
      <c r="AA607" s="19" t="s">
        <v>2159</v>
      </c>
      <c r="AB607" s="15"/>
      <c r="AI607" s="15" t="s">
        <v>1064</v>
      </c>
      <c r="AJ607" s="15" t="s">
        <v>4643</v>
      </c>
      <c r="AK607" s="15" t="s">
        <v>3644</v>
      </c>
    </row>
    <row r="608" spans="25:37" x14ac:dyDescent="0.3">
      <c r="Y608" s="19" t="s">
        <v>1364</v>
      </c>
      <c r="Z608" s="19" t="s">
        <v>205</v>
      </c>
      <c r="AA608" s="19" t="s">
        <v>2160</v>
      </c>
      <c r="AB608" s="15"/>
      <c r="AI608" s="15" t="s">
        <v>1064</v>
      </c>
      <c r="AJ608" s="15" t="s">
        <v>4644</v>
      </c>
      <c r="AK608" s="15" t="s">
        <v>3645</v>
      </c>
    </row>
    <row r="609" spans="25:37" x14ac:dyDescent="0.3">
      <c r="Y609" s="19" t="s">
        <v>1364</v>
      </c>
      <c r="Z609" s="19" t="s">
        <v>346</v>
      </c>
      <c r="AA609" s="19" t="s">
        <v>2161</v>
      </c>
      <c r="AB609" s="15"/>
      <c r="AI609" s="15" t="s">
        <v>538</v>
      </c>
      <c r="AJ609" s="15" t="s">
        <v>4645</v>
      </c>
      <c r="AK609" s="15" t="s">
        <v>3646</v>
      </c>
    </row>
    <row r="610" spans="25:37" x14ac:dyDescent="0.3">
      <c r="Y610" s="19" t="s">
        <v>1364</v>
      </c>
      <c r="Z610" s="19" t="s">
        <v>128</v>
      </c>
      <c r="AA610" s="19" t="s">
        <v>2162</v>
      </c>
      <c r="AB610" s="15"/>
      <c r="AI610" s="15" t="s">
        <v>1071</v>
      </c>
      <c r="AJ610" s="15" t="s">
        <v>4646</v>
      </c>
      <c r="AK610" s="15" t="s">
        <v>3647</v>
      </c>
    </row>
    <row r="611" spans="25:37" x14ac:dyDescent="0.3">
      <c r="Y611" s="19" t="s">
        <v>1366</v>
      </c>
      <c r="Z611" s="19" t="s">
        <v>202</v>
      </c>
      <c r="AA611" s="19" t="s">
        <v>2163</v>
      </c>
      <c r="AB611" s="15"/>
      <c r="AI611" s="15" t="s">
        <v>1130</v>
      </c>
      <c r="AJ611" s="15" t="s">
        <v>4647</v>
      </c>
      <c r="AK611" s="15" t="s">
        <v>3648</v>
      </c>
    </row>
    <row r="612" spans="25:37" x14ac:dyDescent="0.3">
      <c r="Y612" s="19" t="s">
        <v>1364</v>
      </c>
      <c r="Z612" s="19" t="s">
        <v>443</v>
      </c>
      <c r="AA612" s="19" t="s">
        <v>2164</v>
      </c>
      <c r="AB612" s="15"/>
      <c r="AI612" s="15" t="s">
        <v>538</v>
      </c>
      <c r="AJ612" s="15" t="s">
        <v>4648</v>
      </c>
      <c r="AK612" s="15" t="s">
        <v>3649</v>
      </c>
    </row>
    <row r="613" spans="25:37" x14ac:dyDescent="0.3">
      <c r="Y613" s="19" t="s">
        <v>1364</v>
      </c>
      <c r="Z613" s="19" t="s">
        <v>196</v>
      </c>
      <c r="AA613" s="19" t="s">
        <v>2165</v>
      </c>
      <c r="AB613" s="15"/>
      <c r="AI613" s="15" t="s">
        <v>1081</v>
      </c>
      <c r="AJ613" s="15" t="s">
        <v>4566</v>
      </c>
      <c r="AK613" s="15" t="s">
        <v>3650</v>
      </c>
    </row>
    <row r="614" spans="25:37" x14ac:dyDescent="0.3">
      <c r="Y614" s="19" t="s">
        <v>1364</v>
      </c>
      <c r="Z614" s="19" t="s">
        <v>434</v>
      </c>
      <c r="AA614" s="19" t="s">
        <v>2166</v>
      </c>
      <c r="AB614" s="15"/>
      <c r="AI614" s="15" t="s">
        <v>1080</v>
      </c>
      <c r="AJ614" s="15" t="s">
        <v>4649</v>
      </c>
      <c r="AK614" s="15" t="s">
        <v>3651</v>
      </c>
    </row>
    <row r="615" spans="25:37" x14ac:dyDescent="0.3">
      <c r="Y615" s="19" t="s">
        <v>1364</v>
      </c>
      <c r="Z615" s="19" t="s">
        <v>1252</v>
      </c>
      <c r="AA615" s="19" t="s">
        <v>2167</v>
      </c>
      <c r="AB615" s="15"/>
      <c r="AI615" s="19" t="s">
        <v>227</v>
      </c>
      <c r="AJ615" s="19" t="s">
        <v>4650</v>
      </c>
      <c r="AK615" s="19" t="s">
        <v>3652</v>
      </c>
    </row>
    <row r="616" spans="25:37" x14ac:dyDescent="0.3">
      <c r="Y616" s="19" t="s">
        <v>1364</v>
      </c>
      <c r="Z616" s="19" t="s">
        <v>347</v>
      </c>
      <c r="AA616" s="19" t="s">
        <v>2168</v>
      </c>
      <c r="AB616" s="15"/>
      <c r="AI616" s="19" t="s">
        <v>227</v>
      </c>
      <c r="AJ616" s="19" t="s">
        <v>4651</v>
      </c>
      <c r="AK616" s="19" t="s">
        <v>3653</v>
      </c>
    </row>
    <row r="617" spans="25:37" x14ac:dyDescent="0.3">
      <c r="Y617" s="19" t="s">
        <v>1364</v>
      </c>
      <c r="Z617" s="19" t="s">
        <v>342</v>
      </c>
      <c r="AA617" s="19" t="s">
        <v>2169</v>
      </c>
      <c r="AB617" s="15"/>
      <c r="AI617" s="19" t="s">
        <v>77</v>
      </c>
      <c r="AJ617" s="19" t="s">
        <v>4652</v>
      </c>
      <c r="AK617" s="19" t="s">
        <v>3654</v>
      </c>
    </row>
    <row r="618" spans="25:37" x14ac:dyDescent="0.3">
      <c r="Y618" s="19" t="s">
        <v>1364</v>
      </c>
      <c r="Z618" s="19" t="s">
        <v>296</v>
      </c>
      <c r="AA618" s="19" t="s">
        <v>2170</v>
      </c>
      <c r="AB618" s="15"/>
      <c r="AI618" s="19" t="s">
        <v>65</v>
      </c>
      <c r="AJ618" s="19" t="s">
        <v>4653</v>
      </c>
      <c r="AK618" s="19" t="s">
        <v>3655</v>
      </c>
    </row>
    <row r="619" spans="25:37" x14ac:dyDescent="0.3">
      <c r="Y619" s="19" t="s">
        <v>1364</v>
      </c>
      <c r="Z619" s="19" t="s">
        <v>343</v>
      </c>
      <c r="AA619" s="19" t="s">
        <v>2171</v>
      </c>
      <c r="AB619" s="15"/>
      <c r="AI619" s="15" t="s">
        <v>1172</v>
      </c>
      <c r="AJ619" s="15" t="s">
        <v>4654</v>
      </c>
      <c r="AK619" s="15" t="s">
        <v>3656</v>
      </c>
    </row>
    <row r="620" spans="25:37" x14ac:dyDescent="0.3">
      <c r="Y620" s="19" t="s">
        <v>1364</v>
      </c>
      <c r="Z620" s="19" t="s">
        <v>311</v>
      </c>
      <c r="AA620" s="19" t="s">
        <v>2172</v>
      </c>
      <c r="AB620" s="15"/>
      <c r="AI620" s="15" t="s">
        <v>1075</v>
      </c>
      <c r="AJ620" s="15" t="s">
        <v>4655</v>
      </c>
      <c r="AK620" s="15" t="s">
        <v>3657</v>
      </c>
    </row>
    <row r="621" spans="25:37" x14ac:dyDescent="0.3">
      <c r="Y621" s="19" t="s">
        <v>1364</v>
      </c>
      <c r="Z621" s="19" t="s">
        <v>348</v>
      </c>
      <c r="AA621" s="19" t="s">
        <v>2173</v>
      </c>
      <c r="AB621" s="15"/>
      <c r="AI621" s="15" t="s">
        <v>1096</v>
      </c>
      <c r="AJ621" s="15" t="s">
        <v>4656</v>
      </c>
      <c r="AK621" s="15" t="s">
        <v>3658</v>
      </c>
    </row>
    <row r="622" spans="25:37" x14ac:dyDescent="0.3">
      <c r="Y622" s="19" t="s">
        <v>1364</v>
      </c>
      <c r="Z622" s="19" t="s">
        <v>444</v>
      </c>
      <c r="AA622" s="19" t="s">
        <v>2174</v>
      </c>
      <c r="AB622" s="15"/>
      <c r="AI622" s="15" t="s">
        <v>1081</v>
      </c>
      <c r="AJ622" s="15" t="s">
        <v>4657</v>
      </c>
      <c r="AK622" s="15" t="s">
        <v>3659</v>
      </c>
    </row>
    <row r="623" spans="25:37" x14ac:dyDescent="0.3">
      <c r="Y623" s="19" t="s">
        <v>1364</v>
      </c>
      <c r="Z623" s="19" t="s">
        <v>290</v>
      </c>
      <c r="AA623" s="19" t="s">
        <v>2175</v>
      </c>
      <c r="AB623" s="15"/>
      <c r="AI623" s="15" t="s">
        <v>1080</v>
      </c>
      <c r="AJ623" s="15" t="s">
        <v>4658</v>
      </c>
      <c r="AK623" s="15" t="s">
        <v>3660</v>
      </c>
    </row>
    <row r="624" spans="25:37" x14ac:dyDescent="0.3">
      <c r="Y624" s="19" t="s">
        <v>1364</v>
      </c>
      <c r="Z624" s="19" t="s">
        <v>312</v>
      </c>
      <c r="AA624" s="19" t="s">
        <v>2176</v>
      </c>
      <c r="AB624" s="15"/>
      <c r="AI624" s="15" t="s">
        <v>224</v>
      </c>
      <c r="AJ624" s="15" t="s">
        <v>4659</v>
      </c>
      <c r="AK624" s="15" t="s">
        <v>3661</v>
      </c>
    </row>
    <row r="625" spans="25:37" x14ac:dyDescent="0.3">
      <c r="Y625" s="19" t="s">
        <v>1364</v>
      </c>
      <c r="Z625" s="19" t="s">
        <v>349</v>
      </c>
      <c r="AA625" s="19" t="s">
        <v>2177</v>
      </c>
      <c r="AB625" s="15"/>
      <c r="AI625" s="19" t="s">
        <v>77</v>
      </c>
      <c r="AJ625" s="19" t="s">
        <v>4660</v>
      </c>
      <c r="AK625" s="19" t="s">
        <v>3662</v>
      </c>
    </row>
    <row r="626" spans="25:37" x14ac:dyDescent="0.3">
      <c r="Y626" s="19" t="s">
        <v>1364</v>
      </c>
      <c r="Z626" s="19" t="s">
        <v>461</v>
      </c>
      <c r="AA626" s="19" t="s">
        <v>2178</v>
      </c>
      <c r="AB626" s="15"/>
      <c r="AI626" s="19" t="s">
        <v>77</v>
      </c>
      <c r="AJ626" s="19" t="s">
        <v>4661</v>
      </c>
      <c r="AK626" s="19" t="s">
        <v>3663</v>
      </c>
    </row>
    <row r="627" spans="25:37" x14ac:dyDescent="0.3">
      <c r="Y627" s="19" t="s">
        <v>1364</v>
      </c>
      <c r="Z627" s="19" t="s">
        <v>445</v>
      </c>
      <c r="AA627" s="19" t="s">
        <v>2179</v>
      </c>
      <c r="AB627" s="15"/>
      <c r="AI627" s="15" t="s">
        <v>224</v>
      </c>
      <c r="AJ627" s="15" t="s">
        <v>4662</v>
      </c>
      <c r="AK627" s="15" t="s">
        <v>3664</v>
      </c>
    </row>
    <row r="628" spans="25:37" x14ac:dyDescent="0.3">
      <c r="Y628" s="19" t="s">
        <v>1364</v>
      </c>
      <c r="Z628" s="19" t="s">
        <v>1507</v>
      </c>
      <c r="AA628" s="19" t="s">
        <v>2180</v>
      </c>
      <c r="AB628" s="15"/>
      <c r="AI628" s="15" t="s">
        <v>224</v>
      </c>
      <c r="AJ628" s="15" t="s">
        <v>4663</v>
      </c>
      <c r="AK628" s="15" t="s">
        <v>3665</v>
      </c>
    </row>
    <row r="629" spans="25:37" x14ac:dyDescent="0.3">
      <c r="Y629" s="19" t="s">
        <v>1364</v>
      </c>
      <c r="Z629" s="19" t="s">
        <v>350</v>
      </c>
      <c r="AA629" s="19" t="s">
        <v>2181</v>
      </c>
      <c r="AB629" s="15"/>
      <c r="AI629" s="15" t="s">
        <v>1105</v>
      </c>
      <c r="AJ629" s="15" t="s">
        <v>4664</v>
      </c>
      <c r="AK629" s="15" t="s">
        <v>3666</v>
      </c>
    </row>
    <row r="630" spans="25:37" x14ac:dyDescent="0.3">
      <c r="Y630" s="19" t="s">
        <v>1364</v>
      </c>
      <c r="Z630" s="19" t="s">
        <v>313</v>
      </c>
      <c r="AA630" s="19" t="s">
        <v>2182</v>
      </c>
      <c r="AB630" s="15"/>
      <c r="AI630" s="19" t="s">
        <v>77</v>
      </c>
      <c r="AJ630" s="19" t="s">
        <v>4665</v>
      </c>
      <c r="AK630" s="19" t="s">
        <v>3667</v>
      </c>
    </row>
    <row r="631" spans="25:37" x14ac:dyDescent="0.3">
      <c r="Y631" s="19" t="s">
        <v>1364</v>
      </c>
      <c r="Z631" s="19" t="s">
        <v>351</v>
      </c>
      <c r="AA631" s="19" t="s">
        <v>2183</v>
      </c>
      <c r="AB631" s="15"/>
      <c r="AI631" s="19" t="s">
        <v>77</v>
      </c>
      <c r="AJ631" s="19" t="s">
        <v>4666</v>
      </c>
      <c r="AK631" s="19" t="s">
        <v>3668</v>
      </c>
    </row>
    <row r="632" spans="25:37" x14ac:dyDescent="0.3">
      <c r="Y632" s="19" t="s">
        <v>1364</v>
      </c>
      <c r="Z632" s="19" t="s">
        <v>314</v>
      </c>
      <c r="AA632" s="19" t="s">
        <v>2184</v>
      </c>
      <c r="AB632" s="15"/>
      <c r="AI632" s="15" t="s">
        <v>1081</v>
      </c>
      <c r="AJ632" s="15" t="s">
        <v>4667</v>
      </c>
      <c r="AK632" s="15" t="s">
        <v>3669</v>
      </c>
    </row>
    <row r="633" spans="25:37" x14ac:dyDescent="0.3">
      <c r="Y633" s="19" t="s">
        <v>1364</v>
      </c>
      <c r="Z633" s="19" t="s">
        <v>1197</v>
      </c>
      <c r="AA633" s="19" t="s">
        <v>2185</v>
      </c>
      <c r="AB633" s="15"/>
      <c r="AI633" s="15" t="s">
        <v>1337</v>
      </c>
      <c r="AJ633" s="15" t="s">
        <v>4668</v>
      </c>
      <c r="AK633" s="15" t="s">
        <v>3670</v>
      </c>
    </row>
    <row r="634" spans="25:37" x14ac:dyDescent="0.3">
      <c r="Y634" s="19" t="s">
        <v>1365</v>
      </c>
      <c r="Z634" s="19" t="s">
        <v>1518</v>
      </c>
      <c r="AA634" s="19" t="s">
        <v>2186</v>
      </c>
      <c r="AB634" s="15"/>
      <c r="AI634" s="15" t="s">
        <v>1043</v>
      </c>
      <c r="AJ634" s="15" t="s">
        <v>4669</v>
      </c>
      <c r="AK634" s="15" t="s">
        <v>3671</v>
      </c>
    </row>
    <row r="635" spans="25:37" x14ac:dyDescent="0.3">
      <c r="Y635" s="19" t="s">
        <v>1365</v>
      </c>
      <c r="Z635" s="19" t="s">
        <v>1108</v>
      </c>
      <c r="AA635" s="19" t="s">
        <v>2187</v>
      </c>
      <c r="AB635" s="15"/>
      <c r="AI635" s="15" t="s">
        <v>576</v>
      </c>
      <c r="AJ635" s="15" t="s">
        <v>4670</v>
      </c>
      <c r="AK635" s="15" t="s">
        <v>3672</v>
      </c>
    </row>
    <row r="636" spans="25:37" x14ac:dyDescent="0.3">
      <c r="Y636" s="19" t="s">
        <v>1364</v>
      </c>
      <c r="Z636" s="19" t="s">
        <v>204</v>
      </c>
      <c r="AA636" s="19" t="s">
        <v>2188</v>
      </c>
      <c r="AB636" s="15"/>
      <c r="AI636" s="15" t="s">
        <v>89</v>
      </c>
      <c r="AJ636" s="15" t="s">
        <v>4671</v>
      </c>
      <c r="AK636" s="15" t="s">
        <v>3673</v>
      </c>
    </row>
    <row r="637" spans="25:37" x14ac:dyDescent="0.3">
      <c r="Y637" s="19" t="s">
        <v>1364</v>
      </c>
      <c r="Z637" s="19" t="s">
        <v>315</v>
      </c>
      <c r="AA637" s="19" t="s">
        <v>2189</v>
      </c>
      <c r="AB637" s="15"/>
      <c r="AI637" s="15" t="s">
        <v>1081</v>
      </c>
      <c r="AJ637" s="15" t="s">
        <v>4672</v>
      </c>
      <c r="AK637" s="15" t="s">
        <v>3674</v>
      </c>
    </row>
    <row r="638" spans="25:37" x14ac:dyDescent="0.3">
      <c r="Y638" s="19" t="s">
        <v>1364</v>
      </c>
      <c r="Z638" s="19" t="s">
        <v>420</v>
      </c>
      <c r="AA638" s="19" t="s">
        <v>2190</v>
      </c>
      <c r="AB638" s="15"/>
      <c r="AI638" s="15" t="s">
        <v>1061</v>
      </c>
      <c r="AJ638" s="15" t="s">
        <v>4673</v>
      </c>
      <c r="AK638" s="15" t="s">
        <v>3675</v>
      </c>
    </row>
    <row r="639" spans="25:37" x14ac:dyDescent="0.3">
      <c r="Y639" s="19" t="s">
        <v>1364</v>
      </c>
      <c r="Z639" s="19" t="s">
        <v>1177</v>
      </c>
      <c r="AA639" s="19" t="s">
        <v>2191</v>
      </c>
      <c r="AB639" s="15"/>
      <c r="AI639" s="15" t="s">
        <v>83</v>
      </c>
      <c r="AJ639" s="15" t="s">
        <v>4674</v>
      </c>
      <c r="AK639" s="15" t="s">
        <v>3676</v>
      </c>
    </row>
    <row r="640" spans="25:37" x14ac:dyDescent="0.3">
      <c r="Y640" s="19" t="s">
        <v>1364</v>
      </c>
      <c r="Z640" s="19" t="s">
        <v>286</v>
      </c>
      <c r="AA640" s="19" t="s">
        <v>2192</v>
      </c>
      <c r="AB640" s="15"/>
      <c r="AI640" s="15" t="s">
        <v>1081</v>
      </c>
      <c r="AJ640" s="15" t="s">
        <v>4675</v>
      </c>
      <c r="AK640" s="15" t="s">
        <v>3677</v>
      </c>
    </row>
    <row r="641" spans="25:37" x14ac:dyDescent="0.3">
      <c r="Y641" s="19" t="s">
        <v>1364</v>
      </c>
      <c r="Z641" s="19" t="s">
        <v>446</v>
      </c>
      <c r="AA641" s="19" t="s">
        <v>2193</v>
      </c>
      <c r="AB641" s="15"/>
      <c r="AI641" s="15" t="s">
        <v>83</v>
      </c>
      <c r="AJ641" s="15" t="s">
        <v>4676</v>
      </c>
      <c r="AK641" s="15" t="s">
        <v>3678</v>
      </c>
    </row>
    <row r="642" spans="25:37" x14ac:dyDescent="0.3">
      <c r="Y642" s="19" t="s">
        <v>1364</v>
      </c>
      <c r="Z642" s="19" t="s">
        <v>157</v>
      </c>
      <c r="AA642" s="19" t="s">
        <v>2194</v>
      </c>
      <c r="AB642" s="15"/>
      <c r="AI642" s="15" t="s">
        <v>1112</v>
      </c>
      <c r="AJ642" s="15" t="s">
        <v>4677</v>
      </c>
      <c r="AK642" s="15" t="s">
        <v>3679</v>
      </c>
    </row>
    <row r="643" spans="25:37" x14ac:dyDescent="0.3">
      <c r="Y643" s="19" t="s">
        <v>1364</v>
      </c>
      <c r="Z643" s="19" t="s">
        <v>1265</v>
      </c>
      <c r="AA643" s="19" t="s">
        <v>2195</v>
      </c>
      <c r="AB643" s="15"/>
      <c r="AI643" s="15" t="s">
        <v>1113</v>
      </c>
      <c r="AJ643" s="15" t="s">
        <v>4678</v>
      </c>
      <c r="AK643" s="15" t="s">
        <v>3680</v>
      </c>
    </row>
    <row r="644" spans="25:37" x14ac:dyDescent="0.3">
      <c r="Y644" s="19" t="s">
        <v>1366</v>
      </c>
      <c r="Z644" s="19" t="s">
        <v>1125</v>
      </c>
      <c r="AA644" s="19" t="s">
        <v>2196</v>
      </c>
      <c r="AB644" s="15"/>
      <c r="AI644" s="19" t="s">
        <v>1098</v>
      </c>
      <c r="AJ644" s="19" t="s">
        <v>4679</v>
      </c>
      <c r="AK644" s="19" t="s">
        <v>3681</v>
      </c>
    </row>
    <row r="645" spans="25:37" x14ac:dyDescent="0.3">
      <c r="Y645" s="19" t="s">
        <v>1364</v>
      </c>
      <c r="Z645" s="19" t="s">
        <v>1272</v>
      </c>
      <c r="AA645" s="19" t="s">
        <v>2197</v>
      </c>
      <c r="AB645" s="15"/>
      <c r="AI645" s="15" t="s">
        <v>1113</v>
      </c>
      <c r="AJ645" s="15" t="s">
        <v>4680</v>
      </c>
      <c r="AK645" s="15" t="s">
        <v>3682</v>
      </c>
    </row>
    <row r="646" spans="25:37" x14ac:dyDescent="0.3">
      <c r="Y646" s="19" t="s">
        <v>1364</v>
      </c>
      <c r="Z646" s="19" t="s">
        <v>156</v>
      </c>
      <c r="AA646" s="19" t="s">
        <v>2198</v>
      </c>
      <c r="AB646" s="15"/>
      <c r="AI646" s="15" t="s">
        <v>95</v>
      </c>
      <c r="AJ646" s="15" t="s">
        <v>4681</v>
      </c>
      <c r="AK646" s="15" t="s">
        <v>3683</v>
      </c>
    </row>
    <row r="647" spans="25:37" x14ac:dyDescent="0.3">
      <c r="Y647" s="19" t="s">
        <v>1364</v>
      </c>
      <c r="Z647" s="19" t="s">
        <v>1509</v>
      </c>
      <c r="AA647" s="19" t="s">
        <v>2199</v>
      </c>
      <c r="AB647" s="15"/>
      <c r="AI647" s="15" t="s">
        <v>95</v>
      </c>
      <c r="AJ647" s="15" t="s">
        <v>4682</v>
      </c>
      <c r="AK647" s="15" t="s">
        <v>3684</v>
      </c>
    </row>
    <row r="648" spans="25:37" x14ac:dyDescent="0.3">
      <c r="Y648" s="19" t="s">
        <v>1364</v>
      </c>
      <c r="Z648" s="19" t="s">
        <v>1510</v>
      </c>
      <c r="AA648" s="19" t="s">
        <v>2200</v>
      </c>
      <c r="AB648" s="15"/>
      <c r="AI648" s="15" t="s">
        <v>1062</v>
      </c>
      <c r="AJ648" s="15" t="s">
        <v>4683</v>
      </c>
      <c r="AK648" s="15" t="s">
        <v>3685</v>
      </c>
    </row>
    <row r="649" spans="25:37" x14ac:dyDescent="0.3">
      <c r="Y649" s="19" t="s">
        <v>1366</v>
      </c>
      <c r="Z649" s="19" t="s">
        <v>133</v>
      </c>
      <c r="AA649" s="19" t="s">
        <v>2201</v>
      </c>
      <c r="AB649" s="15"/>
      <c r="AI649" s="15" t="s">
        <v>1062</v>
      </c>
      <c r="AJ649" s="15" t="s">
        <v>4684</v>
      </c>
      <c r="AK649" s="15" t="s">
        <v>3686</v>
      </c>
    </row>
    <row r="650" spans="25:37" x14ac:dyDescent="0.3">
      <c r="Y650" s="19" t="s">
        <v>1364</v>
      </c>
      <c r="Z650" s="19" t="s">
        <v>1511</v>
      </c>
      <c r="AA650" s="19" t="s">
        <v>2202</v>
      </c>
      <c r="AB650" s="15"/>
      <c r="AI650" s="15" t="s">
        <v>1130</v>
      </c>
      <c r="AJ650" s="15" t="s">
        <v>4685</v>
      </c>
      <c r="AK650" s="15" t="s">
        <v>3687</v>
      </c>
    </row>
    <row r="651" spans="25:37" x14ac:dyDescent="0.3">
      <c r="Y651" s="19" t="s">
        <v>1364</v>
      </c>
      <c r="Z651" s="19" t="s">
        <v>417</v>
      </c>
      <c r="AA651" s="19" t="s">
        <v>2203</v>
      </c>
      <c r="AB651" s="15"/>
      <c r="AI651" s="15" t="s">
        <v>255</v>
      </c>
      <c r="AJ651" s="15" t="s">
        <v>4686</v>
      </c>
      <c r="AK651" s="15" t="s">
        <v>3688</v>
      </c>
    </row>
    <row r="652" spans="25:37" x14ac:dyDescent="0.3">
      <c r="Y652" s="19" t="s">
        <v>1364</v>
      </c>
      <c r="Z652" s="19" t="s">
        <v>1512</v>
      </c>
      <c r="AA652" s="19" t="s">
        <v>2204</v>
      </c>
      <c r="AB652" s="15"/>
      <c r="AI652" s="15" t="s">
        <v>255</v>
      </c>
      <c r="AJ652" s="15" t="s">
        <v>4687</v>
      </c>
      <c r="AK652" s="15" t="s">
        <v>3689</v>
      </c>
    </row>
    <row r="653" spans="25:37" x14ac:dyDescent="0.3">
      <c r="Y653" s="19" t="s">
        <v>1364</v>
      </c>
      <c r="Z653" s="19" t="s">
        <v>203</v>
      </c>
      <c r="AA653" s="19" t="s">
        <v>2205</v>
      </c>
      <c r="AB653" s="15"/>
      <c r="AI653" s="19" t="s">
        <v>103</v>
      </c>
      <c r="AJ653" s="19" t="s">
        <v>4688</v>
      </c>
      <c r="AK653" s="19" t="s">
        <v>3690</v>
      </c>
    </row>
    <row r="654" spans="25:37" x14ac:dyDescent="0.3">
      <c r="Y654" s="19" t="s">
        <v>1364</v>
      </c>
      <c r="Z654" s="19" t="s">
        <v>126</v>
      </c>
      <c r="AA654" s="19" t="s">
        <v>2206</v>
      </c>
      <c r="AB654" s="15"/>
      <c r="AI654" s="19" t="s">
        <v>67</v>
      </c>
      <c r="AJ654" s="19" t="s">
        <v>4689</v>
      </c>
      <c r="AK654" s="19" t="s">
        <v>3691</v>
      </c>
    </row>
    <row r="655" spans="25:37" x14ac:dyDescent="0.3">
      <c r="Y655" s="19" t="s">
        <v>1364</v>
      </c>
      <c r="Z655" s="19" t="s">
        <v>1143</v>
      </c>
      <c r="AA655" s="19" t="s">
        <v>2207</v>
      </c>
      <c r="AB655" s="15"/>
      <c r="AI655" s="19" t="s">
        <v>67</v>
      </c>
      <c r="AJ655" s="19" t="s">
        <v>4690</v>
      </c>
      <c r="AK655" s="19" t="s">
        <v>3692</v>
      </c>
    </row>
    <row r="656" spans="25:37" x14ac:dyDescent="0.3">
      <c r="Y656" s="19" t="s">
        <v>1366</v>
      </c>
      <c r="Z656" s="19" t="s">
        <v>637</v>
      </c>
      <c r="AA656" s="19" t="s">
        <v>2208</v>
      </c>
      <c r="AB656" s="15"/>
      <c r="AI656" s="15" t="s">
        <v>1160</v>
      </c>
      <c r="AJ656" s="15" t="s">
        <v>4691</v>
      </c>
      <c r="AK656" s="15" t="s">
        <v>3693</v>
      </c>
    </row>
    <row r="657" spans="25:37" x14ac:dyDescent="0.3">
      <c r="Y657" s="19" t="s">
        <v>1365</v>
      </c>
      <c r="Z657" s="19" t="s">
        <v>1083</v>
      </c>
      <c r="AA657" s="19" t="s">
        <v>2209</v>
      </c>
      <c r="AB657" s="15"/>
      <c r="AI657" s="15" t="s">
        <v>227</v>
      </c>
      <c r="AJ657" s="15" t="s">
        <v>4692</v>
      </c>
      <c r="AK657" s="15" t="s">
        <v>3694</v>
      </c>
    </row>
    <row r="658" spans="25:37" x14ac:dyDescent="0.3">
      <c r="Y658" s="19" t="s">
        <v>1364</v>
      </c>
      <c r="Z658" s="19" t="s">
        <v>1122</v>
      </c>
      <c r="AA658" s="19" t="s">
        <v>2210</v>
      </c>
      <c r="AB658" s="15"/>
      <c r="AI658" s="15" t="s">
        <v>227</v>
      </c>
      <c r="AJ658" s="15" t="s">
        <v>4693</v>
      </c>
      <c r="AK658" s="15" t="s">
        <v>3695</v>
      </c>
    </row>
    <row r="659" spans="25:37" x14ac:dyDescent="0.3">
      <c r="Y659" s="19" t="s">
        <v>1365</v>
      </c>
      <c r="Z659" s="19" t="s">
        <v>1076</v>
      </c>
      <c r="AA659" s="19" t="s">
        <v>2211</v>
      </c>
      <c r="AB659" s="15"/>
      <c r="AI659" s="15" t="s">
        <v>227</v>
      </c>
      <c r="AJ659" s="15" t="s">
        <v>4694</v>
      </c>
      <c r="AK659" s="15" t="s">
        <v>3696</v>
      </c>
    </row>
    <row r="660" spans="25:37" x14ac:dyDescent="0.3">
      <c r="Y660" s="19" t="s">
        <v>1364</v>
      </c>
      <c r="Z660" s="19" t="s">
        <v>1121</v>
      </c>
      <c r="AA660" s="19" t="s">
        <v>2212</v>
      </c>
      <c r="AB660" s="15"/>
      <c r="AI660" s="15" t="s">
        <v>227</v>
      </c>
      <c r="AJ660" s="15" t="s">
        <v>4695</v>
      </c>
      <c r="AK660" s="15" t="s">
        <v>3697</v>
      </c>
    </row>
    <row r="661" spans="25:37" x14ac:dyDescent="0.3">
      <c r="Y661" s="19" t="s">
        <v>1364</v>
      </c>
      <c r="Z661" s="19" t="s">
        <v>283</v>
      </c>
      <c r="AA661" s="19" t="s">
        <v>2213</v>
      </c>
      <c r="AB661" s="15"/>
      <c r="AI661" s="15" t="s">
        <v>227</v>
      </c>
      <c r="AJ661" s="15" t="s">
        <v>4696</v>
      </c>
      <c r="AK661" s="15" t="s">
        <v>3698</v>
      </c>
    </row>
    <row r="662" spans="25:37" x14ac:dyDescent="0.3">
      <c r="Y662" s="19" t="s">
        <v>1364</v>
      </c>
      <c r="Z662" s="19" t="s">
        <v>1287</v>
      </c>
      <c r="AA662" s="19" t="s">
        <v>2214</v>
      </c>
      <c r="AB662" s="15"/>
      <c r="AI662" s="15" t="s">
        <v>227</v>
      </c>
      <c r="AJ662" s="15" t="s">
        <v>4697</v>
      </c>
      <c r="AK662" s="15" t="s">
        <v>3699</v>
      </c>
    </row>
    <row r="663" spans="25:37" x14ac:dyDescent="0.3">
      <c r="Y663" s="19" t="s">
        <v>1364</v>
      </c>
      <c r="Z663" s="19" t="s">
        <v>1199</v>
      </c>
      <c r="AA663" s="19" t="s">
        <v>2215</v>
      </c>
      <c r="AB663" s="15"/>
      <c r="AI663" s="15" t="s">
        <v>227</v>
      </c>
      <c r="AJ663" s="15" t="s">
        <v>4698</v>
      </c>
      <c r="AK663" s="15" t="s">
        <v>3700</v>
      </c>
    </row>
    <row r="664" spans="25:37" x14ac:dyDescent="0.3">
      <c r="Y664" s="19" t="s">
        <v>1364</v>
      </c>
      <c r="Z664" s="19" t="s">
        <v>195</v>
      </c>
      <c r="AA664" s="19" t="s">
        <v>2216</v>
      </c>
      <c r="AB664" s="15"/>
      <c r="AI664" s="15" t="s">
        <v>227</v>
      </c>
      <c r="AJ664" s="15" t="s">
        <v>4699</v>
      </c>
      <c r="AK664" s="15" t="s">
        <v>3701</v>
      </c>
    </row>
    <row r="665" spans="25:37" x14ac:dyDescent="0.3">
      <c r="Y665" s="19" t="s">
        <v>1364</v>
      </c>
      <c r="Z665" s="19" t="s">
        <v>1253</v>
      </c>
      <c r="AA665" s="19" t="s">
        <v>2217</v>
      </c>
      <c r="AB665" s="15"/>
      <c r="AI665" s="15" t="s">
        <v>227</v>
      </c>
      <c r="AJ665" s="15" t="s">
        <v>4700</v>
      </c>
      <c r="AK665" s="15" t="s">
        <v>3702</v>
      </c>
    </row>
    <row r="666" spans="25:37" x14ac:dyDescent="0.3">
      <c r="Y666" s="19" t="s">
        <v>1364</v>
      </c>
      <c r="Z666" s="19" t="s">
        <v>1239</v>
      </c>
      <c r="AA666" s="19" t="s">
        <v>2218</v>
      </c>
      <c r="AB666" s="15"/>
      <c r="AI666" s="19" t="s">
        <v>227</v>
      </c>
      <c r="AJ666" s="19" t="s">
        <v>4701</v>
      </c>
      <c r="AK666" s="19" t="s">
        <v>3703</v>
      </c>
    </row>
    <row r="667" spans="25:37" x14ac:dyDescent="0.3">
      <c r="Y667" s="19" t="s">
        <v>1364</v>
      </c>
      <c r="Z667" s="19" t="s">
        <v>1506</v>
      </c>
      <c r="AA667" s="19" t="s">
        <v>2219</v>
      </c>
      <c r="AB667" s="15"/>
      <c r="AI667" s="15" t="s">
        <v>268</v>
      </c>
      <c r="AJ667" s="15" t="s">
        <v>4702</v>
      </c>
      <c r="AK667" s="15" t="s">
        <v>3704</v>
      </c>
    </row>
    <row r="668" spans="25:37" x14ac:dyDescent="0.3">
      <c r="Y668" s="19" t="s">
        <v>1364</v>
      </c>
      <c r="Z668" s="19" t="s">
        <v>194</v>
      </c>
      <c r="AA668" s="19" t="s">
        <v>2220</v>
      </c>
      <c r="AB668" s="15"/>
      <c r="AI668" s="15" t="s">
        <v>88</v>
      </c>
      <c r="AJ668" s="15" t="s">
        <v>4703</v>
      </c>
      <c r="AK668" s="15" t="s">
        <v>3705</v>
      </c>
    </row>
    <row r="669" spans="25:37" x14ac:dyDescent="0.3">
      <c r="Y669" s="19" t="s">
        <v>1366</v>
      </c>
      <c r="Z669" s="19" t="s">
        <v>415</v>
      </c>
      <c r="AA669" s="19" t="s">
        <v>2221</v>
      </c>
      <c r="AB669" s="15"/>
      <c r="AI669" s="15" t="s">
        <v>1195</v>
      </c>
      <c r="AJ669" s="15" t="s">
        <v>4704</v>
      </c>
      <c r="AK669" s="15" t="s">
        <v>3706</v>
      </c>
    </row>
    <row r="670" spans="25:37" x14ac:dyDescent="0.3">
      <c r="Y670" s="19" t="s">
        <v>1364</v>
      </c>
      <c r="Z670" s="19" t="s">
        <v>1247</v>
      </c>
      <c r="AA670" s="19" t="s">
        <v>2222</v>
      </c>
      <c r="AB670" s="15"/>
      <c r="AI670" s="15" t="s">
        <v>1154</v>
      </c>
      <c r="AJ670" s="15" t="s">
        <v>4705</v>
      </c>
      <c r="AK670" s="15" t="s">
        <v>3707</v>
      </c>
    </row>
    <row r="671" spans="25:37" x14ac:dyDescent="0.3">
      <c r="Y671" s="19" t="s">
        <v>1364</v>
      </c>
      <c r="Z671" s="19" t="s">
        <v>1110</v>
      </c>
      <c r="AA671" s="19" t="s">
        <v>2223</v>
      </c>
      <c r="AB671" s="15"/>
      <c r="AI671" s="15" t="s">
        <v>1154</v>
      </c>
      <c r="AJ671" s="15" t="s">
        <v>4706</v>
      </c>
      <c r="AK671" s="15" t="s">
        <v>3708</v>
      </c>
    </row>
    <row r="672" spans="25:37" x14ac:dyDescent="0.3">
      <c r="Y672" s="19" t="s">
        <v>1366</v>
      </c>
      <c r="Z672" s="19" t="s">
        <v>124</v>
      </c>
      <c r="AA672" s="19" t="s">
        <v>2224</v>
      </c>
      <c r="AB672" s="15"/>
      <c r="AI672" s="15" t="s">
        <v>1154</v>
      </c>
      <c r="AJ672" s="15" t="s">
        <v>4707</v>
      </c>
      <c r="AK672" s="15" t="s">
        <v>3709</v>
      </c>
    </row>
    <row r="673" spans="25:37" x14ac:dyDescent="0.3">
      <c r="Y673" s="19" t="s">
        <v>1364</v>
      </c>
      <c r="Z673" s="19" t="s">
        <v>1091</v>
      </c>
      <c r="AA673" s="19" t="s">
        <v>2225</v>
      </c>
      <c r="AB673" s="15"/>
      <c r="AI673" s="15" t="s">
        <v>88</v>
      </c>
      <c r="AJ673" s="15" t="s">
        <v>4708</v>
      </c>
      <c r="AK673" s="15" t="s">
        <v>3710</v>
      </c>
    </row>
    <row r="674" spans="25:37" x14ac:dyDescent="0.3">
      <c r="Y674" s="19" t="s">
        <v>1366</v>
      </c>
      <c r="Z674" s="19" t="s">
        <v>1065</v>
      </c>
      <c r="AA674" s="19" t="s">
        <v>2226</v>
      </c>
      <c r="AB674" s="15"/>
      <c r="AI674" s="15" t="s">
        <v>76</v>
      </c>
      <c r="AJ674" s="15" t="s">
        <v>4709</v>
      </c>
      <c r="AK674" s="15" t="s">
        <v>3711</v>
      </c>
    </row>
    <row r="675" spans="25:37" x14ac:dyDescent="0.3">
      <c r="Y675" s="19" t="s">
        <v>1364</v>
      </c>
      <c r="Z675" s="19" t="s">
        <v>193</v>
      </c>
      <c r="AA675" s="19" t="s">
        <v>2227</v>
      </c>
      <c r="AB675" s="15"/>
      <c r="AI675" s="19" t="s">
        <v>77</v>
      </c>
      <c r="AJ675" s="19" t="s">
        <v>4710</v>
      </c>
      <c r="AK675" s="19" t="s">
        <v>3712</v>
      </c>
    </row>
    <row r="676" spans="25:37" x14ac:dyDescent="0.3">
      <c r="Y676" s="19" t="s">
        <v>1366</v>
      </c>
      <c r="Z676" s="19" t="s">
        <v>166</v>
      </c>
      <c r="AA676" s="19" t="s">
        <v>2229</v>
      </c>
      <c r="AB676" s="15"/>
      <c r="AI676" s="19" t="s">
        <v>77</v>
      </c>
      <c r="AJ676" s="19" t="s">
        <v>4711</v>
      </c>
      <c r="AK676" s="19" t="s">
        <v>3713</v>
      </c>
    </row>
    <row r="677" spans="25:37" x14ac:dyDescent="0.3">
      <c r="Y677" s="19" t="s">
        <v>1365</v>
      </c>
      <c r="Z677" s="19" t="s">
        <v>1519</v>
      </c>
      <c r="AA677" s="19" t="s">
        <v>2230</v>
      </c>
      <c r="AB677" s="15"/>
      <c r="AI677" s="19" t="s">
        <v>79</v>
      </c>
      <c r="AJ677" s="19" t="s">
        <v>4712</v>
      </c>
      <c r="AK677" s="19" t="s">
        <v>3714</v>
      </c>
    </row>
    <row r="678" spans="25:37" x14ac:dyDescent="0.3">
      <c r="Y678" s="19" t="s">
        <v>1364</v>
      </c>
      <c r="Z678" s="19" t="s">
        <v>1070</v>
      </c>
      <c r="AA678" s="19" t="s">
        <v>2231</v>
      </c>
      <c r="AB678" s="15"/>
      <c r="AI678" s="15" t="s">
        <v>242</v>
      </c>
      <c r="AJ678" s="15" t="s">
        <v>4713</v>
      </c>
      <c r="AK678" s="15" t="s">
        <v>3715</v>
      </c>
    </row>
    <row r="679" spans="25:37" x14ac:dyDescent="0.3">
      <c r="Y679" s="19" t="s">
        <v>1365</v>
      </c>
      <c r="Z679" s="19" t="s">
        <v>239</v>
      </c>
      <c r="AA679" s="19" t="s">
        <v>2232</v>
      </c>
      <c r="AB679" s="15"/>
      <c r="AI679" s="15" t="s">
        <v>242</v>
      </c>
      <c r="AJ679" s="15" t="s">
        <v>4714</v>
      </c>
      <c r="AK679" s="15" t="s">
        <v>3716</v>
      </c>
    </row>
    <row r="680" spans="25:37" x14ac:dyDescent="0.3">
      <c r="Y680" s="19" t="s">
        <v>1364</v>
      </c>
      <c r="Z680" s="19" t="s">
        <v>143</v>
      </c>
      <c r="AA680" s="19" t="s">
        <v>2233</v>
      </c>
      <c r="AB680" s="15"/>
      <c r="AI680" s="15" t="s">
        <v>1529</v>
      </c>
      <c r="AJ680" s="15" t="s">
        <v>4715</v>
      </c>
      <c r="AK680" s="15" t="s">
        <v>3717</v>
      </c>
    </row>
    <row r="681" spans="25:37" x14ac:dyDescent="0.3">
      <c r="Y681" s="19" t="s">
        <v>1364</v>
      </c>
      <c r="Z681" s="19" t="s">
        <v>142</v>
      </c>
      <c r="AA681" s="19" t="s">
        <v>2234</v>
      </c>
      <c r="AB681" s="15"/>
      <c r="AI681" s="15" t="s">
        <v>1529</v>
      </c>
      <c r="AJ681" s="15" t="s">
        <v>4716</v>
      </c>
      <c r="AK681" s="15" t="s">
        <v>3718</v>
      </c>
    </row>
    <row r="682" spans="25:37" x14ac:dyDescent="0.3">
      <c r="Y682" s="19" t="s">
        <v>1364</v>
      </c>
      <c r="Z682" s="19" t="s">
        <v>1232</v>
      </c>
      <c r="AA682" s="19" t="s">
        <v>2235</v>
      </c>
      <c r="AB682" s="15"/>
      <c r="AI682" s="19" t="s">
        <v>94</v>
      </c>
      <c r="AJ682" s="19" t="s">
        <v>4717</v>
      </c>
      <c r="AK682" s="19" t="s">
        <v>3719</v>
      </c>
    </row>
    <row r="683" spans="25:37" x14ac:dyDescent="0.3">
      <c r="Y683" s="19" t="s">
        <v>1364</v>
      </c>
      <c r="Z683" s="19" t="s">
        <v>131</v>
      </c>
      <c r="AA683" s="19" t="s">
        <v>2236</v>
      </c>
      <c r="AB683" s="15"/>
      <c r="AI683" s="15" t="s">
        <v>1172</v>
      </c>
      <c r="AJ683" s="15" t="s">
        <v>4718</v>
      </c>
      <c r="AK683" s="15" t="s">
        <v>3720</v>
      </c>
    </row>
    <row r="684" spans="25:37" x14ac:dyDescent="0.3">
      <c r="Y684" s="19" t="s">
        <v>1364</v>
      </c>
      <c r="Z684" s="19" t="s">
        <v>130</v>
      </c>
      <c r="AA684" s="19" t="s">
        <v>2237</v>
      </c>
      <c r="AB684" s="15"/>
      <c r="AI684" s="15" t="s">
        <v>1165</v>
      </c>
      <c r="AJ684" s="15" t="s">
        <v>1165</v>
      </c>
      <c r="AK684" s="15" t="s">
        <v>3721</v>
      </c>
    </row>
    <row r="685" spans="25:37" x14ac:dyDescent="0.3">
      <c r="Y685" s="19" t="s">
        <v>1365</v>
      </c>
      <c r="Z685" s="19" t="s">
        <v>1359</v>
      </c>
      <c r="AA685" s="19" t="s">
        <v>2238</v>
      </c>
      <c r="AB685" s="15"/>
      <c r="AI685" s="15" t="s">
        <v>1044</v>
      </c>
      <c r="AJ685" s="15" t="s">
        <v>4719</v>
      </c>
      <c r="AK685" s="15" t="s">
        <v>3722</v>
      </c>
    </row>
    <row r="686" spans="25:37" x14ac:dyDescent="0.3">
      <c r="Y686" s="19" t="s">
        <v>1364</v>
      </c>
      <c r="Z686" s="19" t="s">
        <v>127</v>
      </c>
      <c r="AA686" s="19" t="s">
        <v>2239</v>
      </c>
      <c r="AB686" s="15"/>
      <c r="AI686" s="15" t="s">
        <v>225</v>
      </c>
      <c r="AJ686" s="15" t="s">
        <v>4720</v>
      </c>
      <c r="AK686" s="15" t="s">
        <v>3723</v>
      </c>
    </row>
    <row r="687" spans="25:37" x14ac:dyDescent="0.3">
      <c r="Y687" s="19" t="s">
        <v>1365</v>
      </c>
      <c r="Z687" s="19" t="s">
        <v>281</v>
      </c>
      <c r="AA687" s="19" t="s">
        <v>2240</v>
      </c>
      <c r="AB687" s="15"/>
      <c r="AI687" s="15" t="s">
        <v>224</v>
      </c>
      <c r="AJ687" s="15" t="s">
        <v>4721</v>
      </c>
      <c r="AK687" s="15" t="s">
        <v>3724</v>
      </c>
    </row>
    <row r="688" spans="25:37" x14ac:dyDescent="0.3">
      <c r="Y688" s="19" t="s">
        <v>1364</v>
      </c>
      <c r="Z688" s="19" t="s">
        <v>192</v>
      </c>
      <c r="AA688" s="19" t="s">
        <v>2241</v>
      </c>
      <c r="AB688" s="15"/>
      <c r="AI688" s="15" t="s">
        <v>224</v>
      </c>
      <c r="AJ688" s="15" t="s">
        <v>4722</v>
      </c>
      <c r="AK688" s="15" t="s">
        <v>3725</v>
      </c>
    </row>
    <row r="689" spans="25:37" x14ac:dyDescent="0.3">
      <c r="Y689" s="19" t="s">
        <v>1365</v>
      </c>
      <c r="Z689" s="19" t="s">
        <v>240</v>
      </c>
      <c r="AA689" s="19" t="s">
        <v>2242</v>
      </c>
      <c r="AB689" s="15"/>
      <c r="AI689" s="15" t="s">
        <v>224</v>
      </c>
      <c r="AJ689" s="15" t="s">
        <v>4723</v>
      </c>
      <c r="AK689" s="15" t="s">
        <v>3726</v>
      </c>
    </row>
    <row r="690" spans="25:37" x14ac:dyDescent="0.3">
      <c r="Y690" s="19" t="s">
        <v>1365</v>
      </c>
      <c r="Z690" s="19" t="s">
        <v>159</v>
      </c>
      <c r="AA690" s="19" t="s">
        <v>2243</v>
      </c>
      <c r="AB690" s="15"/>
      <c r="AI690" s="15" t="s">
        <v>224</v>
      </c>
      <c r="AJ690" s="15" t="s">
        <v>4724</v>
      </c>
      <c r="AK690" s="15" t="s">
        <v>3727</v>
      </c>
    </row>
    <row r="691" spans="25:37" x14ac:dyDescent="0.3">
      <c r="Y691" s="19" t="s">
        <v>1364</v>
      </c>
      <c r="Z691" s="19" t="s">
        <v>1187</v>
      </c>
      <c r="AA691" s="19" t="s">
        <v>2244</v>
      </c>
      <c r="AB691" s="15"/>
      <c r="AI691" s="15" t="s">
        <v>224</v>
      </c>
      <c r="AJ691" s="15" t="s">
        <v>4725</v>
      </c>
      <c r="AK691" s="15" t="s">
        <v>3728</v>
      </c>
    </row>
    <row r="692" spans="25:37" x14ac:dyDescent="0.3">
      <c r="Y692" s="19" t="s">
        <v>1365</v>
      </c>
      <c r="Z692" s="19" t="s">
        <v>200</v>
      </c>
      <c r="AA692" s="19" t="s">
        <v>2245</v>
      </c>
      <c r="AB692" s="15"/>
      <c r="AI692" s="15" t="s">
        <v>224</v>
      </c>
      <c r="AJ692" s="15" t="s">
        <v>4726</v>
      </c>
      <c r="AK692" s="15" t="s">
        <v>3729</v>
      </c>
    </row>
    <row r="693" spans="25:37" x14ac:dyDescent="0.3">
      <c r="Y693" s="19" t="s">
        <v>1364</v>
      </c>
      <c r="Z693" s="19" t="s">
        <v>191</v>
      </c>
      <c r="AA693" s="19" t="s">
        <v>2246</v>
      </c>
      <c r="AB693" s="15"/>
      <c r="AI693" s="15" t="s">
        <v>224</v>
      </c>
      <c r="AJ693" s="15" t="s">
        <v>4727</v>
      </c>
      <c r="AK693" s="15" t="s">
        <v>3730</v>
      </c>
    </row>
    <row r="694" spans="25:37" x14ac:dyDescent="0.3">
      <c r="Y694" s="19" t="s">
        <v>1365</v>
      </c>
      <c r="Z694" s="19" t="s">
        <v>1163</v>
      </c>
      <c r="AA694" s="19" t="s">
        <v>2247</v>
      </c>
      <c r="AB694" s="15"/>
      <c r="AI694" s="15" t="s">
        <v>224</v>
      </c>
      <c r="AJ694" s="15" t="s">
        <v>4728</v>
      </c>
      <c r="AK694" s="15" t="s">
        <v>3731</v>
      </c>
    </row>
    <row r="695" spans="25:37" x14ac:dyDescent="0.3">
      <c r="Y695" s="19" t="s">
        <v>1364</v>
      </c>
      <c r="Z695" s="19" t="s">
        <v>1146</v>
      </c>
      <c r="AA695" s="19" t="s">
        <v>2248</v>
      </c>
      <c r="AB695" s="15"/>
      <c r="AI695" s="15" t="s">
        <v>224</v>
      </c>
      <c r="AJ695" s="15" t="s">
        <v>4729</v>
      </c>
      <c r="AK695" s="15" t="s">
        <v>3732</v>
      </c>
    </row>
    <row r="696" spans="25:37" x14ac:dyDescent="0.3">
      <c r="Y696" s="19" t="s">
        <v>1364</v>
      </c>
      <c r="Z696" s="19" t="s">
        <v>190</v>
      </c>
      <c r="AA696" s="19" t="s">
        <v>2249</v>
      </c>
      <c r="AB696" s="15"/>
      <c r="AI696" s="15" t="s">
        <v>224</v>
      </c>
      <c r="AJ696" s="15" t="s">
        <v>4730</v>
      </c>
      <c r="AK696" s="15" t="s">
        <v>3733</v>
      </c>
    </row>
    <row r="697" spans="25:37" x14ac:dyDescent="0.3">
      <c r="Y697" s="19" t="s">
        <v>1364</v>
      </c>
      <c r="Z697" s="19" t="s">
        <v>1141</v>
      </c>
      <c r="AA697" s="19" t="s">
        <v>2250</v>
      </c>
      <c r="AB697" s="15"/>
      <c r="AI697" s="15" t="s">
        <v>252</v>
      </c>
      <c r="AJ697" s="15" t="s">
        <v>4731</v>
      </c>
      <c r="AK697" s="15" t="s">
        <v>3734</v>
      </c>
    </row>
    <row r="698" spans="25:37" x14ac:dyDescent="0.3">
      <c r="Y698" s="19" t="s">
        <v>1364</v>
      </c>
      <c r="Z698" s="19" t="s">
        <v>1222</v>
      </c>
      <c r="AA698" s="19" t="s">
        <v>2251</v>
      </c>
      <c r="AB698" s="15"/>
      <c r="AI698" s="15" t="s">
        <v>83</v>
      </c>
      <c r="AJ698" s="15" t="s">
        <v>4732</v>
      </c>
      <c r="AK698" s="15" t="s">
        <v>3735</v>
      </c>
    </row>
    <row r="699" spans="25:37" x14ac:dyDescent="0.3">
      <c r="Y699" s="19" t="s">
        <v>1365</v>
      </c>
      <c r="Z699" s="19" t="s">
        <v>1092</v>
      </c>
      <c r="AA699" s="19" t="s">
        <v>2252</v>
      </c>
      <c r="AB699" s="15"/>
      <c r="AI699" s="15" t="s">
        <v>100</v>
      </c>
      <c r="AJ699" s="15" t="s">
        <v>4733</v>
      </c>
      <c r="AK699" s="15" t="s">
        <v>3736</v>
      </c>
    </row>
    <row r="700" spans="25:37" x14ac:dyDescent="0.3">
      <c r="Y700" s="19" t="s">
        <v>1364</v>
      </c>
      <c r="Z700" s="19" t="s">
        <v>201</v>
      </c>
      <c r="AA700" s="19" t="s">
        <v>2253</v>
      </c>
      <c r="AB700" s="15"/>
      <c r="AI700" s="19" t="s">
        <v>94</v>
      </c>
      <c r="AJ700" s="19" t="s">
        <v>4734</v>
      </c>
      <c r="AK700" s="19" t="s">
        <v>3737</v>
      </c>
    </row>
    <row r="701" spans="25:37" x14ac:dyDescent="0.3">
      <c r="Y701" s="19" t="s">
        <v>1364</v>
      </c>
      <c r="Z701" s="19" t="s">
        <v>259</v>
      </c>
      <c r="AA701" s="19" t="s">
        <v>2254</v>
      </c>
      <c r="AB701" s="15"/>
      <c r="AI701" s="19" t="s">
        <v>64</v>
      </c>
      <c r="AJ701" s="19" t="s">
        <v>4735</v>
      </c>
      <c r="AK701" s="19" t="s">
        <v>3738</v>
      </c>
    </row>
    <row r="702" spans="25:37" x14ac:dyDescent="0.3">
      <c r="Y702" s="19" t="s">
        <v>1364</v>
      </c>
      <c r="Z702" s="19" t="s">
        <v>189</v>
      </c>
      <c r="AA702" s="19" t="s">
        <v>2255</v>
      </c>
      <c r="AB702" s="15"/>
      <c r="AI702" s="19" t="s">
        <v>103</v>
      </c>
      <c r="AJ702" s="19" t="s">
        <v>4736</v>
      </c>
      <c r="AK702" s="19" t="s">
        <v>3739</v>
      </c>
    </row>
    <row r="703" spans="25:37" x14ac:dyDescent="0.3">
      <c r="Y703" s="19" t="s">
        <v>1364</v>
      </c>
      <c r="Z703" s="19" t="s">
        <v>1223</v>
      </c>
      <c r="AA703" s="19" t="s">
        <v>2256</v>
      </c>
      <c r="AB703" s="15"/>
      <c r="AI703" s="19" t="s">
        <v>77</v>
      </c>
      <c r="AJ703" s="19" t="s">
        <v>4737</v>
      </c>
      <c r="AK703" s="19" t="s">
        <v>3740</v>
      </c>
    </row>
    <row r="704" spans="25:37" x14ac:dyDescent="0.3">
      <c r="Y704" s="19" t="s">
        <v>1364</v>
      </c>
      <c r="Z704" s="19" t="s">
        <v>456</v>
      </c>
      <c r="AA704" s="19" t="s">
        <v>2257</v>
      </c>
      <c r="AB704" s="15"/>
      <c r="AI704" s="19" t="s">
        <v>79</v>
      </c>
      <c r="AJ704" s="19" t="s">
        <v>4738</v>
      </c>
      <c r="AK704" s="19" t="s">
        <v>3741</v>
      </c>
    </row>
    <row r="705" spans="25:37" x14ac:dyDescent="0.3">
      <c r="Y705" s="19" t="s">
        <v>1366</v>
      </c>
      <c r="Z705" s="19" t="s">
        <v>1334</v>
      </c>
      <c r="AA705" s="19" t="s">
        <v>2258</v>
      </c>
      <c r="AB705" s="15"/>
      <c r="AI705" s="15" t="s">
        <v>99</v>
      </c>
      <c r="AJ705" s="15" t="s">
        <v>4739</v>
      </c>
      <c r="AK705" s="15" t="s">
        <v>3742</v>
      </c>
    </row>
    <row r="706" spans="25:37" x14ac:dyDescent="0.3">
      <c r="Y706" s="19" t="s">
        <v>20</v>
      </c>
      <c r="Z706" s="19" t="s">
        <v>363</v>
      </c>
      <c r="AA706" s="19" t="s">
        <v>2259</v>
      </c>
      <c r="AB706" s="15"/>
      <c r="AI706" s="15" t="s">
        <v>463</v>
      </c>
      <c r="AJ706" s="15" t="s">
        <v>4449</v>
      </c>
      <c r="AK706" s="15" t="s">
        <v>3743</v>
      </c>
    </row>
    <row r="707" spans="25:37" x14ac:dyDescent="0.3">
      <c r="Y707" s="19" t="s">
        <v>1364</v>
      </c>
      <c r="Z707" s="19" t="s">
        <v>1189</v>
      </c>
      <c r="AA707" s="19" t="s">
        <v>2260</v>
      </c>
      <c r="AB707" s="15"/>
      <c r="AI707" s="19" t="s">
        <v>77</v>
      </c>
      <c r="AJ707" s="19" t="s">
        <v>4740</v>
      </c>
      <c r="AK707" s="19" t="s">
        <v>3744</v>
      </c>
    </row>
    <row r="708" spans="25:37" x14ac:dyDescent="0.3">
      <c r="Y708" s="19" t="s">
        <v>1364</v>
      </c>
      <c r="Z708" s="19" t="s">
        <v>457</v>
      </c>
      <c r="AA708" s="19" t="s">
        <v>2261</v>
      </c>
      <c r="AB708" s="15"/>
      <c r="AI708" s="15" t="s">
        <v>252</v>
      </c>
      <c r="AJ708" s="15" t="s">
        <v>4741</v>
      </c>
      <c r="AK708" s="15" t="s">
        <v>3745</v>
      </c>
    </row>
    <row r="709" spans="25:37" x14ac:dyDescent="0.3">
      <c r="Y709" s="19" t="s">
        <v>1365</v>
      </c>
      <c r="Z709" s="19" t="s">
        <v>1090</v>
      </c>
      <c r="AA709" s="19" t="s">
        <v>2262</v>
      </c>
      <c r="AB709" s="15"/>
      <c r="AI709" s="15" t="s">
        <v>106</v>
      </c>
      <c r="AJ709" s="15" t="s">
        <v>4742</v>
      </c>
      <c r="AK709" s="15" t="s">
        <v>3746</v>
      </c>
    </row>
    <row r="710" spans="25:37" x14ac:dyDescent="0.3">
      <c r="Y710" s="19" t="s">
        <v>20</v>
      </c>
      <c r="Z710" s="19" t="s">
        <v>421</v>
      </c>
      <c r="AA710" s="19" t="s">
        <v>2263</v>
      </c>
      <c r="AB710" s="15"/>
      <c r="AI710" s="19" t="s">
        <v>67</v>
      </c>
      <c r="AJ710" s="19" t="s">
        <v>4743</v>
      </c>
      <c r="AK710" s="19" t="s">
        <v>3747</v>
      </c>
    </row>
    <row r="711" spans="25:37" x14ac:dyDescent="0.3">
      <c r="Y711" s="19" t="s">
        <v>1364</v>
      </c>
      <c r="Z711" s="19" t="s">
        <v>1254</v>
      </c>
      <c r="AA711" s="19" t="s">
        <v>2264</v>
      </c>
      <c r="AB711" s="15"/>
      <c r="AI711" s="19" t="s">
        <v>67</v>
      </c>
      <c r="AJ711" s="19" t="s">
        <v>4744</v>
      </c>
      <c r="AK711" s="19" t="s">
        <v>3748</v>
      </c>
    </row>
    <row r="712" spans="25:37" x14ac:dyDescent="0.3">
      <c r="Y712" s="19" t="s">
        <v>1365</v>
      </c>
      <c r="Z712" s="19" t="s">
        <v>649</v>
      </c>
      <c r="AA712" s="19" t="s">
        <v>2265</v>
      </c>
      <c r="AB712" s="15"/>
      <c r="AI712" s="15" t="s">
        <v>245</v>
      </c>
      <c r="AJ712" s="15" t="s">
        <v>4745</v>
      </c>
      <c r="AK712" s="15" t="s">
        <v>3749</v>
      </c>
    </row>
    <row r="713" spans="25:37" x14ac:dyDescent="0.3">
      <c r="Y713" s="19" t="s">
        <v>1365</v>
      </c>
      <c r="Z713" s="19" t="s">
        <v>1085</v>
      </c>
      <c r="AA713" s="19" t="s">
        <v>2266</v>
      </c>
      <c r="AB713" s="15"/>
      <c r="AI713" s="15" t="s">
        <v>252</v>
      </c>
      <c r="AJ713" s="15" t="s">
        <v>4746</v>
      </c>
      <c r="AK713" s="15" t="s">
        <v>3750</v>
      </c>
    </row>
    <row r="714" spans="25:37" x14ac:dyDescent="0.3">
      <c r="Y714" s="19" t="s">
        <v>1364</v>
      </c>
      <c r="Z714" s="19" t="s">
        <v>188</v>
      </c>
      <c r="AA714" s="19" t="s">
        <v>2267</v>
      </c>
      <c r="AB714" s="15"/>
      <c r="AI714" s="15" t="s">
        <v>252</v>
      </c>
      <c r="AJ714" s="15" t="s">
        <v>4748</v>
      </c>
      <c r="AK714" s="15" t="s">
        <v>3752</v>
      </c>
    </row>
    <row r="715" spans="25:37" x14ac:dyDescent="0.3">
      <c r="Y715" s="19" t="s">
        <v>1364</v>
      </c>
      <c r="Z715" s="19" t="s">
        <v>199</v>
      </c>
      <c r="AA715" s="19" t="s">
        <v>2268</v>
      </c>
      <c r="AB715" s="15"/>
      <c r="AI715" s="15" t="s">
        <v>252</v>
      </c>
      <c r="AJ715" s="15" t="s">
        <v>4749</v>
      </c>
      <c r="AK715" s="15" t="s">
        <v>3753</v>
      </c>
    </row>
    <row r="716" spans="25:37" x14ac:dyDescent="0.3">
      <c r="Y716" s="19" t="s">
        <v>1366</v>
      </c>
      <c r="Z716" s="19" t="s">
        <v>1191</v>
      </c>
      <c r="AA716" s="19" t="s">
        <v>2269</v>
      </c>
      <c r="AB716" s="15"/>
      <c r="AI716" s="15" t="s">
        <v>245</v>
      </c>
      <c r="AJ716" s="15" t="s">
        <v>4750</v>
      </c>
      <c r="AK716" s="15" t="s">
        <v>3754</v>
      </c>
    </row>
    <row r="717" spans="25:37" x14ac:dyDescent="0.3">
      <c r="Y717" s="19" t="s">
        <v>1364</v>
      </c>
      <c r="Z717" s="19" t="s">
        <v>429</v>
      </c>
      <c r="AA717" s="19" t="s">
        <v>2270</v>
      </c>
      <c r="AB717" s="15"/>
      <c r="AI717" s="15" t="s">
        <v>244</v>
      </c>
      <c r="AJ717" s="15" t="s">
        <v>4751</v>
      </c>
      <c r="AK717" s="15" t="s">
        <v>3755</v>
      </c>
    </row>
    <row r="718" spans="25:37" x14ac:dyDescent="0.3">
      <c r="Y718" s="19" t="s">
        <v>1366</v>
      </c>
      <c r="Z718" s="19" t="s">
        <v>709</v>
      </c>
      <c r="AA718" s="19" t="s">
        <v>2271</v>
      </c>
      <c r="AB718" s="15"/>
      <c r="AI718" s="15" t="s">
        <v>244</v>
      </c>
      <c r="AJ718" s="15" t="s">
        <v>4752</v>
      </c>
      <c r="AK718" s="15" t="s">
        <v>3756</v>
      </c>
    </row>
    <row r="719" spans="25:37" x14ac:dyDescent="0.3">
      <c r="Y719" s="19" t="s">
        <v>1365</v>
      </c>
      <c r="Z719" s="19" t="s">
        <v>1079</v>
      </c>
      <c r="AA719" s="19" t="s">
        <v>2272</v>
      </c>
      <c r="AB719" s="15"/>
      <c r="AI719" s="15" t="s">
        <v>245</v>
      </c>
      <c r="AJ719" s="15" t="s">
        <v>4753</v>
      </c>
      <c r="AK719" s="15" t="s">
        <v>3757</v>
      </c>
    </row>
    <row r="720" spans="25:37" x14ac:dyDescent="0.3">
      <c r="Y720" s="19" t="s">
        <v>1365</v>
      </c>
      <c r="Z720" s="19" t="s">
        <v>636</v>
      </c>
      <c r="AA720" s="19" t="s">
        <v>2273</v>
      </c>
      <c r="AB720" s="15"/>
      <c r="AI720" s="15" t="s">
        <v>245</v>
      </c>
      <c r="AJ720" s="15" t="s">
        <v>4754</v>
      </c>
      <c r="AK720" s="15" t="s">
        <v>3758</v>
      </c>
    </row>
    <row r="721" spans="25:37" x14ac:dyDescent="0.3">
      <c r="Y721" s="19" t="s">
        <v>1365</v>
      </c>
      <c r="Z721" s="19" t="s">
        <v>550</v>
      </c>
      <c r="AA721" s="19" t="s">
        <v>2274</v>
      </c>
      <c r="AB721" s="15"/>
      <c r="AI721" s="15" t="s">
        <v>245</v>
      </c>
      <c r="AJ721" s="15" t="s">
        <v>4755</v>
      </c>
      <c r="AK721" s="15" t="s">
        <v>3759</v>
      </c>
    </row>
    <row r="722" spans="25:37" x14ac:dyDescent="0.3">
      <c r="Y722" s="19" t="s">
        <v>1366</v>
      </c>
      <c r="Z722" s="19" t="s">
        <v>1520</v>
      </c>
      <c r="AA722" s="19" t="s">
        <v>2275</v>
      </c>
      <c r="AB722" s="15"/>
      <c r="AI722" s="15" t="s">
        <v>1172</v>
      </c>
      <c r="AJ722" s="15" t="s">
        <v>4756</v>
      </c>
      <c r="AK722" s="15" t="s">
        <v>3760</v>
      </c>
    </row>
    <row r="723" spans="25:37" x14ac:dyDescent="0.3">
      <c r="Y723" s="19" t="s">
        <v>1366</v>
      </c>
      <c r="Z723" s="19" t="s">
        <v>648</v>
      </c>
      <c r="AA723" s="19" t="s">
        <v>2276</v>
      </c>
      <c r="AB723" s="15"/>
      <c r="AI723" s="19" t="s">
        <v>78</v>
      </c>
      <c r="AJ723" s="19" t="s">
        <v>4757</v>
      </c>
      <c r="AK723" s="19" t="s">
        <v>3761</v>
      </c>
    </row>
    <row r="724" spans="25:37" x14ac:dyDescent="0.3">
      <c r="Y724" s="19" t="s">
        <v>1364</v>
      </c>
      <c r="Z724" s="19" t="s">
        <v>187</v>
      </c>
      <c r="AA724" s="19" t="s">
        <v>2277</v>
      </c>
      <c r="AB724" s="15"/>
      <c r="AI724" s="15" t="s">
        <v>84</v>
      </c>
      <c r="AJ724" s="15" t="s">
        <v>4758</v>
      </c>
      <c r="AK724" s="15" t="s">
        <v>3762</v>
      </c>
    </row>
    <row r="725" spans="25:37" x14ac:dyDescent="0.3">
      <c r="Y725" s="19" t="s">
        <v>1364</v>
      </c>
      <c r="Z725" s="19" t="s">
        <v>186</v>
      </c>
      <c r="AA725" s="19" t="s">
        <v>2278</v>
      </c>
      <c r="AB725" s="15"/>
      <c r="AI725" s="19" t="s">
        <v>77</v>
      </c>
      <c r="AJ725" s="19" t="s">
        <v>4759</v>
      </c>
      <c r="AK725" s="19" t="s">
        <v>3763</v>
      </c>
    </row>
    <row r="726" spans="25:37" x14ac:dyDescent="0.3">
      <c r="Y726" s="19" t="s">
        <v>1365</v>
      </c>
      <c r="Z726" s="19" t="s">
        <v>592</v>
      </c>
      <c r="AA726" s="19" t="s">
        <v>2279</v>
      </c>
      <c r="AB726" s="15"/>
      <c r="AI726" s="19" t="s">
        <v>77</v>
      </c>
      <c r="AJ726" s="19" t="s">
        <v>4760</v>
      </c>
      <c r="AK726" s="19" t="s">
        <v>3764</v>
      </c>
    </row>
    <row r="727" spans="25:37" x14ac:dyDescent="0.3">
      <c r="Y727" s="19" t="s">
        <v>1365</v>
      </c>
      <c r="Z727" s="19" t="s">
        <v>1164</v>
      </c>
      <c r="AA727" s="19" t="s">
        <v>2280</v>
      </c>
      <c r="AB727" s="15"/>
      <c r="AI727" s="19" t="s">
        <v>77</v>
      </c>
      <c r="AJ727" s="19" t="s">
        <v>4761</v>
      </c>
      <c r="AK727" s="19" t="s">
        <v>3765</v>
      </c>
    </row>
    <row r="728" spans="25:37" x14ac:dyDescent="0.3">
      <c r="Y728" s="19" t="s">
        <v>1366</v>
      </c>
      <c r="Z728" s="19" t="s">
        <v>683</v>
      </c>
      <c r="AA728" s="19" t="s">
        <v>2281</v>
      </c>
      <c r="AB728" s="15"/>
      <c r="AI728" s="19" t="s">
        <v>77</v>
      </c>
      <c r="AJ728" s="19" t="s">
        <v>4762</v>
      </c>
      <c r="AK728" s="19" t="s">
        <v>3766</v>
      </c>
    </row>
    <row r="729" spans="25:37" x14ac:dyDescent="0.3">
      <c r="Y729" s="19" t="s">
        <v>1365</v>
      </c>
      <c r="Z729" s="19" t="s">
        <v>274</v>
      </c>
      <c r="AA729" s="19" t="s">
        <v>2282</v>
      </c>
      <c r="AB729" s="15"/>
      <c r="AI729" s="19" t="s">
        <v>519</v>
      </c>
      <c r="AJ729" s="19" t="s">
        <v>4763</v>
      </c>
      <c r="AK729" s="19" t="s">
        <v>3767</v>
      </c>
    </row>
    <row r="730" spans="25:37" x14ac:dyDescent="0.3">
      <c r="Y730" s="19" t="s">
        <v>1364</v>
      </c>
      <c r="Z730" s="19" t="s">
        <v>185</v>
      </c>
      <c r="AA730" s="19" t="s">
        <v>2283</v>
      </c>
      <c r="AB730" s="15"/>
      <c r="AI730" s="19" t="s">
        <v>71</v>
      </c>
      <c r="AJ730" s="19" t="s">
        <v>4764</v>
      </c>
      <c r="AK730" s="19" t="s">
        <v>3768</v>
      </c>
    </row>
    <row r="731" spans="25:37" x14ac:dyDescent="0.3">
      <c r="Y731" s="19" t="s">
        <v>1364</v>
      </c>
      <c r="Z731" s="19" t="s">
        <v>184</v>
      </c>
      <c r="AA731" s="19" t="s">
        <v>2284</v>
      </c>
      <c r="AB731" s="15"/>
      <c r="AI731" s="19" t="s">
        <v>71</v>
      </c>
      <c r="AJ731" s="19" t="s">
        <v>4765</v>
      </c>
      <c r="AK731" s="19" t="s">
        <v>3769</v>
      </c>
    </row>
    <row r="732" spans="25:37" x14ac:dyDescent="0.3">
      <c r="Y732" s="19" t="s">
        <v>1365</v>
      </c>
      <c r="Z732" s="19" t="s">
        <v>575</v>
      </c>
      <c r="AA732" s="19" t="s">
        <v>2285</v>
      </c>
      <c r="AB732" s="15"/>
      <c r="AI732" s="19" t="s">
        <v>77</v>
      </c>
      <c r="AJ732" s="19" t="s">
        <v>4766</v>
      </c>
      <c r="AK732" s="19" t="s">
        <v>3770</v>
      </c>
    </row>
    <row r="733" spans="25:37" x14ac:dyDescent="0.3">
      <c r="Y733" s="19" t="s">
        <v>1364</v>
      </c>
      <c r="Z733" s="19" t="s">
        <v>1224</v>
      </c>
      <c r="AA733" s="19" t="s">
        <v>2286</v>
      </c>
      <c r="AB733" s="15"/>
      <c r="AI733" s="19" t="s">
        <v>77</v>
      </c>
      <c r="AJ733" s="19" t="s">
        <v>4767</v>
      </c>
      <c r="AK733" s="19" t="s">
        <v>3771</v>
      </c>
    </row>
    <row r="734" spans="25:37" x14ac:dyDescent="0.3">
      <c r="Y734" s="19" t="s">
        <v>1364</v>
      </c>
      <c r="Z734" s="19" t="s">
        <v>1225</v>
      </c>
      <c r="AA734" s="19" t="s">
        <v>2287</v>
      </c>
      <c r="AB734" s="15"/>
      <c r="AI734" s="19" t="s">
        <v>77</v>
      </c>
      <c r="AJ734" s="19" t="s">
        <v>4768</v>
      </c>
      <c r="AK734" s="19" t="s">
        <v>3772</v>
      </c>
    </row>
    <row r="735" spans="25:37" x14ac:dyDescent="0.3">
      <c r="Y735" s="19" t="s">
        <v>1365</v>
      </c>
      <c r="Z735" s="19" t="s">
        <v>1521</v>
      </c>
      <c r="AA735" s="19" t="s">
        <v>2288</v>
      </c>
      <c r="AB735" s="15"/>
      <c r="AI735" s="19" t="s">
        <v>490</v>
      </c>
      <c r="AJ735" s="19" t="s">
        <v>4769</v>
      </c>
      <c r="AK735" s="19" t="s">
        <v>3773</v>
      </c>
    </row>
    <row r="736" spans="25:37" x14ac:dyDescent="0.3">
      <c r="Y736" s="19" t="s">
        <v>1365</v>
      </c>
      <c r="Z736" s="19" t="s">
        <v>544</v>
      </c>
      <c r="AA736" s="19" t="s">
        <v>2289</v>
      </c>
      <c r="AB736" s="15"/>
      <c r="AI736" s="19" t="s">
        <v>78</v>
      </c>
      <c r="AJ736" s="19" t="s">
        <v>4770</v>
      </c>
      <c r="AK736" s="19" t="s">
        <v>3774</v>
      </c>
    </row>
    <row r="737" spans="25:37" x14ac:dyDescent="0.3">
      <c r="Y737" s="19" t="s">
        <v>1366</v>
      </c>
      <c r="Z737" s="19" t="s">
        <v>556</v>
      </c>
      <c r="AA737" s="19" t="s">
        <v>2290</v>
      </c>
      <c r="AB737" s="15"/>
      <c r="AI737" s="19" t="s">
        <v>79</v>
      </c>
      <c r="AJ737" s="19" t="s">
        <v>4771</v>
      </c>
      <c r="AK737" s="19" t="s">
        <v>3775</v>
      </c>
    </row>
    <row r="738" spans="25:37" x14ac:dyDescent="0.3">
      <c r="Y738" s="19" t="s">
        <v>1366</v>
      </c>
      <c r="Z738" s="19" t="s">
        <v>555</v>
      </c>
      <c r="AA738" s="19" t="s">
        <v>2291</v>
      </c>
      <c r="AB738" s="15"/>
      <c r="AI738" s="19" t="s">
        <v>519</v>
      </c>
      <c r="AJ738" s="19" t="s">
        <v>4772</v>
      </c>
      <c r="AK738" s="19" t="s">
        <v>3776</v>
      </c>
    </row>
    <row r="739" spans="25:37" x14ac:dyDescent="0.3">
      <c r="Y739" s="19" t="s">
        <v>1366</v>
      </c>
      <c r="Z739" s="19" t="s">
        <v>1522</v>
      </c>
      <c r="AA739" s="19" t="s">
        <v>2292</v>
      </c>
      <c r="AB739" s="15"/>
      <c r="AI739" s="19" t="s">
        <v>227</v>
      </c>
      <c r="AJ739" s="19" t="s">
        <v>4773</v>
      </c>
      <c r="AK739" s="19" t="s">
        <v>3777</v>
      </c>
    </row>
    <row r="740" spans="25:37" x14ac:dyDescent="0.3">
      <c r="Y740" s="19" t="s">
        <v>1365</v>
      </c>
      <c r="Z740" s="19" t="s">
        <v>545</v>
      </c>
      <c r="AA740" s="19" t="s">
        <v>2293</v>
      </c>
      <c r="AB740" s="15"/>
      <c r="AI740" s="19" t="s">
        <v>70</v>
      </c>
      <c r="AJ740" s="19" t="s">
        <v>4774</v>
      </c>
      <c r="AK740" s="19" t="s">
        <v>3778</v>
      </c>
    </row>
    <row r="741" spans="25:37" x14ac:dyDescent="0.3">
      <c r="Y741" s="19" t="s">
        <v>1365</v>
      </c>
      <c r="Z741" s="19" t="s">
        <v>477</v>
      </c>
      <c r="AA741" s="19" t="s">
        <v>2294</v>
      </c>
      <c r="AB741" s="15"/>
      <c r="AI741" s="19" t="s">
        <v>65</v>
      </c>
      <c r="AJ741" s="19" t="s">
        <v>4775</v>
      </c>
      <c r="AK741" s="19" t="s">
        <v>3779</v>
      </c>
    </row>
    <row r="742" spans="25:37" x14ac:dyDescent="0.3">
      <c r="Y742" s="19" t="s">
        <v>20</v>
      </c>
      <c r="Z742" s="19" t="s">
        <v>262</v>
      </c>
      <c r="AA742" s="19" t="s">
        <v>2295</v>
      </c>
      <c r="AB742" s="15"/>
      <c r="AI742" s="19" t="s">
        <v>94</v>
      </c>
      <c r="AJ742" s="19" t="s">
        <v>4776</v>
      </c>
      <c r="AK742" s="19" t="s">
        <v>3780</v>
      </c>
    </row>
    <row r="743" spans="25:37" x14ac:dyDescent="0.3">
      <c r="Y743" s="14" t="s">
        <v>1048</v>
      </c>
      <c r="Z743" s="15" t="s">
        <v>1053</v>
      </c>
      <c r="AA743" s="15" t="s">
        <v>2296</v>
      </c>
      <c r="AB743" s="15"/>
      <c r="AI743" s="15" t="s">
        <v>530</v>
      </c>
      <c r="AJ743" s="15" t="s">
        <v>4777</v>
      </c>
      <c r="AK743" s="15" t="s">
        <v>3781</v>
      </c>
    </row>
    <row r="744" spans="25:37" x14ac:dyDescent="0.3">
      <c r="Y744" s="19" t="s">
        <v>1325</v>
      </c>
      <c r="Z744" s="19" t="s">
        <v>5183</v>
      </c>
      <c r="AA744" s="19" t="s">
        <v>5239</v>
      </c>
      <c r="AB744" s="15"/>
      <c r="AI744" s="15" t="s">
        <v>101</v>
      </c>
      <c r="AJ744" s="15" t="s">
        <v>4778</v>
      </c>
      <c r="AK744" s="15" t="s">
        <v>3782</v>
      </c>
    </row>
    <row r="745" spans="25:37" x14ac:dyDescent="0.3">
      <c r="Y745" s="14" t="s">
        <v>231</v>
      </c>
      <c r="Z745" s="15" t="s">
        <v>431</v>
      </c>
      <c r="AA745" s="15" t="s">
        <v>2297</v>
      </c>
      <c r="AB745" s="15"/>
      <c r="AI745" s="19" t="s">
        <v>78</v>
      </c>
      <c r="AJ745" s="19" t="s">
        <v>4779</v>
      </c>
      <c r="AK745" s="19" t="s">
        <v>3783</v>
      </c>
    </row>
    <row r="746" spans="25:37" x14ac:dyDescent="0.3">
      <c r="Y746" s="14" t="s">
        <v>231</v>
      </c>
      <c r="Z746" s="15" t="s">
        <v>432</v>
      </c>
      <c r="AA746" s="15" t="s">
        <v>2298</v>
      </c>
      <c r="AB746" s="15"/>
      <c r="AI746" s="19" t="s">
        <v>71</v>
      </c>
      <c r="AJ746" s="19" t="s">
        <v>4780</v>
      </c>
      <c r="AK746" s="19" t="s">
        <v>3784</v>
      </c>
    </row>
    <row r="747" spans="25:37" x14ac:dyDescent="0.3">
      <c r="Y747" s="14" t="s">
        <v>231</v>
      </c>
      <c r="Z747" s="15" t="s">
        <v>430</v>
      </c>
      <c r="AA747" s="15" t="s">
        <v>2299</v>
      </c>
      <c r="AB747" s="15"/>
      <c r="AI747" s="15" t="s">
        <v>533</v>
      </c>
      <c r="AJ747" s="15" t="s">
        <v>4781</v>
      </c>
      <c r="AK747" s="15" t="s">
        <v>3785</v>
      </c>
    </row>
    <row r="748" spans="25:37" x14ac:dyDescent="0.3">
      <c r="Y748" s="14" t="s">
        <v>15</v>
      </c>
      <c r="Z748" s="15" t="s">
        <v>452</v>
      </c>
      <c r="AA748" s="15" t="s">
        <v>2300</v>
      </c>
      <c r="AB748" s="15"/>
      <c r="AI748" s="19" t="s">
        <v>71</v>
      </c>
      <c r="AJ748" s="19" t="s">
        <v>4782</v>
      </c>
      <c r="AK748" s="19" t="s">
        <v>3786</v>
      </c>
    </row>
    <row r="749" spans="25:37" x14ac:dyDescent="0.3">
      <c r="Y749" s="14" t="s">
        <v>10</v>
      </c>
      <c r="Z749" s="15" t="s">
        <v>454</v>
      </c>
      <c r="AA749" s="15" t="s">
        <v>2301</v>
      </c>
      <c r="AB749" s="15"/>
      <c r="AI749" s="19" t="s">
        <v>67</v>
      </c>
      <c r="AJ749" s="19" t="s">
        <v>4783</v>
      </c>
      <c r="AK749" s="19" t="s">
        <v>3787</v>
      </c>
    </row>
    <row r="750" spans="25:37" x14ac:dyDescent="0.3">
      <c r="Y750" s="14" t="s">
        <v>15</v>
      </c>
      <c r="Z750" s="15" t="s">
        <v>451</v>
      </c>
      <c r="AA750" s="15" t="s">
        <v>2302</v>
      </c>
      <c r="AB750" s="15"/>
      <c r="AI750" s="19" t="s">
        <v>67</v>
      </c>
      <c r="AJ750" s="19" t="s">
        <v>4784</v>
      </c>
      <c r="AK750" s="19" t="s">
        <v>3788</v>
      </c>
    </row>
    <row r="751" spans="25:37" x14ac:dyDescent="0.3">
      <c r="Y751" s="14" t="s">
        <v>248</v>
      </c>
      <c r="Z751" s="15" t="s">
        <v>428</v>
      </c>
      <c r="AA751" s="15" t="s">
        <v>2303</v>
      </c>
      <c r="AB751" s="15"/>
      <c r="AI751" s="19" t="s">
        <v>67</v>
      </c>
      <c r="AJ751" s="19" t="s">
        <v>4785</v>
      </c>
      <c r="AK751" s="19" t="s">
        <v>3789</v>
      </c>
    </row>
    <row r="752" spans="25:37" x14ac:dyDescent="0.3">
      <c r="Y752" s="14" t="s">
        <v>114</v>
      </c>
      <c r="Z752" s="15" t="s">
        <v>1291</v>
      </c>
      <c r="AA752" s="15" t="s">
        <v>2304</v>
      </c>
      <c r="AB752" s="15"/>
      <c r="AI752" s="19" t="s">
        <v>77</v>
      </c>
      <c r="AJ752" s="19" t="s">
        <v>4786</v>
      </c>
      <c r="AK752" s="19" t="s">
        <v>3790</v>
      </c>
    </row>
    <row r="753" spans="25:37" x14ac:dyDescent="0.3">
      <c r="Y753" s="14" t="s">
        <v>15</v>
      </c>
      <c r="Z753" s="15" t="s">
        <v>425</v>
      </c>
      <c r="AA753" s="15" t="s">
        <v>2305</v>
      </c>
      <c r="AB753" s="15"/>
      <c r="AI753" s="19" t="s">
        <v>77</v>
      </c>
      <c r="AJ753" s="19" t="s">
        <v>4787</v>
      </c>
      <c r="AK753" s="19" t="s">
        <v>3791</v>
      </c>
    </row>
    <row r="754" spans="25:37" x14ac:dyDescent="0.3">
      <c r="Y754" s="14" t="s">
        <v>231</v>
      </c>
      <c r="Z754" s="15" t="s">
        <v>422</v>
      </c>
      <c r="AA754" s="15" t="s">
        <v>2306</v>
      </c>
      <c r="AB754" s="15"/>
      <c r="AI754" s="19" t="s">
        <v>77</v>
      </c>
      <c r="AJ754" s="19" t="s">
        <v>4788</v>
      </c>
      <c r="AK754" s="19" t="s">
        <v>3792</v>
      </c>
    </row>
    <row r="755" spans="25:37" x14ac:dyDescent="0.3">
      <c r="Y755" s="14" t="s">
        <v>247</v>
      </c>
      <c r="Z755" s="15" t="s">
        <v>393</v>
      </c>
      <c r="AA755" s="15" t="s">
        <v>2307</v>
      </c>
      <c r="AB755" s="15"/>
      <c r="AI755" s="19" t="s">
        <v>77</v>
      </c>
      <c r="AJ755" s="19" t="s">
        <v>4789</v>
      </c>
      <c r="AK755" s="19" t="s">
        <v>3793</v>
      </c>
    </row>
    <row r="756" spans="25:37" x14ac:dyDescent="0.3">
      <c r="Y756" s="14" t="s">
        <v>22</v>
      </c>
      <c r="Z756" s="15" t="s">
        <v>394</v>
      </c>
      <c r="AA756" s="15" t="s">
        <v>2308</v>
      </c>
      <c r="AB756" s="15"/>
      <c r="AI756" s="19" t="s">
        <v>77</v>
      </c>
      <c r="AJ756" s="19" t="s">
        <v>4790</v>
      </c>
      <c r="AK756" s="19" t="s">
        <v>3794</v>
      </c>
    </row>
    <row r="757" spans="25:37" x14ac:dyDescent="0.3">
      <c r="Y757" s="14" t="s">
        <v>233</v>
      </c>
      <c r="Z757" s="15" t="s">
        <v>404</v>
      </c>
      <c r="AA757" s="15" t="s">
        <v>2309</v>
      </c>
      <c r="AB757" s="15"/>
      <c r="AI757" s="19" t="s">
        <v>77</v>
      </c>
      <c r="AJ757" s="19" t="s">
        <v>4791</v>
      </c>
      <c r="AK757" s="19" t="s">
        <v>3795</v>
      </c>
    </row>
    <row r="758" spans="25:37" x14ac:dyDescent="0.3">
      <c r="Y758" s="14" t="s">
        <v>22</v>
      </c>
      <c r="Z758" s="15" t="s">
        <v>395</v>
      </c>
      <c r="AA758" s="15" t="s">
        <v>2310</v>
      </c>
      <c r="AB758" s="15"/>
      <c r="AI758" s="15" t="s">
        <v>83</v>
      </c>
      <c r="AJ758" s="15" t="s">
        <v>4792</v>
      </c>
      <c r="AK758" s="15" t="s">
        <v>3796</v>
      </c>
    </row>
    <row r="759" spans="25:37" x14ac:dyDescent="0.3">
      <c r="Y759" s="14" t="s">
        <v>22</v>
      </c>
      <c r="Z759" s="15" t="s">
        <v>416</v>
      </c>
      <c r="AA759" s="15" t="s">
        <v>2311</v>
      </c>
      <c r="AB759" s="15"/>
      <c r="AI759" s="15" t="s">
        <v>83</v>
      </c>
      <c r="AJ759" s="15" t="s">
        <v>4793</v>
      </c>
      <c r="AK759" s="15" t="s">
        <v>3797</v>
      </c>
    </row>
    <row r="760" spans="25:37" x14ac:dyDescent="0.3">
      <c r="Y760" s="14" t="s">
        <v>22</v>
      </c>
      <c r="Z760" s="15" t="s">
        <v>397</v>
      </c>
      <c r="AA760" s="15" t="s">
        <v>2312</v>
      </c>
      <c r="AB760" s="15"/>
      <c r="AI760" s="15" t="s">
        <v>83</v>
      </c>
      <c r="AJ760" s="15" t="s">
        <v>4794</v>
      </c>
      <c r="AK760" s="15" t="s">
        <v>3798</v>
      </c>
    </row>
    <row r="761" spans="25:37" x14ac:dyDescent="0.3">
      <c r="Y761" s="14" t="s">
        <v>22</v>
      </c>
      <c r="Z761" s="15" t="s">
        <v>398</v>
      </c>
      <c r="AA761" s="15" t="s">
        <v>2313</v>
      </c>
      <c r="AB761" s="15"/>
      <c r="AI761" s="15" t="s">
        <v>559</v>
      </c>
      <c r="AJ761" s="15" t="s">
        <v>4795</v>
      </c>
      <c r="AK761" s="15" t="s">
        <v>3799</v>
      </c>
    </row>
    <row r="762" spans="25:37" x14ac:dyDescent="0.3">
      <c r="Y762" s="14" t="s">
        <v>233</v>
      </c>
      <c r="Z762" s="15" t="s">
        <v>405</v>
      </c>
      <c r="AA762" s="15" t="s">
        <v>2314</v>
      </c>
      <c r="AB762" s="15"/>
      <c r="AI762" s="15" t="s">
        <v>88</v>
      </c>
      <c r="AJ762" s="15" t="s">
        <v>4796</v>
      </c>
      <c r="AK762" s="15" t="s">
        <v>3800</v>
      </c>
    </row>
    <row r="763" spans="25:37" x14ac:dyDescent="0.3">
      <c r="Y763" s="14" t="s">
        <v>22</v>
      </c>
      <c r="Z763" s="15" t="s">
        <v>403</v>
      </c>
      <c r="AA763" s="15" t="s">
        <v>2315</v>
      </c>
      <c r="AB763" s="15"/>
      <c r="AI763" s="15" t="s">
        <v>1539</v>
      </c>
      <c r="AJ763" s="15" t="s">
        <v>4797</v>
      </c>
      <c r="AK763" s="15" t="s">
        <v>3801</v>
      </c>
    </row>
    <row r="764" spans="25:37" x14ac:dyDescent="0.3">
      <c r="Y764" s="14" t="s">
        <v>247</v>
      </c>
      <c r="Z764" s="15" t="s">
        <v>276</v>
      </c>
      <c r="AA764" s="15" t="s">
        <v>2316</v>
      </c>
      <c r="AB764" s="15"/>
      <c r="AI764" s="15" t="s">
        <v>1212</v>
      </c>
      <c r="AJ764" s="15" t="s">
        <v>4798</v>
      </c>
      <c r="AK764" s="15" t="s">
        <v>3802</v>
      </c>
    </row>
    <row r="765" spans="25:37" x14ac:dyDescent="0.3">
      <c r="Y765" s="14" t="s">
        <v>249</v>
      </c>
      <c r="Z765" s="15" t="s">
        <v>279</v>
      </c>
      <c r="AA765" s="15" t="s">
        <v>2317</v>
      </c>
      <c r="AB765" s="15"/>
      <c r="AI765" s="15" t="s">
        <v>1212</v>
      </c>
      <c r="AJ765" s="15" t="s">
        <v>4799</v>
      </c>
      <c r="AK765" s="15" t="s">
        <v>3803</v>
      </c>
    </row>
    <row r="766" spans="25:37" x14ac:dyDescent="0.3">
      <c r="Y766" s="14" t="s">
        <v>15</v>
      </c>
      <c r="Z766" s="15" t="s">
        <v>364</v>
      </c>
      <c r="AA766" s="15" t="s">
        <v>2318</v>
      </c>
      <c r="AB766" s="15"/>
      <c r="AI766" s="15" t="s">
        <v>559</v>
      </c>
      <c r="AJ766" s="15" t="s">
        <v>4800</v>
      </c>
      <c r="AK766" s="15" t="s">
        <v>3804</v>
      </c>
    </row>
    <row r="767" spans="25:37" x14ac:dyDescent="0.3">
      <c r="Y767" s="14" t="s">
        <v>15</v>
      </c>
      <c r="Z767" s="15" t="s">
        <v>362</v>
      </c>
      <c r="AA767" s="15" t="s">
        <v>2319</v>
      </c>
      <c r="AB767" s="15"/>
      <c r="AI767" s="15" t="s">
        <v>559</v>
      </c>
      <c r="AJ767" s="15" t="s">
        <v>4801</v>
      </c>
      <c r="AK767" s="15" t="s">
        <v>3805</v>
      </c>
    </row>
    <row r="768" spans="25:37" x14ac:dyDescent="0.3">
      <c r="Y768" s="14" t="s">
        <v>231</v>
      </c>
      <c r="Z768" s="15" t="s">
        <v>1249</v>
      </c>
      <c r="AA768" s="15" t="s">
        <v>2320</v>
      </c>
      <c r="AB768" s="15"/>
      <c r="AI768" s="15" t="s">
        <v>1539</v>
      </c>
      <c r="AJ768" s="15" t="s">
        <v>4802</v>
      </c>
      <c r="AK768" s="15" t="s">
        <v>3806</v>
      </c>
    </row>
    <row r="769" spans="25:37" x14ac:dyDescent="0.3">
      <c r="Y769" s="14" t="s">
        <v>374</v>
      </c>
      <c r="Z769" s="15" t="s">
        <v>1193</v>
      </c>
      <c r="AA769" s="15" t="s">
        <v>2321</v>
      </c>
      <c r="AB769" s="15"/>
      <c r="AI769" s="15" t="s">
        <v>105</v>
      </c>
      <c r="AJ769" s="15" t="s">
        <v>4803</v>
      </c>
      <c r="AK769" s="15" t="s">
        <v>3807</v>
      </c>
    </row>
    <row r="770" spans="25:37" x14ac:dyDescent="0.3">
      <c r="Y770" s="14" t="s">
        <v>248</v>
      </c>
      <c r="Z770" s="15" t="s">
        <v>270</v>
      </c>
      <c r="AA770" s="15" t="s">
        <v>2322</v>
      </c>
      <c r="AB770" s="15"/>
      <c r="AI770" s="15" t="s">
        <v>105</v>
      </c>
      <c r="AJ770" s="15" t="s">
        <v>4804</v>
      </c>
      <c r="AK770" s="15" t="s">
        <v>3808</v>
      </c>
    </row>
    <row r="771" spans="25:37" x14ac:dyDescent="0.3">
      <c r="Y771" s="14" t="s">
        <v>22</v>
      </c>
      <c r="Z771" s="15" t="s">
        <v>459</v>
      </c>
      <c r="AA771" s="15" t="s">
        <v>2323</v>
      </c>
      <c r="AB771" s="15"/>
      <c r="AI771" s="15" t="s">
        <v>105</v>
      </c>
      <c r="AJ771" s="15" t="s">
        <v>4805</v>
      </c>
      <c r="AK771" s="15" t="s">
        <v>3809</v>
      </c>
    </row>
    <row r="772" spans="25:37" x14ac:dyDescent="0.3">
      <c r="Y772" s="19" t="s">
        <v>18</v>
      </c>
      <c r="Z772" s="19" t="s">
        <v>460</v>
      </c>
      <c r="AA772" s="19" t="s">
        <v>2324</v>
      </c>
      <c r="AB772" s="15"/>
      <c r="AI772" s="15" t="s">
        <v>105</v>
      </c>
      <c r="AJ772" s="15" t="s">
        <v>4806</v>
      </c>
      <c r="AK772" s="15" t="s">
        <v>3810</v>
      </c>
    </row>
    <row r="773" spans="25:37" x14ac:dyDescent="0.3">
      <c r="Y773" s="14" t="s">
        <v>22</v>
      </c>
      <c r="Z773" s="15" t="s">
        <v>458</v>
      </c>
      <c r="AA773" s="15" t="s">
        <v>2325</v>
      </c>
      <c r="AB773" s="15"/>
      <c r="AI773" s="15" t="s">
        <v>105</v>
      </c>
      <c r="AJ773" s="15" t="s">
        <v>4807</v>
      </c>
      <c r="AK773" s="15" t="s">
        <v>3811</v>
      </c>
    </row>
    <row r="774" spans="25:37" x14ac:dyDescent="0.3">
      <c r="Y774" s="14" t="s">
        <v>12</v>
      </c>
      <c r="Z774" s="15" t="s">
        <v>1286</v>
      </c>
      <c r="AA774" s="15" t="s">
        <v>2326</v>
      </c>
      <c r="AB774" s="15"/>
      <c r="AI774" s="15" t="s">
        <v>105</v>
      </c>
      <c r="AJ774" s="15" t="s">
        <v>1293</v>
      </c>
      <c r="AK774" s="15" t="s">
        <v>3812</v>
      </c>
    </row>
    <row r="775" spans="25:37" x14ac:dyDescent="0.3">
      <c r="Y775" s="14" t="s">
        <v>10</v>
      </c>
      <c r="Z775" s="15" t="s">
        <v>178</v>
      </c>
      <c r="AA775" s="15" t="s">
        <v>2327</v>
      </c>
      <c r="AB775" s="15"/>
      <c r="AI775" s="15" t="s">
        <v>105</v>
      </c>
      <c r="AJ775" s="15" t="s">
        <v>4808</v>
      </c>
      <c r="AK775" s="15" t="s">
        <v>3813</v>
      </c>
    </row>
    <row r="776" spans="25:37" x14ac:dyDescent="0.3">
      <c r="Y776" s="14" t="s">
        <v>248</v>
      </c>
      <c r="Z776" s="15" t="s">
        <v>423</v>
      </c>
      <c r="AA776" s="15" t="s">
        <v>2328</v>
      </c>
      <c r="AB776" s="15"/>
      <c r="AI776" s="19" t="s">
        <v>71</v>
      </c>
      <c r="AJ776" s="19" t="s">
        <v>4809</v>
      </c>
      <c r="AK776" s="19" t="s">
        <v>3814</v>
      </c>
    </row>
    <row r="777" spans="25:37" x14ac:dyDescent="0.3">
      <c r="Y777" s="14" t="s">
        <v>228</v>
      </c>
      <c r="Z777" s="15" t="s">
        <v>210</v>
      </c>
      <c r="AA777" s="15" t="s">
        <v>2329</v>
      </c>
      <c r="AB777" s="15"/>
      <c r="AI777" s="19" t="s">
        <v>78</v>
      </c>
      <c r="AJ777" s="19" t="s">
        <v>4810</v>
      </c>
      <c r="AK777" s="19" t="s">
        <v>3815</v>
      </c>
    </row>
    <row r="778" spans="25:37" x14ac:dyDescent="0.3">
      <c r="Y778" s="14" t="s">
        <v>22</v>
      </c>
      <c r="Z778" s="15" t="s">
        <v>396</v>
      </c>
      <c r="AA778" s="15" t="s">
        <v>2330</v>
      </c>
      <c r="AB778" s="15"/>
      <c r="AI778" s="15" t="s">
        <v>1539</v>
      </c>
      <c r="AJ778" s="15" t="s">
        <v>4811</v>
      </c>
      <c r="AK778" s="15" t="s">
        <v>3816</v>
      </c>
    </row>
    <row r="779" spans="25:37" x14ac:dyDescent="0.3">
      <c r="Y779" s="14" t="s">
        <v>17</v>
      </c>
      <c r="Z779" s="15" t="s">
        <v>1267</v>
      </c>
      <c r="AA779" s="15" t="s">
        <v>2331</v>
      </c>
      <c r="AB779" s="15"/>
      <c r="AI779" s="19" t="s">
        <v>269</v>
      </c>
      <c r="AJ779" s="19" t="s">
        <v>4812</v>
      </c>
      <c r="AK779" s="19" t="s">
        <v>3817</v>
      </c>
    </row>
    <row r="780" spans="25:37" x14ac:dyDescent="0.3">
      <c r="Y780" s="14" t="s">
        <v>233</v>
      </c>
      <c r="Z780" s="15" t="s">
        <v>226</v>
      </c>
      <c r="AA780" s="15" t="s">
        <v>2332</v>
      </c>
      <c r="AB780" s="15"/>
      <c r="AI780" s="19" t="s">
        <v>269</v>
      </c>
      <c r="AJ780" s="19" t="s">
        <v>4813</v>
      </c>
      <c r="AK780" s="19" t="s">
        <v>3818</v>
      </c>
    </row>
    <row r="781" spans="25:37" x14ac:dyDescent="0.3">
      <c r="Y781" s="14" t="s">
        <v>230</v>
      </c>
      <c r="Z781" s="15" t="s">
        <v>212</v>
      </c>
      <c r="AA781" s="15" t="s">
        <v>2333</v>
      </c>
      <c r="AB781" s="15"/>
      <c r="AI781" s="19" t="s">
        <v>71</v>
      </c>
      <c r="AJ781" s="19" t="s">
        <v>4814</v>
      </c>
      <c r="AK781" s="19" t="s">
        <v>3819</v>
      </c>
    </row>
    <row r="782" spans="25:37" x14ac:dyDescent="0.3">
      <c r="Y782" s="14" t="s">
        <v>9</v>
      </c>
      <c r="Z782" s="15" t="s">
        <v>162</v>
      </c>
      <c r="AA782" s="15" t="s">
        <v>2334</v>
      </c>
      <c r="AB782" s="15"/>
      <c r="AI782" s="15" t="s">
        <v>76</v>
      </c>
      <c r="AJ782" s="15" t="s">
        <v>4815</v>
      </c>
      <c r="AK782" s="15" t="s">
        <v>3820</v>
      </c>
    </row>
    <row r="783" spans="25:37" x14ac:dyDescent="0.3">
      <c r="Y783" s="14" t="s">
        <v>232</v>
      </c>
      <c r="Z783" s="15" t="s">
        <v>154</v>
      </c>
      <c r="AA783" s="15" t="s">
        <v>2335</v>
      </c>
      <c r="AB783" s="15"/>
      <c r="AI783" s="15" t="s">
        <v>567</v>
      </c>
      <c r="AJ783" s="15" t="s">
        <v>4816</v>
      </c>
      <c r="AK783" s="15" t="s">
        <v>3821</v>
      </c>
    </row>
    <row r="784" spans="25:37" x14ac:dyDescent="0.3">
      <c r="Y784" s="14" t="s">
        <v>231</v>
      </c>
      <c r="Z784" s="15" t="s">
        <v>151</v>
      </c>
      <c r="AA784" s="15" t="s">
        <v>2336</v>
      </c>
      <c r="AB784" s="15"/>
      <c r="AI784" s="19" t="s">
        <v>490</v>
      </c>
      <c r="AJ784" s="19" t="s">
        <v>4817</v>
      </c>
      <c r="AK784" s="19" t="s">
        <v>3822</v>
      </c>
    </row>
    <row r="785" spans="25:37" x14ac:dyDescent="0.3">
      <c r="Y785" s="14" t="s">
        <v>17</v>
      </c>
      <c r="Z785" s="15" t="s">
        <v>1231</v>
      </c>
      <c r="AA785" s="15" t="s">
        <v>2337</v>
      </c>
      <c r="AB785" s="15"/>
      <c r="AI785" s="15" t="s">
        <v>224</v>
      </c>
      <c r="AJ785" s="15" t="s">
        <v>4818</v>
      </c>
      <c r="AK785" s="15" t="s">
        <v>3823</v>
      </c>
    </row>
    <row r="786" spans="25:37" x14ac:dyDescent="0.3">
      <c r="Y786" s="14" t="s">
        <v>114</v>
      </c>
      <c r="Z786" s="15" t="s">
        <v>1221</v>
      </c>
      <c r="AA786" s="15" t="s">
        <v>2338</v>
      </c>
      <c r="AB786" s="15"/>
      <c r="AI786" s="15" t="s">
        <v>224</v>
      </c>
      <c r="AJ786" s="15" t="s">
        <v>4819</v>
      </c>
      <c r="AK786" s="15" t="s">
        <v>3824</v>
      </c>
    </row>
    <row r="787" spans="25:37" x14ac:dyDescent="0.3">
      <c r="Y787" s="14" t="s">
        <v>231</v>
      </c>
      <c r="Z787" s="15" t="s">
        <v>144</v>
      </c>
      <c r="AA787" s="15" t="s">
        <v>2339</v>
      </c>
      <c r="AB787" s="15"/>
      <c r="AI787" s="15" t="s">
        <v>224</v>
      </c>
      <c r="AJ787" s="15" t="s">
        <v>4820</v>
      </c>
      <c r="AK787" s="15" t="s">
        <v>3825</v>
      </c>
    </row>
    <row r="788" spans="25:37" x14ac:dyDescent="0.3">
      <c r="Y788" s="19" t="s">
        <v>18</v>
      </c>
      <c r="Z788" s="19" t="s">
        <v>138</v>
      </c>
      <c r="AA788" s="19" t="s">
        <v>2340</v>
      </c>
      <c r="AB788" s="15"/>
      <c r="AI788" s="19" t="s">
        <v>71</v>
      </c>
      <c r="AJ788" s="19" t="s">
        <v>4821</v>
      </c>
      <c r="AK788" s="19" t="s">
        <v>3826</v>
      </c>
    </row>
    <row r="789" spans="25:37" x14ac:dyDescent="0.3">
      <c r="Y789" s="14" t="s">
        <v>13</v>
      </c>
      <c r="Z789" s="15" t="s">
        <v>129</v>
      </c>
      <c r="AA789" s="15" t="s">
        <v>2341</v>
      </c>
      <c r="AB789" s="15"/>
      <c r="AI789" s="15" t="s">
        <v>227</v>
      </c>
      <c r="AJ789" s="15" t="s">
        <v>4822</v>
      </c>
      <c r="AK789" s="15" t="s">
        <v>3827</v>
      </c>
    </row>
    <row r="790" spans="25:37" x14ac:dyDescent="0.3">
      <c r="Y790" s="14" t="s">
        <v>231</v>
      </c>
      <c r="Z790" s="15" t="s">
        <v>1204</v>
      </c>
      <c r="AA790" s="15" t="s">
        <v>2342</v>
      </c>
      <c r="AB790" s="15"/>
      <c r="AI790" s="15" t="s">
        <v>528</v>
      </c>
      <c r="AJ790" s="15" t="s">
        <v>4823</v>
      </c>
      <c r="AK790" s="15" t="s">
        <v>3828</v>
      </c>
    </row>
    <row r="791" spans="25:37" x14ac:dyDescent="0.3">
      <c r="Y791" s="14" t="s">
        <v>120</v>
      </c>
      <c r="Z791" s="15" t="s">
        <v>1203</v>
      </c>
      <c r="AA791" s="15" t="s">
        <v>2343</v>
      </c>
      <c r="AB791" s="15"/>
      <c r="AI791" s="19" t="s">
        <v>69</v>
      </c>
      <c r="AJ791" s="19" t="s">
        <v>4824</v>
      </c>
      <c r="AK791" s="19" t="s">
        <v>3829</v>
      </c>
    </row>
    <row r="792" spans="25:37" x14ac:dyDescent="0.3">
      <c r="Y792" s="14" t="s">
        <v>12</v>
      </c>
      <c r="Z792" s="15" t="s">
        <v>1200</v>
      </c>
      <c r="AA792" s="15" t="s">
        <v>2344</v>
      </c>
      <c r="AB792" s="15"/>
      <c r="AI792" s="19" t="s">
        <v>64</v>
      </c>
      <c r="AJ792" s="19" t="s">
        <v>4825</v>
      </c>
      <c r="AK792" s="19" t="s">
        <v>3830</v>
      </c>
    </row>
    <row r="793" spans="25:37" x14ac:dyDescent="0.3">
      <c r="Y793" s="14" t="s">
        <v>17</v>
      </c>
      <c r="Z793" s="15" t="s">
        <v>1201</v>
      </c>
      <c r="AA793" s="15" t="s">
        <v>2345</v>
      </c>
      <c r="AB793" s="15"/>
      <c r="AI793" s="15" t="s">
        <v>559</v>
      </c>
      <c r="AJ793" s="15" t="s">
        <v>4826</v>
      </c>
      <c r="AK793" s="15" t="s">
        <v>3831</v>
      </c>
    </row>
    <row r="794" spans="25:37" x14ac:dyDescent="0.3">
      <c r="Y794" s="14" t="s">
        <v>120</v>
      </c>
      <c r="Z794" s="15" t="s">
        <v>1190</v>
      </c>
      <c r="AA794" s="15" t="s">
        <v>2346</v>
      </c>
      <c r="AB794" s="15"/>
      <c r="AI794" s="15" t="s">
        <v>105</v>
      </c>
      <c r="AJ794" s="15" t="s">
        <v>4827</v>
      </c>
      <c r="AK794" s="15" t="s">
        <v>3832</v>
      </c>
    </row>
    <row r="795" spans="25:37" x14ac:dyDescent="0.3">
      <c r="Y795" s="14" t="s">
        <v>22</v>
      </c>
      <c r="Z795" s="15" t="s">
        <v>1152</v>
      </c>
      <c r="AA795" s="15" t="s">
        <v>2347</v>
      </c>
      <c r="AB795" s="15"/>
      <c r="AI795" s="15" t="s">
        <v>105</v>
      </c>
      <c r="AJ795" s="15" t="s">
        <v>4828</v>
      </c>
      <c r="AK795" s="15" t="s">
        <v>3833</v>
      </c>
    </row>
    <row r="796" spans="25:37" x14ac:dyDescent="0.3">
      <c r="Y796" s="14" t="s">
        <v>120</v>
      </c>
      <c r="Z796" s="15" t="s">
        <v>1120</v>
      </c>
      <c r="AA796" s="15" t="s">
        <v>2348</v>
      </c>
      <c r="AB796" s="15"/>
      <c r="AI796" s="15" t="s">
        <v>268</v>
      </c>
      <c r="AJ796" s="15" t="s">
        <v>4829</v>
      </c>
      <c r="AK796" s="15" t="s">
        <v>3834</v>
      </c>
    </row>
    <row r="797" spans="25:37" x14ac:dyDescent="0.3">
      <c r="Y797" s="14" t="s">
        <v>1048</v>
      </c>
      <c r="Z797" s="15" t="s">
        <v>1087</v>
      </c>
      <c r="AA797" s="15" t="s">
        <v>2349</v>
      </c>
      <c r="AB797" s="15"/>
      <c r="AI797" s="15" t="s">
        <v>268</v>
      </c>
      <c r="AJ797" s="15" t="s">
        <v>4830</v>
      </c>
      <c r="AK797" s="15" t="s">
        <v>3835</v>
      </c>
    </row>
    <row r="798" spans="25:37" x14ac:dyDescent="0.3">
      <c r="Y798" s="14" t="s">
        <v>1045</v>
      </c>
      <c r="Z798" s="15" t="s">
        <v>1069</v>
      </c>
      <c r="AA798" s="15" t="s">
        <v>2350</v>
      </c>
      <c r="AB798" s="15"/>
      <c r="AI798" s="15" t="s">
        <v>224</v>
      </c>
      <c r="AJ798" s="15" t="s">
        <v>4831</v>
      </c>
      <c r="AK798" s="15" t="s">
        <v>3836</v>
      </c>
    </row>
    <row r="799" spans="25:37" x14ac:dyDescent="0.3">
      <c r="Y799" s="14" t="s">
        <v>1050</v>
      </c>
      <c r="Z799" s="15" t="s">
        <v>226</v>
      </c>
      <c r="AA799" s="15" t="s">
        <v>2351</v>
      </c>
      <c r="AB799" s="15"/>
      <c r="AI799" s="19" t="s">
        <v>69</v>
      </c>
      <c r="AJ799" s="19" t="s">
        <v>4832</v>
      </c>
      <c r="AK799" s="19" t="s">
        <v>3837</v>
      </c>
    </row>
    <row r="800" spans="25:37" x14ac:dyDescent="0.3">
      <c r="Y800" s="14" t="s">
        <v>1052</v>
      </c>
      <c r="Z800" s="15" t="s">
        <v>1338</v>
      </c>
      <c r="AA800" s="15" t="s">
        <v>2353</v>
      </c>
      <c r="AB800" s="15"/>
      <c r="AI800" s="19" t="s">
        <v>70</v>
      </c>
      <c r="AJ800" s="19" t="s">
        <v>4833</v>
      </c>
      <c r="AK800" s="19" t="s">
        <v>3838</v>
      </c>
    </row>
    <row r="801" spans="25:37" x14ac:dyDescent="0.3">
      <c r="Y801" s="14" t="s">
        <v>228</v>
      </c>
      <c r="Z801" s="15" t="s">
        <v>1525</v>
      </c>
      <c r="AA801" s="15" t="s">
        <v>2354</v>
      </c>
      <c r="AB801" s="15"/>
      <c r="AI801" s="15" t="s">
        <v>224</v>
      </c>
      <c r="AJ801" s="15" t="s">
        <v>4834</v>
      </c>
      <c r="AK801" s="15" t="s">
        <v>3839</v>
      </c>
    </row>
    <row r="802" spans="25:37" x14ac:dyDescent="0.3">
      <c r="Y802" s="14" t="s">
        <v>233</v>
      </c>
      <c r="Z802" s="15" t="s">
        <v>561</v>
      </c>
      <c r="AA802" s="15" t="s">
        <v>2355</v>
      </c>
      <c r="AB802" s="15"/>
      <c r="AI802" s="15" t="s">
        <v>268</v>
      </c>
      <c r="AJ802" s="15" t="s">
        <v>4835</v>
      </c>
      <c r="AK802" s="15" t="s">
        <v>3840</v>
      </c>
    </row>
    <row r="803" spans="25:37" x14ac:dyDescent="0.3">
      <c r="Y803" s="14" t="s">
        <v>233</v>
      </c>
      <c r="Z803" s="15" t="s">
        <v>406</v>
      </c>
      <c r="AA803" s="15" t="s">
        <v>2356</v>
      </c>
      <c r="AB803" s="15"/>
      <c r="AI803" s="15" t="s">
        <v>66</v>
      </c>
      <c r="AJ803" s="15" t="s">
        <v>4836</v>
      </c>
      <c r="AK803" s="15" t="s">
        <v>3841</v>
      </c>
    </row>
    <row r="804" spans="25:37" x14ac:dyDescent="0.3">
      <c r="Y804" s="14" t="s">
        <v>233</v>
      </c>
      <c r="Z804" s="15" t="s">
        <v>376</v>
      </c>
      <c r="AA804" s="15" t="s">
        <v>2357</v>
      </c>
      <c r="AB804" s="15"/>
      <c r="AI804" s="15" t="s">
        <v>528</v>
      </c>
      <c r="AJ804" s="15" t="s">
        <v>4837</v>
      </c>
      <c r="AK804" s="15" t="s">
        <v>3842</v>
      </c>
    </row>
    <row r="805" spans="25:37" x14ac:dyDescent="0.3">
      <c r="Y805" s="14" t="s">
        <v>233</v>
      </c>
      <c r="Z805" s="15" t="s">
        <v>407</v>
      </c>
      <c r="AA805" s="15" t="s">
        <v>2358</v>
      </c>
      <c r="AB805" s="15"/>
      <c r="AI805" s="15" t="s">
        <v>66</v>
      </c>
      <c r="AJ805" s="15" t="s">
        <v>4838</v>
      </c>
      <c r="AK805" s="15" t="s">
        <v>3843</v>
      </c>
    </row>
    <row r="806" spans="25:37" x14ac:dyDescent="0.3">
      <c r="Y806" s="14" t="s">
        <v>233</v>
      </c>
      <c r="Z806" s="15" t="s">
        <v>408</v>
      </c>
      <c r="AA806" s="15" t="s">
        <v>2359</v>
      </c>
      <c r="AB806" s="15"/>
      <c r="AI806" s="15" t="s">
        <v>529</v>
      </c>
      <c r="AJ806" s="15" t="s">
        <v>4839</v>
      </c>
      <c r="AK806" s="15" t="s">
        <v>3844</v>
      </c>
    </row>
    <row r="807" spans="25:37" x14ac:dyDescent="0.3">
      <c r="Y807" s="14" t="s">
        <v>233</v>
      </c>
      <c r="Z807" s="15" t="s">
        <v>410</v>
      </c>
      <c r="AA807" s="15" t="s">
        <v>2360</v>
      </c>
      <c r="AB807" s="15"/>
      <c r="AI807" s="15" t="s">
        <v>75</v>
      </c>
      <c r="AJ807" s="15" t="s">
        <v>4840</v>
      </c>
      <c r="AK807" s="15" t="s">
        <v>3845</v>
      </c>
    </row>
    <row r="808" spans="25:37" x14ac:dyDescent="0.3">
      <c r="Y808" s="14" t="s">
        <v>233</v>
      </c>
      <c r="Z808" s="15" t="s">
        <v>149</v>
      </c>
      <c r="AA808" s="15" t="s">
        <v>2361</v>
      </c>
      <c r="AB808" s="15"/>
      <c r="AI808" s="15" t="s">
        <v>1219</v>
      </c>
      <c r="AJ808" s="15" t="s">
        <v>4841</v>
      </c>
      <c r="AK808" s="15" t="s">
        <v>3846</v>
      </c>
    </row>
    <row r="809" spans="25:37" x14ac:dyDescent="0.3">
      <c r="Y809" s="14" t="s">
        <v>233</v>
      </c>
      <c r="Z809" s="15" t="s">
        <v>108</v>
      </c>
      <c r="AA809" s="15" t="s">
        <v>2362</v>
      </c>
      <c r="AB809" s="15"/>
      <c r="AI809" s="19" t="s">
        <v>64</v>
      </c>
      <c r="AJ809" s="19" t="s">
        <v>4842</v>
      </c>
      <c r="AK809" s="19" t="s">
        <v>3847</v>
      </c>
    </row>
    <row r="810" spans="25:37" x14ac:dyDescent="0.3">
      <c r="Y810" s="14" t="s">
        <v>13</v>
      </c>
      <c r="Z810" s="15" t="s">
        <v>1105</v>
      </c>
      <c r="AA810" s="15" t="s">
        <v>2363</v>
      </c>
      <c r="AB810" s="15"/>
      <c r="AI810" s="15" t="s">
        <v>1106</v>
      </c>
      <c r="AJ810" s="15" t="s">
        <v>4843</v>
      </c>
      <c r="AK810" s="15" t="s">
        <v>3848</v>
      </c>
    </row>
    <row r="811" spans="25:37" x14ac:dyDescent="0.3">
      <c r="Y811" s="14" t="s">
        <v>13</v>
      </c>
      <c r="Z811" s="15" t="s">
        <v>140</v>
      </c>
      <c r="AA811" s="15" t="s">
        <v>2365</v>
      </c>
      <c r="AB811" s="15"/>
      <c r="AI811" s="15" t="s">
        <v>509</v>
      </c>
      <c r="AJ811" s="15" t="s">
        <v>4844</v>
      </c>
      <c r="AK811" s="15" t="s">
        <v>3849</v>
      </c>
    </row>
    <row r="812" spans="25:37" x14ac:dyDescent="0.3">
      <c r="Y812" s="14" t="s">
        <v>13</v>
      </c>
      <c r="Z812" s="15" t="s">
        <v>135</v>
      </c>
      <c r="AA812" s="15" t="s">
        <v>2366</v>
      </c>
      <c r="AB812" s="15"/>
      <c r="AI812" s="19" t="s">
        <v>78</v>
      </c>
      <c r="AJ812" s="19" t="s">
        <v>4845</v>
      </c>
      <c r="AK812" s="19" t="s">
        <v>3850</v>
      </c>
    </row>
    <row r="813" spans="25:37" x14ac:dyDescent="0.3">
      <c r="Y813" s="14" t="s">
        <v>1331</v>
      </c>
      <c r="Z813" s="15" t="s">
        <v>1332</v>
      </c>
      <c r="AA813" s="15" t="s">
        <v>2367</v>
      </c>
      <c r="AB813" s="15"/>
      <c r="AI813" s="15" t="s">
        <v>85</v>
      </c>
      <c r="AJ813" s="15" t="s">
        <v>4846</v>
      </c>
      <c r="AK813" s="15" t="s">
        <v>3851</v>
      </c>
    </row>
    <row r="814" spans="25:37" x14ac:dyDescent="0.3">
      <c r="Y814" s="14" t="s">
        <v>10</v>
      </c>
      <c r="Z814" s="15" t="s">
        <v>453</v>
      </c>
      <c r="AA814" s="15" t="s">
        <v>2368</v>
      </c>
      <c r="AB814" s="15"/>
      <c r="AI814" s="15" t="s">
        <v>518</v>
      </c>
      <c r="AJ814" s="15" t="s">
        <v>4847</v>
      </c>
      <c r="AK814" s="15" t="s">
        <v>3852</v>
      </c>
    </row>
    <row r="815" spans="25:37" x14ac:dyDescent="0.3">
      <c r="Y815" s="14" t="s">
        <v>10</v>
      </c>
      <c r="Z815" s="15" t="s">
        <v>183</v>
      </c>
      <c r="AA815" s="15" t="s">
        <v>2369</v>
      </c>
      <c r="AB815" s="15"/>
      <c r="AI815" s="19" t="s">
        <v>69</v>
      </c>
      <c r="AJ815" s="19" t="s">
        <v>4848</v>
      </c>
      <c r="AK815" s="19" t="s">
        <v>3853</v>
      </c>
    </row>
    <row r="816" spans="25:37" x14ac:dyDescent="0.3">
      <c r="Y816" s="14" t="s">
        <v>10</v>
      </c>
      <c r="Z816" s="15" t="s">
        <v>365</v>
      </c>
      <c r="AA816" s="15" t="s">
        <v>2370</v>
      </c>
      <c r="AB816" s="15"/>
      <c r="AI816" s="15" t="s">
        <v>81</v>
      </c>
      <c r="AJ816" s="15" t="s">
        <v>4849</v>
      </c>
      <c r="AK816" s="15" t="s">
        <v>3854</v>
      </c>
    </row>
    <row r="817" spans="25:37" x14ac:dyDescent="0.3">
      <c r="Y817" s="14" t="s">
        <v>15</v>
      </c>
      <c r="Z817" s="15" t="s">
        <v>167</v>
      </c>
      <c r="AA817" s="15" t="s">
        <v>2371</v>
      </c>
      <c r="AB817" s="15"/>
      <c r="AI817" s="19" t="s">
        <v>67</v>
      </c>
      <c r="AJ817" s="19" t="s">
        <v>4454</v>
      </c>
      <c r="AK817" s="19" t="s">
        <v>3855</v>
      </c>
    </row>
    <row r="818" spans="25:37" x14ac:dyDescent="0.3">
      <c r="Y818" s="14" t="s">
        <v>10</v>
      </c>
      <c r="Z818" s="15" t="s">
        <v>582</v>
      </c>
      <c r="AA818" s="15" t="s">
        <v>2372</v>
      </c>
      <c r="AB818" s="15"/>
      <c r="AI818" s="15" t="s">
        <v>1546</v>
      </c>
      <c r="AJ818" s="15" t="s">
        <v>4850</v>
      </c>
      <c r="AK818" s="15" t="s">
        <v>3856</v>
      </c>
    </row>
    <row r="819" spans="25:37" x14ac:dyDescent="0.3">
      <c r="Y819" s="14" t="s">
        <v>10</v>
      </c>
      <c r="Z819" s="15" t="s">
        <v>581</v>
      </c>
      <c r="AA819" s="15" t="s">
        <v>2373</v>
      </c>
      <c r="AB819" s="15"/>
      <c r="AI819" s="15" t="s">
        <v>224</v>
      </c>
      <c r="AJ819" s="15" t="s">
        <v>4851</v>
      </c>
      <c r="AK819" s="15" t="s">
        <v>3857</v>
      </c>
    </row>
    <row r="820" spans="25:37" x14ac:dyDescent="0.3">
      <c r="Y820" s="14" t="s">
        <v>10</v>
      </c>
      <c r="Z820" s="15" t="s">
        <v>278</v>
      </c>
      <c r="AA820" s="15" t="s">
        <v>2374</v>
      </c>
      <c r="AB820" s="15"/>
      <c r="AI820" s="19" t="s">
        <v>519</v>
      </c>
      <c r="AJ820" s="19" t="s">
        <v>4852</v>
      </c>
      <c r="AK820" s="19" t="s">
        <v>3858</v>
      </c>
    </row>
    <row r="821" spans="25:37" x14ac:dyDescent="0.3">
      <c r="Y821" s="14" t="s">
        <v>10</v>
      </c>
      <c r="Z821" s="15" t="s">
        <v>153</v>
      </c>
      <c r="AA821" s="15" t="s">
        <v>2375</v>
      </c>
      <c r="AB821" s="15"/>
      <c r="AI821" s="15" t="s">
        <v>225</v>
      </c>
      <c r="AJ821" s="15" t="s">
        <v>4853</v>
      </c>
      <c r="AK821" s="15" t="s">
        <v>3859</v>
      </c>
    </row>
    <row r="822" spans="25:37" x14ac:dyDescent="0.3">
      <c r="Y822" s="14" t="s">
        <v>10</v>
      </c>
      <c r="Z822" s="15" t="s">
        <v>152</v>
      </c>
      <c r="AA822" s="15" t="s">
        <v>2376</v>
      </c>
      <c r="AB822" s="15"/>
      <c r="AI822" s="15" t="s">
        <v>225</v>
      </c>
      <c r="AJ822" s="15" t="s">
        <v>4854</v>
      </c>
      <c r="AK822" s="15" t="s">
        <v>3860</v>
      </c>
    </row>
    <row r="823" spans="25:37" x14ac:dyDescent="0.3">
      <c r="Y823" s="14" t="s">
        <v>10</v>
      </c>
      <c r="Z823" s="15" t="s">
        <v>264</v>
      </c>
      <c r="AA823" s="15" t="s">
        <v>2377</v>
      </c>
      <c r="AB823" s="15"/>
      <c r="AI823" s="15" t="s">
        <v>1546</v>
      </c>
      <c r="AJ823" s="15" t="s">
        <v>4855</v>
      </c>
      <c r="AK823" s="15" t="s">
        <v>3861</v>
      </c>
    </row>
    <row r="824" spans="25:37" x14ac:dyDescent="0.3">
      <c r="Y824" s="14" t="s">
        <v>9</v>
      </c>
      <c r="Z824" s="15" t="s">
        <v>253</v>
      </c>
      <c r="AA824" s="15" t="s">
        <v>2378</v>
      </c>
      <c r="AB824" s="15"/>
      <c r="AI824" s="19" t="s">
        <v>77</v>
      </c>
      <c r="AJ824" s="19" t="s">
        <v>4856</v>
      </c>
      <c r="AK824" s="19" t="s">
        <v>3862</v>
      </c>
    </row>
    <row r="825" spans="25:37" x14ac:dyDescent="0.3">
      <c r="Y825" s="14" t="s">
        <v>248</v>
      </c>
      <c r="Z825" s="15" t="s">
        <v>1157</v>
      </c>
      <c r="AA825" s="15" t="s">
        <v>2379</v>
      </c>
      <c r="AB825" s="15"/>
      <c r="AI825" s="15" t="s">
        <v>1219</v>
      </c>
      <c r="AJ825" s="15" t="s">
        <v>4857</v>
      </c>
      <c r="AK825" s="15" t="s">
        <v>3863</v>
      </c>
    </row>
    <row r="826" spans="25:37" x14ac:dyDescent="0.3">
      <c r="Y826" s="14" t="s">
        <v>231</v>
      </c>
      <c r="Z826" s="15" t="s">
        <v>1561</v>
      </c>
      <c r="AA826" s="15" t="s">
        <v>2380</v>
      </c>
      <c r="AB826" s="15"/>
      <c r="AI826" s="15" t="s">
        <v>83</v>
      </c>
      <c r="AJ826" s="15" t="s">
        <v>4858</v>
      </c>
      <c r="AK826" s="15" t="s">
        <v>3864</v>
      </c>
    </row>
    <row r="827" spans="25:37" x14ac:dyDescent="0.3">
      <c r="Y827" s="14" t="s">
        <v>247</v>
      </c>
      <c r="Z827" s="15" t="s">
        <v>1109</v>
      </c>
      <c r="AA827" s="15" t="s">
        <v>2381</v>
      </c>
      <c r="AB827" s="15"/>
      <c r="AI827" s="15" t="s">
        <v>559</v>
      </c>
      <c r="AJ827" s="15" t="s">
        <v>4859</v>
      </c>
      <c r="AK827" s="15" t="s">
        <v>3865</v>
      </c>
    </row>
    <row r="828" spans="25:37" x14ac:dyDescent="0.3">
      <c r="Y828" s="14" t="s">
        <v>374</v>
      </c>
      <c r="Z828" s="15" t="s">
        <v>1529</v>
      </c>
      <c r="AA828" s="15" t="s">
        <v>2382</v>
      </c>
      <c r="AB828" s="15"/>
      <c r="AI828" s="15" t="s">
        <v>559</v>
      </c>
      <c r="AJ828" s="15" t="s">
        <v>4860</v>
      </c>
      <c r="AK828" s="15" t="s">
        <v>3866</v>
      </c>
    </row>
    <row r="829" spans="25:37" x14ac:dyDescent="0.3">
      <c r="Y829" s="14" t="s">
        <v>249</v>
      </c>
      <c r="Z829" s="15" t="s">
        <v>1335</v>
      </c>
      <c r="AA829" s="15" t="s">
        <v>2383</v>
      </c>
      <c r="AB829" s="15"/>
      <c r="AI829" s="19" t="s">
        <v>67</v>
      </c>
      <c r="AJ829" s="19" t="s">
        <v>4861</v>
      </c>
      <c r="AK829" s="19" t="s">
        <v>3867</v>
      </c>
    </row>
    <row r="830" spans="25:37" x14ac:dyDescent="0.3">
      <c r="Y830" s="14" t="s">
        <v>120</v>
      </c>
      <c r="Z830" s="15" t="s">
        <v>1158</v>
      </c>
      <c r="AA830" s="15" t="s">
        <v>2384</v>
      </c>
      <c r="AB830" s="15"/>
      <c r="AI830" s="19" t="s">
        <v>67</v>
      </c>
      <c r="AJ830" s="19" t="s">
        <v>4862</v>
      </c>
      <c r="AK830" s="19" t="s">
        <v>3868</v>
      </c>
    </row>
    <row r="831" spans="25:37" x14ac:dyDescent="0.3">
      <c r="Y831" s="14" t="s">
        <v>231</v>
      </c>
      <c r="Z831" s="15" t="s">
        <v>1198</v>
      </c>
      <c r="AA831" s="15" t="s">
        <v>2386</v>
      </c>
      <c r="AB831" s="15"/>
      <c r="AI831" s="19" t="s">
        <v>71</v>
      </c>
      <c r="AJ831" s="19" t="s">
        <v>4863</v>
      </c>
      <c r="AK831" s="19" t="s">
        <v>3869</v>
      </c>
    </row>
    <row r="832" spans="25:37" x14ac:dyDescent="0.3">
      <c r="Y832" s="14" t="s">
        <v>1050</v>
      </c>
      <c r="Z832" s="15" t="s">
        <v>1186</v>
      </c>
      <c r="AA832" s="15" t="s">
        <v>2387</v>
      </c>
      <c r="AB832" s="15"/>
      <c r="AI832" s="15" t="s">
        <v>593</v>
      </c>
      <c r="AJ832" s="15" t="s">
        <v>4864</v>
      </c>
      <c r="AK832" s="15" t="s">
        <v>3870</v>
      </c>
    </row>
    <row r="833" spans="25:37" x14ac:dyDescent="0.3">
      <c r="Y833" s="14" t="s">
        <v>231</v>
      </c>
      <c r="Z833" s="15" t="s">
        <v>1336</v>
      </c>
      <c r="AA833" s="15" t="s">
        <v>2388</v>
      </c>
      <c r="AB833" s="15"/>
      <c r="AI833" s="15" t="s">
        <v>87</v>
      </c>
      <c r="AJ833" s="15" t="s">
        <v>4865</v>
      </c>
      <c r="AK833" s="15" t="s">
        <v>3871</v>
      </c>
    </row>
    <row r="834" spans="25:37" x14ac:dyDescent="0.3">
      <c r="Y834" s="19" t="s">
        <v>1322</v>
      </c>
      <c r="Z834" s="19" t="s">
        <v>5184</v>
      </c>
      <c r="AA834" s="19" t="s">
        <v>5240</v>
      </c>
      <c r="AB834" s="15"/>
      <c r="AI834" s="19" t="s">
        <v>69</v>
      </c>
      <c r="AJ834" s="19" t="s">
        <v>4866</v>
      </c>
      <c r="AK834" s="19" t="s">
        <v>3872</v>
      </c>
    </row>
    <row r="835" spans="25:37" x14ac:dyDescent="0.3">
      <c r="Y835" s="19" t="s">
        <v>1322</v>
      </c>
      <c r="Z835" s="19" t="s">
        <v>5185</v>
      </c>
      <c r="AA835" s="19" t="s">
        <v>5241</v>
      </c>
      <c r="AB835" s="15"/>
      <c r="AI835" s="19" t="s">
        <v>77</v>
      </c>
      <c r="AJ835" s="19" t="s">
        <v>4867</v>
      </c>
      <c r="AK835" s="19" t="s">
        <v>3873</v>
      </c>
    </row>
    <row r="836" spans="25:37" x14ac:dyDescent="0.3">
      <c r="Y836" s="19" t="s">
        <v>1322</v>
      </c>
      <c r="Z836" s="19" t="s">
        <v>5186</v>
      </c>
      <c r="AA836" s="19" t="s">
        <v>5242</v>
      </c>
      <c r="AB836" s="15"/>
      <c r="AI836" s="19" t="s">
        <v>70</v>
      </c>
      <c r="AJ836" s="19" t="s">
        <v>4868</v>
      </c>
      <c r="AK836" s="19" t="s">
        <v>3874</v>
      </c>
    </row>
    <row r="837" spans="25:37" x14ac:dyDescent="0.3">
      <c r="Y837" s="19" t="s">
        <v>1322</v>
      </c>
      <c r="Z837" s="19" t="s">
        <v>5187</v>
      </c>
      <c r="AA837" s="19" t="s">
        <v>5243</v>
      </c>
      <c r="AB837" s="15"/>
      <c r="AI837" s="19" t="s">
        <v>69</v>
      </c>
      <c r="AJ837" s="19" t="s">
        <v>4869</v>
      </c>
      <c r="AK837" s="19" t="s">
        <v>3875</v>
      </c>
    </row>
    <row r="838" spans="25:37" x14ac:dyDescent="0.3">
      <c r="Y838" s="19" t="s">
        <v>1322</v>
      </c>
      <c r="Z838" s="19" t="s">
        <v>1493</v>
      </c>
      <c r="AA838" s="19" t="s">
        <v>1720</v>
      </c>
      <c r="AB838" s="15"/>
      <c r="AI838" s="19" t="s">
        <v>69</v>
      </c>
      <c r="AJ838" s="19" t="s">
        <v>4870</v>
      </c>
      <c r="AK838" s="19" t="s">
        <v>3876</v>
      </c>
    </row>
    <row r="839" spans="25:37" x14ac:dyDescent="0.3">
      <c r="Y839" s="19" t="s">
        <v>1322</v>
      </c>
      <c r="Z839" s="19" t="s">
        <v>5188</v>
      </c>
      <c r="AA839" s="19" t="s">
        <v>5244</v>
      </c>
      <c r="AB839" s="15"/>
      <c r="AI839" s="15" t="s">
        <v>594</v>
      </c>
      <c r="AJ839" s="15" t="s">
        <v>4871</v>
      </c>
      <c r="AK839" s="15" t="s">
        <v>3877</v>
      </c>
    </row>
    <row r="840" spans="25:37" x14ac:dyDescent="0.3">
      <c r="Y840" s="19" t="s">
        <v>1322</v>
      </c>
      <c r="Z840" s="19" t="s">
        <v>5189</v>
      </c>
      <c r="AA840" s="19" t="s">
        <v>5249</v>
      </c>
      <c r="AB840" s="15"/>
      <c r="AI840" s="15" t="s">
        <v>105</v>
      </c>
      <c r="AJ840" s="15" t="s">
        <v>4872</v>
      </c>
      <c r="AK840" s="15" t="s">
        <v>3878</v>
      </c>
    </row>
    <row r="841" spans="25:37" x14ac:dyDescent="0.3">
      <c r="Y841" s="19" t="s">
        <v>1327</v>
      </c>
      <c r="Z841" s="19" t="s">
        <v>5190</v>
      </c>
      <c r="AA841" s="19" t="s">
        <v>5251</v>
      </c>
      <c r="AB841" s="15"/>
      <c r="AI841" s="15" t="s">
        <v>520</v>
      </c>
      <c r="AJ841" s="15" t="s">
        <v>4873</v>
      </c>
      <c r="AK841" s="15" t="s">
        <v>3879</v>
      </c>
    </row>
    <row r="842" spans="25:37" x14ac:dyDescent="0.3">
      <c r="Y842" s="19" t="s">
        <v>1327</v>
      </c>
      <c r="Z842" s="19" t="s">
        <v>5191</v>
      </c>
      <c r="AA842" s="19" t="s">
        <v>5252</v>
      </c>
      <c r="AB842" s="15"/>
      <c r="AI842" s="15" t="s">
        <v>224</v>
      </c>
      <c r="AJ842" s="15" t="s">
        <v>4874</v>
      </c>
      <c r="AK842" s="15" t="s">
        <v>3880</v>
      </c>
    </row>
    <row r="843" spans="25:37" x14ac:dyDescent="0.3">
      <c r="Y843" s="19" t="s">
        <v>1324</v>
      </c>
      <c r="Z843" s="19" t="s">
        <v>5192</v>
      </c>
      <c r="AA843" s="19" t="s">
        <v>5253</v>
      </c>
      <c r="AB843" s="15"/>
      <c r="AI843" s="19" t="s">
        <v>71</v>
      </c>
      <c r="AJ843" s="19" t="s">
        <v>4875</v>
      </c>
      <c r="AK843" s="19" t="s">
        <v>3881</v>
      </c>
    </row>
    <row r="844" spans="25:37" x14ac:dyDescent="0.3">
      <c r="Y844" s="19" t="s">
        <v>1323</v>
      </c>
      <c r="Z844" s="19" t="s">
        <v>5193</v>
      </c>
      <c r="AA844" s="19" t="s">
        <v>5259</v>
      </c>
      <c r="AB844" s="15"/>
      <c r="AI844" s="15" t="s">
        <v>66</v>
      </c>
      <c r="AJ844" s="15" t="s">
        <v>4876</v>
      </c>
      <c r="AK844" s="15" t="s">
        <v>3882</v>
      </c>
    </row>
    <row r="845" spans="25:37" x14ac:dyDescent="0.3">
      <c r="Y845" s="19" t="s">
        <v>1323</v>
      </c>
      <c r="Z845" s="19" t="s">
        <v>5194</v>
      </c>
      <c r="AA845" s="19" t="s">
        <v>5260</v>
      </c>
      <c r="AB845" s="15"/>
      <c r="AI845" s="15" t="s">
        <v>522</v>
      </c>
      <c r="AJ845" s="15" t="s">
        <v>4877</v>
      </c>
      <c r="AK845" s="15" t="s">
        <v>3883</v>
      </c>
    </row>
    <row r="846" spans="25:37" x14ac:dyDescent="0.3">
      <c r="Y846" s="19" t="s">
        <v>1323</v>
      </c>
      <c r="Z846" s="19" t="s">
        <v>5195</v>
      </c>
      <c r="AA846" s="19" t="s">
        <v>5261</v>
      </c>
      <c r="AB846" s="15"/>
      <c r="AI846" s="15" t="s">
        <v>105</v>
      </c>
      <c r="AJ846" s="15" t="s">
        <v>4878</v>
      </c>
      <c r="AK846" s="15" t="s">
        <v>3884</v>
      </c>
    </row>
    <row r="847" spans="25:37" x14ac:dyDescent="0.3">
      <c r="Y847" s="14" t="s">
        <v>98</v>
      </c>
      <c r="Z847" s="15" t="s">
        <v>1344</v>
      </c>
      <c r="AA847" s="15" t="s">
        <v>2391</v>
      </c>
      <c r="AB847" s="15"/>
      <c r="AI847" s="15" t="s">
        <v>66</v>
      </c>
      <c r="AJ847" s="15" t="s">
        <v>4879</v>
      </c>
      <c r="AK847" s="15" t="s">
        <v>3885</v>
      </c>
    </row>
    <row r="848" spans="25:37" x14ac:dyDescent="0.3">
      <c r="Y848" s="14" t="s">
        <v>1048</v>
      </c>
      <c r="Z848" s="15" t="s">
        <v>1345</v>
      </c>
      <c r="AA848" s="15" t="s">
        <v>2392</v>
      </c>
      <c r="AB848" s="15"/>
      <c r="AI848" s="15" t="s">
        <v>66</v>
      </c>
      <c r="AJ848" s="15" t="s">
        <v>4880</v>
      </c>
      <c r="AK848" s="15" t="s">
        <v>3886</v>
      </c>
    </row>
    <row r="849" spans="25:37" x14ac:dyDescent="0.3">
      <c r="Y849" s="14" t="s">
        <v>1048</v>
      </c>
      <c r="Z849" s="15" t="s">
        <v>1346</v>
      </c>
      <c r="AA849" s="15" t="s">
        <v>2393</v>
      </c>
      <c r="AB849" s="15"/>
      <c r="AI849" s="15" t="s">
        <v>75</v>
      </c>
      <c r="AJ849" s="15" t="s">
        <v>4881</v>
      </c>
      <c r="AK849" s="15" t="s">
        <v>3887</v>
      </c>
    </row>
    <row r="850" spans="25:37" x14ac:dyDescent="0.3">
      <c r="Y850" s="14" t="s">
        <v>232</v>
      </c>
      <c r="Z850" s="15" t="s">
        <v>1575</v>
      </c>
      <c r="AA850" s="15" t="s">
        <v>2395</v>
      </c>
      <c r="AB850" s="15"/>
      <c r="AI850" s="15" t="s">
        <v>75</v>
      </c>
      <c r="AJ850" s="15" t="s">
        <v>4882</v>
      </c>
      <c r="AK850" s="15" t="s">
        <v>3888</v>
      </c>
    </row>
    <row r="851" spans="25:37" x14ac:dyDescent="0.3">
      <c r="Y851" s="14" t="s">
        <v>1055</v>
      </c>
      <c r="Z851" s="15" t="s">
        <v>1128</v>
      </c>
      <c r="AA851" s="15" t="s">
        <v>2396</v>
      </c>
      <c r="AB851" s="15"/>
      <c r="AI851" s="19" t="s">
        <v>67</v>
      </c>
      <c r="AJ851" s="19" t="s">
        <v>4883</v>
      </c>
      <c r="AK851" s="19" t="s">
        <v>3889</v>
      </c>
    </row>
    <row r="852" spans="25:37" x14ac:dyDescent="0.3">
      <c r="Y852" s="14" t="s">
        <v>1052</v>
      </c>
      <c r="Z852" s="15" t="s">
        <v>1104</v>
      </c>
      <c r="AA852" s="15" t="s">
        <v>2397</v>
      </c>
      <c r="AB852" s="15"/>
      <c r="AI852" s="15" t="s">
        <v>524</v>
      </c>
      <c r="AJ852" s="15" t="s">
        <v>4884</v>
      </c>
      <c r="AK852" s="15" t="s">
        <v>3890</v>
      </c>
    </row>
    <row r="853" spans="25:37" x14ac:dyDescent="0.3">
      <c r="Y853" s="14" t="s">
        <v>29</v>
      </c>
      <c r="Z853" s="15" t="s">
        <v>1263</v>
      </c>
      <c r="AA853" s="15" t="s">
        <v>2398</v>
      </c>
      <c r="AB853" s="15"/>
      <c r="AI853" s="15" t="s">
        <v>105</v>
      </c>
      <c r="AJ853" s="15" t="s">
        <v>4885</v>
      </c>
      <c r="AK853" s="15" t="s">
        <v>3891</v>
      </c>
    </row>
    <row r="854" spans="25:37" x14ac:dyDescent="0.3">
      <c r="Y854" s="14" t="s">
        <v>231</v>
      </c>
      <c r="Z854" s="15" t="s">
        <v>1088</v>
      </c>
      <c r="AA854" s="15" t="s">
        <v>2399</v>
      </c>
      <c r="AB854" s="15"/>
      <c r="AI854" s="15" t="s">
        <v>105</v>
      </c>
      <c r="AJ854" s="15" t="s">
        <v>4886</v>
      </c>
      <c r="AK854" s="15" t="s">
        <v>3892</v>
      </c>
    </row>
    <row r="855" spans="25:37" x14ac:dyDescent="0.3">
      <c r="Y855" s="14" t="s">
        <v>231</v>
      </c>
      <c r="Z855" s="15" t="s">
        <v>1546</v>
      </c>
      <c r="AA855" s="15" t="s">
        <v>2400</v>
      </c>
      <c r="AB855" s="15"/>
      <c r="AI855" s="15" t="s">
        <v>105</v>
      </c>
      <c r="AJ855" s="15" t="s">
        <v>4887</v>
      </c>
      <c r="AK855" s="15" t="s">
        <v>3893</v>
      </c>
    </row>
    <row r="856" spans="25:37" x14ac:dyDescent="0.3">
      <c r="Y856" s="14" t="s">
        <v>247</v>
      </c>
      <c r="Z856" s="15" t="s">
        <v>1349</v>
      </c>
      <c r="AA856" s="15" t="s">
        <v>2401</v>
      </c>
      <c r="AB856" s="15"/>
      <c r="AI856" s="15" t="s">
        <v>224</v>
      </c>
      <c r="AJ856" s="15" t="s">
        <v>4888</v>
      </c>
      <c r="AK856" s="15" t="s">
        <v>3894</v>
      </c>
    </row>
    <row r="857" spans="25:37" x14ac:dyDescent="0.3">
      <c r="Y857" s="14" t="s">
        <v>1050</v>
      </c>
      <c r="Z857" s="15" t="s">
        <v>1114</v>
      </c>
      <c r="AA857" s="15" t="s">
        <v>2402</v>
      </c>
      <c r="AB857" s="15"/>
      <c r="AI857" s="15" t="s">
        <v>224</v>
      </c>
      <c r="AJ857" s="15" t="s">
        <v>4889</v>
      </c>
      <c r="AK857" s="15" t="s">
        <v>3895</v>
      </c>
    </row>
    <row r="858" spans="25:37" x14ac:dyDescent="0.3">
      <c r="Y858" s="14" t="s">
        <v>1049</v>
      </c>
      <c r="Z858" s="15" t="s">
        <v>1142</v>
      </c>
      <c r="AA858" s="15" t="s">
        <v>2404</v>
      </c>
      <c r="AB858" s="15"/>
      <c r="AI858" s="15" t="s">
        <v>66</v>
      </c>
      <c r="AJ858" s="15" t="s">
        <v>4890</v>
      </c>
      <c r="AK858" s="15" t="s">
        <v>3896</v>
      </c>
    </row>
    <row r="859" spans="25:37" x14ac:dyDescent="0.3">
      <c r="Y859" s="14" t="s">
        <v>29</v>
      </c>
      <c r="Z859" s="15" t="s">
        <v>1210</v>
      </c>
      <c r="AA859" s="15" t="s">
        <v>2406</v>
      </c>
      <c r="AB859" s="15"/>
      <c r="AI859" s="15" t="s">
        <v>495</v>
      </c>
      <c r="AJ859" s="15" t="s">
        <v>4891</v>
      </c>
      <c r="AK859" s="15" t="s">
        <v>3897</v>
      </c>
    </row>
    <row r="860" spans="25:37" x14ac:dyDescent="0.3">
      <c r="Y860" s="14" t="s">
        <v>231</v>
      </c>
      <c r="Z860" s="15" t="s">
        <v>1548</v>
      </c>
      <c r="AA860" s="15" t="s">
        <v>2409</v>
      </c>
      <c r="AB860" s="15"/>
      <c r="AI860" s="19" t="s">
        <v>77</v>
      </c>
      <c r="AJ860" s="19" t="s">
        <v>4892</v>
      </c>
      <c r="AK860" s="19" t="s">
        <v>3898</v>
      </c>
    </row>
    <row r="861" spans="25:37" x14ac:dyDescent="0.3">
      <c r="Y861" s="14" t="s">
        <v>9</v>
      </c>
      <c r="Z861" s="15" t="s">
        <v>1149</v>
      </c>
      <c r="AA861" s="15" t="s">
        <v>2410</v>
      </c>
      <c r="AB861" s="15"/>
      <c r="AI861" s="19" t="s">
        <v>77</v>
      </c>
      <c r="AJ861" s="19" t="s">
        <v>4893</v>
      </c>
      <c r="AK861" s="19" t="s">
        <v>3899</v>
      </c>
    </row>
    <row r="862" spans="25:37" x14ac:dyDescent="0.3">
      <c r="Y862" s="14" t="s">
        <v>233</v>
      </c>
      <c r="Z862" s="15" t="s">
        <v>1355</v>
      </c>
      <c r="AA862" s="15" t="s">
        <v>2411</v>
      </c>
      <c r="AB862" s="15"/>
      <c r="AI862" s="15" t="s">
        <v>80</v>
      </c>
      <c r="AJ862" s="15" t="s">
        <v>4894</v>
      </c>
      <c r="AK862" s="15" t="s">
        <v>3900</v>
      </c>
    </row>
    <row r="863" spans="25:37" x14ac:dyDescent="0.3">
      <c r="Y863" s="14" t="s">
        <v>248</v>
      </c>
      <c r="Z863" s="15" t="s">
        <v>1357</v>
      </c>
      <c r="AA863" s="15" t="s">
        <v>2412</v>
      </c>
      <c r="AB863" s="15"/>
      <c r="AI863" s="15" t="s">
        <v>81</v>
      </c>
      <c r="AJ863" s="15" t="s">
        <v>4895</v>
      </c>
      <c r="AK863" s="15" t="s">
        <v>3901</v>
      </c>
    </row>
    <row r="864" spans="25:37" x14ac:dyDescent="0.3">
      <c r="Y864" s="14" t="s">
        <v>1331</v>
      </c>
      <c r="Z864" s="15" t="s">
        <v>1358</v>
      </c>
      <c r="AA864" s="15" t="s">
        <v>2413</v>
      </c>
      <c r="AB864" s="15"/>
      <c r="AI864" s="15" t="s">
        <v>517</v>
      </c>
      <c r="AJ864" s="15" t="s">
        <v>4896</v>
      </c>
      <c r="AK864" s="15" t="s">
        <v>3902</v>
      </c>
    </row>
    <row r="865" spans="25:37" x14ac:dyDescent="0.3">
      <c r="Y865" s="14" t="s">
        <v>1045</v>
      </c>
      <c r="Z865" s="15" t="s">
        <v>1058</v>
      </c>
      <c r="AA865" s="15" t="s">
        <v>2414</v>
      </c>
      <c r="AB865" s="15"/>
      <c r="AI865" s="19" t="s">
        <v>519</v>
      </c>
      <c r="AJ865" s="19" t="s">
        <v>4897</v>
      </c>
      <c r="AK865" s="19" t="s">
        <v>3903</v>
      </c>
    </row>
    <row r="866" spans="25:37" x14ac:dyDescent="0.3">
      <c r="Y866" s="14" t="s">
        <v>228</v>
      </c>
      <c r="Z866" s="15" t="s">
        <v>1064</v>
      </c>
      <c r="AA866" s="15" t="s">
        <v>2417</v>
      </c>
      <c r="AB866" s="15"/>
      <c r="AI866" s="19" t="s">
        <v>71</v>
      </c>
      <c r="AJ866" s="19" t="s">
        <v>4898</v>
      </c>
      <c r="AK866" s="19" t="s">
        <v>3904</v>
      </c>
    </row>
    <row r="867" spans="25:37" x14ac:dyDescent="0.3">
      <c r="Y867" s="14" t="s">
        <v>1045</v>
      </c>
      <c r="Z867" s="15" t="s">
        <v>1066</v>
      </c>
      <c r="AA867" s="15" t="s">
        <v>2418</v>
      </c>
      <c r="AB867" s="15"/>
      <c r="AI867" s="19" t="s">
        <v>71</v>
      </c>
      <c r="AJ867" s="19" t="s">
        <v>4899</v>
      </c>
      <c r="AK867" s="19" t="s">
        <v>3905</v>
      </c>
    </row>
    <row r="868" spans="25:37" x14ac:dyDescent="0.3">
      <c r="Y868" s="14" t="s">
        <v>231</v>
      </c>
      <c r="Z868" s="15" t="s">
        <v>1071</v>
      </c>
      <c r="AA868" s="15" t="s">
        <v>2419</v>
      </c>
      <c r="AB868" s="15"/>
      <c r="AI868" s="15" t="s">
        <v>227</v>
      </c>
      <c r="AJ868" s="15" t="s">
        <v>4900</v>
      </c>
      <c r="AK868" s="15" t="s">
        <v>3906</v>
      </c>
    </row>
    <row r="869" spans="25:37" x14ac:dyDescent="0.3">
      <c r="Y869" s="14" t="s">
        <v>247</v>
      </c>
      <c r="Z869" s="15" t="s">
        <v>1074</v>
      </c>
      <c r="AA869" s="15" t="s">
        <v>2420</v>
      </c>
      <c r="AB869" s="15"/>
      <c r="AI869" s="15" t="s">
        <v>87</v>
      </c>
      <c r="AJ869" s="15" t="s">
        <v>4901</v>
      </c>
      <c r="AK869" s="15" t="s">
        <v>3907</v>
      </c>
    </row>
    <row r="870" spans="25:37" x14ac:dyDescent="0.3">
      <c r="Y870" s="14" t="s">
        <v>1048</v>
      </c>
      <c r="Z870" s="15" t="s">
        <v>1077</v>
      </c>
      <c r="AA870" s="15" t="s">
        <v>2422</v>
      </c>
      <c r="AB870" s="15"/>
      <c r="AI870" s="15" t="s">
        <v>268</v>
      </c>
      <c r="AJ870" s="15" t="s">
        <v>4902</v>
      </c>
      <c r="AK870" s="15" t="s">
        <v>3908</v>
      </c>
    </row>
    <row r="871" spans="25:37" x14ac:dyDescent="0.3">
      <c r="Y871" s="14" t="s">
        <v>1048</v>
      </c>
      <c r="Z871" s="15" t="s">
        <v>1078</v>
      </c>
      <c r="AA871" s="15" t="s">
        <v>2423</v>
      </c>
      <c r="AB871" s="15"/>
      <c r="AI871" s="15" t="s">
        <v>268</v>
      </c>
      <c r="AJ871" s="15" t="s">
        <v>251</v>
      </c>
      <c r="AK871" s="15" t="s">
        <v>3909</v>
      </c>
    </row>
    <row r="872" spans="25:37" x14ac:dyDescent="0.3">
      <c r="Y872" s="14" t="s">
        <v>10</v>
      </c>
      <c r="Z872" s="15" t="s">
        <v>1084</v>
      </c>
      <c r="AA872" s="15" t="s">
        <v>2424</v>
      </c>
      <c r="AB872" s="15"/>
      <c r="AI872" s="15" t="s">
        <v>268</v>
      </c>
      <c r="AJ872" s="15" t="s">
        <v>4903</v>
      </c>
      <c r="AK872" s="15" t="s">
        <v>3910</v>
      </c>
    </row>
    <row r="873" spans="25:37" x14ac:dyDescent="0.3">
      <c r="Y873" s="14" t="s">
        <v>1045</v>
      </c>
      <c r="Z873" s="15" t="s">
        <v>1086</v>
      </c>
      <c r="AA873" s="15" t="s">
        <v>2425</v>
      </c>
      <c r="AB873" s="15"/>
      <c r="AI873" s="15" t="s">
        <v>268</v>
      </c>
      <c r="AJ873" s="15" t="s">
        <v>4904</v>
      </c>
      <c r="AK873" s="15" t="s">
        <v>3911</v>
      </c>
    </row>
    <row r="874" spans="25:37" x14ac:dyDescent="0.3">
      <c r="Y874" s="14" t="s">
        <v>1050</v>
      </c>
      <c r="Z874" s="15" t="s">
        <v>1094</v>
      </c>
      <c r="AA874" s="15" t="s">
        <v>2426</v>
      </c>
      <c r="AB874" s="15"/>
      <c r="AI874" s="15" t="s">
        <v>268</v>
      </c>
      <c r="AJ874" s="15" t="s">
        <v>4905</v>
      </c>
      <c r="AK874" s="15" t="s">
        <v>3912</v>
      </c>
    </row>
    <row r="875" spans="25:37" x14ac:dyDescent="0.3">
      <c r="Y875" s="14" t="s">
        <v>13</v>
      </c>
      <c r="Z875" s="15" t="s">
        <v>1095</v>
      </c>
      <c r="AA875" s="15" t="s">
        <v>2427</v>
      </c>
      <c r="AB875" s="15"/>
      <c r="AI875" s="15" t="s">
        <v>268</v>
      </c>
      <c r="AJ875" s="15" t="s">
        <v>4906</v>
      </c>
      <c r="AK875" s="15" t="s">
        <v>3913</v>
      </c>
    </row>
    <row r="876" spans="25:37" x14ac:dyDescent="0.3">
      <c r="Y876" s="14" t="s">
        <v>13</v>
      </c>
      <c r="Z876" s="15" t="s">
        <v>1097</v>
      </c>
      <c r="AA876" s="15" t="s">
        <v>2428</v>
      </c>
      <c r="AB876" s="15"/>
      <c r="AI876" s="15" t="s">
        <v>268</v>
      </c>
      <c r="AJ876" s="15" t="s">
        <v>4907</v>
      </c>
      <c r="AK876" s="15" t="s">
        <v>3914</v>
      </c>
    </row>
    <row r="877" spans="25:37" x14ac:dyDescent="0.3">
      <c r="Y877" s="19" t="s">
        <v>18</v>
      </c>
      <c r="Z877" s="19" t="s">
        <v>1098</v>
      </c>
      <c r="AA877" s="19" t="s">
        <v>2429</v>
      </c>
      <c r="AB877" s="15"/>
      <c r="AI877" s="15" t="s">
        <v>87</v>
      </c>
      <c r="AJ877" s="15" t="s">
        <v>4908</v>
      </c>
      <c r="AK877" s="15" t="s">
        <v>3915</v>
      </c>
    </row>
    <row r="878" spans="25:37" x14ac:dyDescent="0.3">
      <c r="Y878" s="14" t="s">
        <v>1051</v>
      </c>
      <c r="Z878" s="15" t="s">
        <v>1099</v>
      </c>
      <c r="AA878" s="15" t="s">
        <v>2430</v>
      </c>
      <c r="AB878" s="15"/>
      <c r="AI878" s="15" t="s">
        <v>87</v>
      </c>
      <c r="AJ878" s="15" t="s">
        <v>4909</v>
      </c>
      <c r="AK878" s="15" t="s">
        <v>3916</v>
      </c>
    </row>
    <row r="879" spans="25:37" x14ac:dyDescent="0.3">
      <c r="Y879" s="14" t="s">
        <v>112</v>
      </c>
      <c r="Z879" s="15" t="s">
        <v>1534</v>
      </c>
      <c r="AA879" s="15" t="s">
        <v>2431</v>
      </c>
      <c r="AB879" s="15"/>
      <c r="AI879" s="19" t="s">
        <v>70</v>
      </c>
      <c r="AJ879" s="19" t="s">
        <v>4910</v>
      </c>
      <c r="AK879" s="19" t="s">
        <v>3917</v>
      </c>
    </row>
    <row r="880" spans="25:37" x14ac:dyDescent="0.3">
      <c r="Y880" s="14" t="s">
        <v>112</v>
      </c>
      <c r="Z880" s="15" t="s">
        <v>1527</v>
      </c>
      <c r="AA880" s="15" t="s">
        <v>2432</v>
      </c>
      <c r="AB880" s="15"/>
      <c r="AI880" s="15" t="s">
        <v>569</v>
      </c>
      <c r="AJ880" s="15" t="s">
        <v>4911</v>
      </c>
      <c r="AK880" s="15" t="s">
        <v>3918</v>
      </c>
    </row>
    <row r="881" spans="25:37" x14ac:dyDescent="0.3">
      <c r="Y881" s="14" t="s">
        <v>248</v>
      </c>
      <c r="Z881" s="15" t="s">
        <v>1100</v>
      </c>
      <c r="AA881" s="15" t="s">
        <v>2433</v>
      </c>
      <c r="AB881" s="15"/>
      <c r="AI881" s="15" t="s">
        <v>90</v>
      </c>
      <c r="AJ881" s="15" t="s">
        <v>4912</v>
      </c>
      <c r="AK881" s="15" t="s">
        <v>3919</v>
      </c>
    </row>
    <row r="882" spans="25:37" x14ac:dyDescent="0.3">
      <c r="Y882" s="14" t="s">
        <v>10</v>
      </c>
      <c r="Z882" s="15" t="s">
        <v>1101</v>
      </c>
      <c r="AA882" s="15" t="s">
        <v>2434</v>
      </c>
      <c r="AB882" s="15"/>
      <c r="AI882" s="19" t="s">
        <v>77</v>
      </c>
      <c r="AJ882" s="19" t="s">
        <v>4913</v>
      </c>
      <c r="AK882" s="19" t="s">
        <v>3920</v>
      </c>
    </row>
    <row r="883" spans="25:37" x14ac:dyDescent="0.3">
      <c r="Y883" s="14" t="s">
        <v>15</v>
      </c>
      <c r="Z883" s="15" t="s">
        <v>372</v>
      </c>
      <c r="AA883" s="15" t="s">
        <v>2435</v>
      </c>
      <c r="AB883" s="15"/>
      <c r="AI883" s="19" t="s">
        <v>77</v>
      </c>
      <c r="AJ883" s="19" t="s">
        <v>4914</v>
      </c>
      <c r="AK883" s="19" t="s">
        <v>3921</v>
      </c>
    </row>
    <row r="884" spans="25:37" x14ac:dyDescent="0.3">
      <c r="Y884" s="14" t="s">
        <v>10</v>
      </c>
      <c r="Z884" s="15" t="s">
        <v>1547</v>
      </c>
      <c r="AA884" s="15" t="s">
        <v>2436</v>
      </c>
      <c r="AB884" s="15"/>
      <c r="AI884" s="15" t="s">
        <v>1195</v>
      </c>
      <c r="AJ884" s="15" t="s">
        <v>4915</v>
      </c>
      <c r="AK884" s="15" t="s">
        <v>3922</v>
      </c>
    </row>
    <row r="885" spans="25:37" x14ac:dyDescent="0.3">
      <c r="Y885" s="14" t="s">
        <v>10</v>
      </c>
      <c r="Z885" s="15" t="s">
        <v>1102</v>
      </c>
      <c r="AA885" s="15" t="s">
        <v>2437</v>
      </c>
      <c r="AB885" s="15"/>
      <c r="AI885" s="15" t="s">
        <v>225</v>
      </c>
      <c r="AJ885" s="15" t="s">
        <v>4916</v>
      </c>
      <c r="AK885" s="15" t="s">
        <v>3923</v>
      </c>
    </row>
    <row r="886" spans="25:37" x14ac:dyDescent="0.3">
      <c r="Y886" s="14" t="s">
        <v>231</v>
      </c>
      <c r="Z886" s="15" t="s">
        <v>1536</v>
      </c>
      <c r="AA886" s="15" t="s">
        <v>2438</v>
      </c>
      <c r="AB886" s="15"/>
      <c r="AI886" s="15" t="s">
        <v>593</v>
      </c>
      <c r="AJ886" s="15" t="s">
        <v>4917</v>
      </c>
      <c r="AK886" s="15" t="s">
        <v>3924</v>
      </c>
    </row>
    <row r="887" spans="25:37" x14ac:dyDescent="0.3">
      <c r="Y887" s="14" t="s">
        <v>232</v>
      </c>
      <c r="Z887" s="15" t="s">
        <v>414</v>
      </c>
      <c r="AA887" s="15" t="s">
        <v>2439</v>
      </c>
      <c r="AB887" s="15"/>
      <c r="AI887" s="15" t="s">
        <v>593</v>
      </c>
      <c r="AJ887" s="15" t="s">
        <v>4918</v>
      </c>
      <c r="AK887" s="15" t="s">
        <v>3925</v>
      </c>
    </row>
    <row r="888" spans="25:37" x14ac:dyDescent="0.3">
      <c r="Y888" s="14" t="s">
        <v>228</v>
      </c>
      <c r="Z888" s="15" t="s">
        <v>1571</v>
      </c>
      <c r="AA888" s="15" t="s">
        <v>2440</v>
      </c>
      <c r="AB888" s="15"/>
      <c r="AI888" s="15" t="s">
        <v>593</v>
      </c>
      <c r="AJ888" s="15" t="s">
        <v>4919</v>
      </c>
      <c r="AK888" s="15" t="s">
        <v>3926</v>
      </c>
    </row>
    <row r="889" spans="25:37" x14ac:dyDescent="0.3">
      <c r="Y889" s="14" t="s">
        <v>29</v>
      </c>
      <c r="Z889" s="15" t="s">
        <v>1115</v>
      </c>
      <c r="AA889" s="15" t="s">
        <v>2441</v>
      </c>
      <c r="AB889" s="15"/>
      <c r="AI889" s="15" t="s">
        <v>597</v>
      </c>
      <c r="AJ889" s="15" t="s">
        <v>4920</v>
      </c>
      <c r="AK889" s="15" t="s">
        <v>3927</v>
      </c>
    </row>
    <row r="890" spans="25:37" x14ac:dyDescent="0.3">
      <c r="Y890" s="14" t="s">
        <v>22</v>
      </c>
      <c r="Z890" s="15" t="s">
        <v>1116</v>
      </c>
      <c r="AA890" s="15" t="s">
        <v>2442</v>
      </c>
      <c r="AB890" s="15"/>
      <c r="AI890" s="15" t="s">
        <v>1256</v>
      </c>
      <c r="AJ890" s="15" t="s">
        <v>4921</v>
      </c>
      <c r="AK890" s="15" t="s">
        <v>3928</v>
      </c>
    </row>
    <row r="891" spans="25:37" x14ac:dyDescent="0.3">
      <c r="Y891" s="14" t="s">
        <v>10</v>
      </c>
      <c r="Z891" s="15" t="s">
        <v>1123</v>
      </c>
      <c r="AA891" s="15" t="s">
        <v>2443</v>
      </c>
      <c r="AB891" s="15"/>
      <c r="AI891" s="15" t="s">
        <v>1256</v>
      </c>
      <c r="AJ891" s="15" t="s">
        <v>4922</v>
      </c>
      <c r="AK891" s="15" t="s">
        <v>3929</v>
      </c>
    </row>
    <row r="892" spans="25:37" x14ac:dyDescent="0.3">
      <c r="Y892" s="14" t="s">
        <v>22</v>
      </c>
      <c r="Z892" s="15" t="s">
        <v>1124</v>
      </c>
      <c r="AA892" s="15" t="s">
        <v>2444</v>
      </c>
      <c r="AB892" s="15"/>
      <c r="AI892" s="15" t="s">
        <v>516</v>
      </c>
      <c r="AJ892" s="15" t="s">
        <v>4923</v>
      </c>
      <c r="AK892" s="15" t="s">
        <v>3930</v>
      </c>
    </row>
    <row r="893" spans="25:37" x14ac:dyDescent="0.3">
      <c r="Y893" s="14" t="s">
        <v>10</v>
      </c>
      <c r="Z893" s="15" t="s">
        <v>1126</v>
      </c>
      <c r="AA893" s="15" t="s">
        <v>2445</v>
      </c>
      <c r="AB893" s="15"/>
      <c r="AI893" s="15" t="s">
        <v>90</v>
      </c>
      <c r="AJ893" s="15" t="s">
        <v>4924</v>
      </c>
      <c r="AK893" s="15" t="s">
        <v>3931</v>
      </c>
    </row>
    <row r="894" spans="25:37" x14ac:dyDescent="0.3">
      <c r="Y894" s="14" t="s">
        <v>13</v>
      </c>
      <c r="Z894" s="15" t="s">
        <v>1127</v>
      </c>
      <c r="AA894" s="15" t="s">
        <v>2446</v>
      </c>
      <c r="AB894" s="15"/>
      <c r="AI894" s="15" t="s">
        <v>90</v>
      </c>
      <c r="AJ894" s="15" t="s">
        <v>4925</v>
      </c>
      <c r="AK894" s="15" t="s">
        <v>3932</v>
      </c>
    </row>
    <row r="895" spans="25:37" x14ac:dyDescent="0.3">
      <c r="Y895" s="14" t="s">
        <v>233</v>
      </c>
      <c r="Z895" s="15" t="s">
        <v>1129</v>
      </c>
      <c r="AA895" s="15" t="s">
        <v>2447</v>
      </c>
      <c r="AB895" s="15"/>
      <c r="AI895" s="15" t="s">
        <v>75</v>
      </c>
      <c r="AJ895" s="15" t="s">
        <v>4260</v>
      </c>
      <c r="AK895" s="15" t="s">
        <v>3933</v>
      </c>
    </row>
    <row r="896" spans="25:37" x14ac:dyDescent="0.3">
      <c r="Y896" s="14" t="s">
        <v>10</v>
      </c>
      <c r="Z896" s="15" t="s">
        <v>1134</v>
      </c>
      <c r="AA896" s="15" t="s">
        <v>2448</v>
      </c>
      <c r="AB896" s="15"/>
      <c r="AI896" s="15" t="s">
        <v>75</v>
      </c>
      <c r="AJ896" s="15" t="s">
        <v>4926</v>
      </c>
      <c r="AK896" s="15" t="s">
        <v>3934</v>
      </c>
    </row>
    <row r="897" spans="25:37" x14ac:dyDescent="0.3">
      <c r="Y897" s="14" t="s">
        <v>233</v>
      </c>
      <c r="Z897" s="15" t="s">
        <v>1135</v>
      </c>
      <c r="AA897" s="15" t="s">
        <v>2449</v>
      </c>
      <c r="AB897" s="15"/>
      <c r="AI897" s="15" t="s">
        <v>75</v>
      </c>
      <c r="AJ897" s="15" t="s">
        <v>4927</v>
      </c>
      <c r="AK897" s="15" t="s">
        <v>3935</v>
      </c>
    </row>
    <row r="898" spans="25:37" x14ac:dyDescent="0.3">
      <c r="Y898" s="14" t="s">
        <v>233</v>
      </c>
      <c r="Z898" s="15" t="s">
        <v>1136</v>
      </c>
      <c r="AA898" s="15" t="s">
        <v>2450</v>
      </c>
      <c r="AB898" s="15"/>
      <c r="AI898" s="15" t="s">
        <v>75</v>
      </c>
      <c r="AJ898" s="15" t="s">
        <v>4928</v>
      </c>
      <c r="AK898" s="15" t="s">
        <v>3936</v>
      </c>
    </row>
    <row r="899" spans="25:37" x14ac:dyDescent="0.3">
      <c r="Y899" s="14" t="s">
        <v>233</v>
      </c>
      <c r="Z899" s="15" t="s">
        <v>1138</v>
      </c>
      <c r="AA899" s="15" t="s">
        <v>2451</v>
      </c>
      <c r="AB899" s="15"/>
      <c r="AI899" s="15" t="s">
        <v>75</v>
      </c>
      <c r="AJ899" s="15" t="s">
        <v>4929</v>
      </c>
      <c r="AK899" s="15" t="s">
        <v>3937</v>
      </c>
    </row>
    <row r="900" spans="25:37" x14ac:dyDescent="0.3">
      <c r="Y900" s="14" t="s">
        <v>248</v>
      </c>
      <c r="Z900" s="15" t="s">
        <v>1144</v>
      </c>
      <c r="AA900" s="15" t="s">
        <v>2453</v>
      </c>
      <c r="AB900" s="15"/>
      <c r="AI900" s="15" t="s">
        <v>80</v>
      </c>
      <c r="AJ900" s="15" t="s">
        <v>4930</v>
      </c>
      <c r="AK900" s="15" t="s">
        <v>3938</v>
      </c>
    </row>
    <row r="901" spans="25:37" x14ac:dyDescent="0.3">
      <c r="Y901" s="14" t="s">
        <v>233</v>
      </c>
      <c r="Z901" s="15" t="s">
        <v>1147</v>
      </c>
      <c r="AA901" s="15" t="s">
        <v>2454</v>
      </c>
      <c r="AB901" s="15"/>
      <c r="AI901" s="15" t="s">
        <v>224</v>
      </c>
      <c r="AJ901" s="15" t="s">
        <v>4931</v>
      </c>
      <c r="AK901" s="15" t="s">
        <v>3939</v>
      </c>
    </row>
    <row r="902" spans="25:37" x14ac:dyDescent="0.3">
      <c r="Y902" s="14" t="s">
        <v>9</v>
      </c>
      <c r="Z902" s="15" t="s">
        <v>1148</v>
      </c>
      <c r="AA902" s="15" t="s">
        <v>2455</v>
      </c>
      <c r="AB902" s="15"/>
      <c r="AI902" s="19" t="s">
        <v>77</v>
      </c>
      <c r="AJ902" s="19" t="s">
        <v>4932</v>
      </c>
      <c r="AK902" s="19" t="s">
        <v>3940</v>
      </c>
    </row>
    <row r="903" spans="25:37" x14ac:dyDescent="0.3">
      <c r="Y903" s="14" t="s">
        <v>248</v>
      </c>
      <c r="Z903" s="15" t="s">
        <v>1150</v>
      </c>
      <c r="AA903" s="15" t="s">
        <v>2456</v>
      </c>
      <c r="AB903" s="15"/>
      <c r="AI903" s="19" t="s">
        <v>77</v>
      </c>
      <c r="AJ903" s="19" t="s">
        <v>4933</v>
      </c>
      <c r="AK903" s="19" t="s">
        <v>3941</v>
      </c>
    </row>
    <row r="904" spans="25:37" x14ac:dyDescent="0.3">
      <c r="Y904" s="14" t="s">
        <v>22</v>
      </c>
      <c r="Z904" s="15" t="s">
        <v>1151</v>
      </c>
      <c r="AA904" s="15" t="s">
        <v>2457</v>
      </c>
      <c r="AB904" s="15"/>
      <c r="AI904" s="19" t="s">
        <v>77</v>
      </c>
      <c r="AJ904" s="19" t="s">
        <v>4934</v>
      </c>
      <c r="AK904" s="19" t="s">
        <v>3942</v>
      </c>
    </row>
    <row r="905" spans="25:37" x14ac:dyDescent="0.3">
      <c r="Y905" s="14" t="s">
        <v>22</v>
      </c>
      <c r="Z905" s="15" t="s">
        <v>1153</v>
      </c>
      <c r="AA905" s="15" t="s">
        <v>2458</v>
      </c>
      <c r="AB905" s="15"/>
      <c r="AI905" s="19" t="s">
        <v>79</v>
      </c>
      <c r="AJ905" s="19" t="s">
        <v>4935</v>
      </c>
      <c r="AK905" s="19" t="s">
        <v>3943</v>
      </c>
    </row>
    <row r="906" spans="25:37" x14ac:dyDescent="0.3">
      <c r="Y906" s="14" t="s">
        <v>16</v>
      </c>
      <c r="Z906" s="15" t="s">
        <v>1556</v>
      </c>
      <c r="AA906" s="15" t="s">
        <v>2459</v>
      </c>
      <c r="AB906" s="15"/>
      <c r="AI906" s="15" t="s">
        <v>485</v>
      </c>
      <c r="AJ906" s="15" t="s">
        <v>4936</v>
      </c>
      <c r="AK906" s="15" t="s">
        <v>3944</v>
      </c>
    </row>
    <row r="907" spans="25:37" x14ac:dyDescent="0.3">
      <c r="Y907" s="14" t="s">
        <v>16</v>
      </c>
      <c r="Z907" s="15" t="s">
        <v>1542</v>
      </c>
      <c r="AA907" s="15" t="s">
        <v>2460</v>
      </c>
      <c r="AB907" s="15"/>
      <c r="AI907" s="19" t="s">
        <v>69</v>
      </c>
      <c r="AJ907" s="19" t="s">
        <v>4937</v>
      </c>
      <c r="AK907" s="19" t="s">
        <v>3945</v>
      </c>
    </row>
    <row r="908" spans="25:37" x14ac:dyDescent="0.3">
      <c r="Y908" s="14" t="s">
        <v>13</v>
      </c>
      <c r="Z908" s="15" t="s">
        <v>141</v>
      </c>
      <c r="AA908" s="15" t="s">
        <v>2461</v>
      </c>
      <c r="AB908" s="15"/>
      <c r="AI908" s="19" t="s">
        <v>77</v>
      </c>
      <c r="AJ908" s="19" t="s">
        <v>4938</v>
      </c>
      <c r="AK908" s="19" t="s">
        <v>3946</v>
      </c>
    </row>
    <row r="909" spans="25:37" x14ac:dyDescent="0.3">
      <c r="Y909" s="14" t="s">
        <v>13</v>
      </c>
      <c r="Z909" s="15" t="s">
        <v>139</v>
      </c>
      <c r="AA909" s="15" t="s">
        <v>2462</v>
      </c>
      <c r="AB909" s="15"/>
      <c r="AI909" s="15" t="s">
        <v>491</v>
      </c>
      <c r="AJ909" s="15" t="s">
        <v>4939</v>
      </c>
      <c r="AK909" s="15" t="s">
        <v>3947</v>
      </c>
    </row>
    <row r="910" spans="25:37" x14ac:dyDescent="0.3">
      <c r="Y910" s="14" t="s">
        <v>13</v>
      </c>
      <c r="Z910" s="15" t="s">
        <v>1154</v>
      </c>
      <c r="AA910" s="15" t="s">
        <v>2463</v>
      </c>
      <c r="AB910" s="15"/>
      <c r="AI910" s="15" t="s">
        <v>495</v>
      </c>
      <c r="AJ910" s="15" t="s">
        <v>4940</v>
      </c>
      <c r="AK910" s="15" t="s">
        <v>3948</v>
      </c>
    </row>
    <row r="911" spans="25:37" x14ac:dyDescent="0.3">
      <c r="Y911" s="14" t="s">
        <v>13</v>
      </c>
      <c r="Z911" s="15" t="s">
        <v>1155</v>
      </c>
      <c r="AA911" s="15" t="s">
        <v>2464</v>
      </c>
      <c r="AB911" s="15"/>
      <c r="AI911" s="15" t="s">
        <v>495</v>
      </c>
      <c r="AJ911" s="15" t="s">
        <v>4941</v>
      </c>
      <c r="AK911" s="15" t="s">
        <v>3949</v>
      </c>
    </row>
    <row r="912" spans="25:37" x14ac:dyDescent="0.3">
      <c r="Y912" s="14" t="s">
        <v>1380</v>
      </c>
      <c r="Z912" s="15" t="s">
        <v>1156</v>
      </c>
      <c r="AA912" s="15" t="s">
        <v>2465</v>
      </c>
      <c r="AB912" s="15"/>
      <c r="AI912" s="15" t="s">
        <v>508</v>
      </c>
      <c r="AJ912" s="15" t="s">
        <v>4942</v>
      </c>
      <c r="AK912" s="15" t="s">
        <v>3950</v>
      </c>
    </row>
    <row r="913" spans="25:37" x14ac:dyDescent="0.3">
      <c r="Y913" s="14" t="s">
        <v>1331</v>
      </c>
      <c r="Z913" s="15" t="s">
        <v>361</v>
      </c>
      <c r="AA913" s="15" t="s">
        <v>2466</v>
      </c>
      <c r="AB913" s="15"/>
      <c r="AI913" s="15" t="s">
        <v>508</v>
      </c>
      <c r="AJ913" s="15" t="s">
        <v>4943</v>
      </c>
      <c r="AK913" s="15" t="s">
        <v>3951</v>
      </c>
    </row>
    <row r="914" spans="25:37" x14ac:dyDescent="0.3">
      <c r="Y914" s="14" t="s">
        <v>9</v>
      </c>
      <c r="Z914" s="15" t="s">
        <v>1162</v>
      </c>
      <c r="AA914" s="15" t="s">
        <v>2467</v>
      </c>
      <c r="AB914" s="15"/>
      <c r="AI914" s="15" t="s">
        <v>85</v>
      </c>
      <c r="AJ914" s="15" t="s">
        <v>4944</v>
      </c>
      <c r="AK914" s="15" t="s">
        <v>3952</v>
      </c>
    </row>
    <row r="915" spans="25:37" x14ac:dyDescent="0.3">
      <c r="Y915" s="14" t="s">
        <v>231</v>
      </c>
      <c r="Z915" s="15" t="s">
        <v>1172</v>
      </c>
      <c r="AA915" s="15" t="s">
        <v>2468</v>
      </c>
      <c r="AB915" s="15"/>
      <c r="AI915" s="19" t="s">
        <v>70</v>
      </c>
      <c r="AJ915" s="19" t="s">
        <v>4945</v>
      </c>
      <c r="AK915" s="19" t="s">
        <v>3953</v>
      </c>
    </row>
    <row r="916" spans="25:37" x14ac:dyDescent="0.3">
      <c r="Y916" s="14" t="s">
        <v>231</v>
      </c>
      <c r="Z916" s="15" t="s">
        <v>1173</v>
      </c>
      <c r="AA916" s="15" t="s">
        <v>2469</v>
      </c>
      <c r="AB916" s="15"/>
      <c r="AI916" s="19" t="s">
        <v>70</v>
      </c>
      <c r="AJ916" s="19" t="s">
        <v>4946</v>
      </c>
      <c r="AK916" s="19" t="s">
        <v>3954</v>
      </c>
    </row>
    <row r="917" spans="25:37" x14ac:dyDescent="0.3">
      <c r="Y917" s="14" t="s">
        <v>231</v>
      </c>
      <c r="Z917" s="15" t="s">
        <v>1174</v>
      </c>
      <c r="AA917" s="15" t="s">
        <v>2470</v>
      </c>
      <c r="AB917" s="15"/>
      <c r="AI917" s="19" t="s">
        <v>70</v>
      </c>
      <c r="AJ917" s="19" t="s">
        <v>4947</v>
      </c>
      <c r="AK917" s="19" t="s">
        <v>3955</v>
      </c>
    </row>
    <row r="918" spans="25:37" x14ac:dyDescent="0.3">
      <c r="Y918" s="14" t="s">
        <v>248</v>
      </c>
      <c r="Z918" s="15" t="s">
        <v>1176</v>
      </c>
      <c r="AA918" s="15" t="s">
        <v>2471</v>
      </c>
      <c r="AB918" s="15"/>
      <c r="AI918" s="49" t="s">
        <v>70</v>
      </c>
      <c r="AJ918" s="49" t="s">
        <v>4948</v>
      </c>
      <c r="AK918" s="49" t="s">
        <v>3956</v>
      </c>
    </row>
    <row r="919" spans="25:37" x14ac:dyDescent="0.3">
      <c r="Y919" s="14" t="s">
        <v>29</v>
      </c>
      <c r="Z919" s="15" t="s">
        <v>1178</v>
      </c>
      <c r="AA919" s="15" t="s">
        <v>2472</v>
      </c>
      <c r="AB919" s="15"/>
      <c r="AI919" t="s">
        <v>70</v>
      </c>
      <c r="AJ919" t="s">
        <v>4949</v>
      </c>
      <c r="AK919" t="s">
        <v>3957</v>
      </c>
    </row>
    <row r="920" spans="25:37" x14ac:dyDescent="0.3">
      <c r="Y920" s="14" t="s">
        <v>231</v>
      </c>
      <c r="Z920" s="15" t="s">
        <v>1179</v>
      </c>
      <c r="AA920" s="15" t="s">
        <v>2473</v>
      </c>
      <c r="AB920" s="15"/>
      <c r="AI920" s="21" t="s">
        <v>225</v>
      </c>
      <c r="AJ920" s="21" t="s">
        <v>4950</v>
      </c>
      <c r="AK920" s="21" t="s">
        <v>3958</v>
      </c>
    </row>
    <row r="921" spans="25:37" x14ac:dyDescent="0.3">
      <c r="Y921" s="14" t="s">
        <v>116</v>
      </c>
      <c r="Z921" s="15" t="s">
        <v>1180</v>
      </c>
      <c r="AA921" s="15" t="s">
        <v>2474</v>
      </c>
      <c r="AB921" s="15"/>
      <c r="AI921" s="21" t="s">
        <v>507</v>
      </c>
      <c r="AJ921" s="21" t="s">
        <v>4951</v>
      </c>
      <c r="AK921" s="21" t="s">
        <v>3959</v>
      </c>
    </row>
    <row r="922" spans="25:37" x14ac:dyDescent="0.3">
      <c r="Y922" s="14" t="s">
        <v>232</v>
      </c>
      <c r="Z922" s="15" t="s">
        <v>1181</v>
      </c>
      <c r="AA922" s="15" t="s">
        <v>2475</v>
      </c>
      <c r="AB922" s="15"/>
      <c r="AI922" s="21" t="s">
        <v>93</v>
      </c>
      <c r="AJ922" s="21" t="s">
        <v>4952</v>
      </c>
      <c r="AK922" s="21" t="s">
        <v>3960</v>
      </c>
    </row>
    <row r="923" spans="25:37" x14ac:dyDescent="0.3">
      <c r="Y923" s="14" t="s">
        <v>1052</v>
      </c>
      <c r="Z923" s="15" t="s">
        <v>1183</v>
      </c>
      <c r="AA923" s="15" t="s">
        <v>2476</v>
      </c>
      <c r="AB923" s="15"/>
      <c r="AI923" s="21" t="s">
        <v>509</v>
      </c>
      <c r="AJ923" s="21" t="s">
        <v>4953</v>
      </c>
      <c r="AK923" s="21" t="s">
        <v>3961</v>
      </c>
    </row>
    <row r="924" spans="25:37" x14ac:dyDescent="0.3">
      <c r="Y924" s="14" t="s">
        <v>114</v>
      </c>
      <c r="Z924" s="15" t="s">
        <v>1630</v>
      </c>
      <c r="AA924" s="15" t="s">
        <v>2477</v>
      </c>
      <c r="AB924" s="15"/>
      <c r="AI924" t="s">
        <v>79</v>
      </c>
      <c r="AJ924" t="s">
        <v>4954</v>
      </c>
      <c r="AK924" t="s">
        <v>3962</v>
      </c>
    </row>
    <row r="925" spans="25:37" x14ac:dyDescent="0.3">
      <c r="Y925" s="14" t="s">
        <v>231</v>
      </c>
      <c r="Z925" s="15" t="s">
        <v>1184</v>
      </c>
      <c r="AA925" s="15" t="s">
        <v>2478</v>
      </c>
      <c r="AB925" s="15"/>
      <c r="AI925" s="21" t="s">
        <v>85</v>
      </c>
      <c r="AJ925" s="21" t="s">
        <v>4955</v>
      </c>
      <c r="AK925" s="21" t="s">
        <v>3963</v>
      </c>
    </row>
    <row r="926" spans="25:37" x14ac:dyDescent="0.3">
      <c r="Y926" s="14" t="s">
        <v>231</v>
      </c>
      <c r="Z926" s="15" t="s">
        <v>1185</v>
      </c>
      <c r="AA926" s="15" t="s">
        <v>2479</v>
      </c>
      <c r="AB926" s="15"/>
      <c r="AI926" s="21" t="s">
        <v>85</v>
      </c>
      <c r="AJ926" s="21" t="s">
        <v>4956</v>
      </c>
      <c r="AK926" s="21" t="s">
        <v>3964</v>
      </c>
    </row>
    <row r="927" spans="25:37" x14ac:dyDescent="0.3">
      <c r="Y927" s="14" t="s">
        <v>231</v>
      </c>
      <c r="Z927" s="15" t="s">
        <v>266</v>
      </c>
      <c r="AA927" s="15" t="s">
        <v>2480</v>
      </c>
      <c r="AB927" s="15"/>
      <c r="AI927" s="21" t="s">
        <v>75</v>
      </c>
      <c r="AJ927" s="21" t="s">
        <v>4957</v>
      </c>
      <c r="AK927" s="21" t="s">
        <v>3965</v>
      </c>
    </row>
    <row r="928" spans="25:37" x14ac:dyDescent="0.3">
      <c r="Y928" s="14" t="s">
        <v>10</v>
      </c>
      <c r="Z928" s="15" t="s">
        <v>366</v>
      </c>
      <c r="AA928" s="15" t="s">
        <v>2481</v>
      </c>
      <c r="AB928" s="15"/>
      <c r="AI928" s="21" t="s">
        <v>88</v>
      </c>
      <c r="AJ928" s="21" t="s">
        <v>4958</v>
      </c>
      <c r="AK928" s="21" t="s">
        <v>3966</v>
      </c>
    </row>
    <row r="929" spans="25:37" x14ac:dyDescent="0.3">
      <c r="Y929" s="14" t="s">
        <v>231</v>
      </c>
      <c r="Z929" s="15" t="s">
        <v>1554</v>
      </c>
      <c r="AA929" s="15" t="s">
        <v>2482</v>
      </c>
      <c r="AB929" s="15"/>
      <c r="AI929" s="21" t="s">
        <v>88</v>
      </c>
      <c r="AJ929" s="21" t="s">
        <v>4959</v>
      </c>
      <c r="AK929" s="21" t="s">
        <v>3967</v>
      </c>
    </row>
    <row r="930" spans="25:37" x14ac:dyDescent="0.3">
      <c r="Y930" s="14" t="s">
        <v>29</v>
      </c>
      <c r="Z930" s="15" t="s">
        <v>1535</v>
      </c>
      <c r="AA930" s="15" t="s">
        <v>2483</v>
      </c>
      <c r="AB930" s="15"/>
      <c r="AI930" s="21" t="s">
        <v>88</v>
      </c>
      <c r="AJ930" s="21" t="s">
        <v>4960</v>
      </c>
      <c r="AK930" s="21" t="s">
        <v>3968</v>
      </c>
    </row>
    <row r="931" spans="25:37" x14ac:dyDescent="0.3">
      <c r="Y931" s="14" t="s">
        <v>1049</v>
      </c>
      <c r="Z931" s="15" t="s">
        <v>1192</v>
      </c>
      <c r="AA931" s="15" t="s">
        <v>2484</v>
      </c>
      <c r="AB931" s="15"/>
      <c r="AI931" t="s">
        <v>70</v>
      </c>
      <c r="AJ931" t="s">
        <v>4961</v>
      </c>
      <c r="AK931" t="s">
        <v>3969</v>
      </c>
    </row>
    <row r="932" spans="25:37" x14ac:dyDescent="0.3">
      <c r="Y932" s="14" t="s">
        <v>231</v>
      </c>
      <c r="Z932" s="15" t="s">
        <v>1194</v>
      </c>
      <c r="AA932" s="15" t="s">
        <v>2485</v>
      </c>
      <c r="AB932" s="15"/>
      <c r="AI932" s="21" t="s">
        <v>80</v>
      </c>
      <c r="AJ932" s="21" t="s">
        <v>4962</v>
      </c>
      <c r="AK932" s="21" t="s">
        <v>3970</v>
      </c>
    </row>
    <row r="933" spans="25:37" x14ac:dyDescent="0.3">
      <c r="Y933" s="14" t="s">
        <v>231</v>
      </c>
      <c r="Z933" s="15" t="s">
        <v>1195</v>
      </c>
      <c r="AA933" s="15" t="s">
        <v>2486</v>
      </c>
      <c r="AB933" s="15"/>
      <c r="AI933" s="21" t="s">
        <v>224</v>
      </c>
      <c r="AJ933" s="21" t="s">
        <v>4963</v>
      </c>
      <c r="AK933" s="21" t="s">
        <v>3971</v>
      </c>
    </row>
    <row r="934" spans="25:37" x14ac:dyDescent="0.3">
      <c r="Y934" s="14" t="s">
        <v>1056</v>
      </c>
      <c r="Z934" s="15" t="s">
        <v>1196</v>
      </c>
      <c r="AA934" s="15" t="s">
        <v>2487</v>
      </c>
      <c r="AB934" s="15"/>
      <c r="AI934" s="21" t="s">
        <v>224</v>
      </c>
      <c r="AJ934" s="21" t="s">
        <v>4964</v>
      </c>
      <c r="AK934" s="21" t="s">
        <v>3972</v>
      </c>
    </row>
    <row r="935" spans="25:37" x14ac:dyDescent="0.3">
      <c r="Y935" s="14" t="s">
        <v>229</v>
      </c>
      <c r="Z935" s="15" t="s">
        <v>234</v>
      </c>
      <c r="AA935" s="15" t="s">
        <v>2488</v>
      </c>
      <c r="AB935" s="15"/>
      <c r="AI935" s="21" t="s">
        <v>224</v>
      </c>
      <c r="AJ935" s="21" t="s">
        <v>4965</v>
      </c>
      <c r="AK935" s="21" t="s">
        <v>3973</v>
      </c>
    </row>
    <row r="936" spans="25:37" x14ac:dyDescent="0.3">
      <c r="Y936" s="14" t="s">
        <v>22</v>
      </c>
      <c r="Z936" s="15" t="s">
        <v>123</v>
      </c>
      <c r="AA936" s="15" t="s">
        <v>2489</v>
      </c>
      <c r="AB936" s="15"/>
      <c r="AI936" s="21" t="s">
        <v>224</v>
      </c>
      <c r="AJ936" s="21" t="s">
        <v>4966</v>
      </c>
      <c r="AK936" s="21" t="s">
        <v>3974</v>
      </c>
    </row>
    <row r="937" spans="25:37" x14ac:dyDescent="0.3">
      <c r="Y937" s="14" t="s">
        <v>231</v>
      </c>
      <c r="Z937" s="15" t="s">
        <v>241</v>
      </c>
      <c r="AA937" s="15" t="s">
        <v>2490</v>
      </c>
      <c r="AB937" s="15"/>
      <c r="AI937" s="21" t="s">
        <v>578</v>
      </c>
      <c r="AJ937" s="21" t="s">
        <v>4967</v>
      </c>
      <c r="AK937" s="21" t="s">
        <v>3975</v>
      </c>
    </row>
    <row r="938" spans="25:37" x14ac:dyDescent="0.3">
      <c r="Y938" s="14" t="s">
        <v>21</v>
      </c>
      <c r="Z938" s="15" t="s">
        <v>464</v>
      </c>
      <c r="AA938" s="15" t="s">
        <v>2491</v>
      </c>
      <c r="AB938" s="15"/>
      <c r="AI938" t="s">
        <v>94</v>
      </c>
      <c r="AJ938" t="s">
        <v>4968</v>
      </c>
      <c r="AK938" t="s">
        <v>3976</v>
      </c>
    </row>
    <row r="939" spans="25:37" x14ac:dyDescent="0.3">
      <c r="Y939" s="14" t="s">
        <v>9</v>
      </c>
      <c r="Z939" s="15" t="s">
        <v>466</v>
      </c>
      <c r="AA939" s="15" t="s">
        <v>2492</v>
      </c>
      <c r="AB939" s="15"/>
      <c r="AI939" s="21" t="s">
        <v>224</v>
      </c>
      <c r="AJ939" s="21" t="s">
        <v>4969</v>
      </c>
      <c r="AK939" s="21" t="s">
        <v>3977</v>
      </c>
    </row>
    <row r="940" spans="25:37" x14ac:dyDescent="0.3">
      <c r="Y940" s="14" t="s">
        <v>13</v>
      </c>
      <c r="Z940" s="15" t="s">
        <v>467</v>
      </c>
      <c r="AA940" s="15" t="s">
        <v>2493</v>
      </c>
      <c r="AB940" s="15"/>
      <c r="AI940" s="21" t="s">
        <v>224</v>
      </c>
      <c r="AJ940" s="21" t="s">
        <v>4970</v>
      </c>
      <c r="AK940" s="21" t="s">
        <v>3978</v>
      </c>
    </row>
    <row r="941" spans="25:37" x14ac:dyDescent="0.3">
      <c r="Y941" s="14" t="s">
        <v>9</v>
      </c>
      <c r="Z941" s="15" t="s">
        <v>260</v>
      </c>
      <c r="AA941" s="15" t="s">
        <v>2494</v>
      </c>
      <c r="AB941" s="15"/>
      <c r="AI941" s="21" t="s">
        <v>224</v>
      </c>
      <c r="AJ941" s="21" t="s">
        <v>4971</v>
      </c>
      <c r="AK941" s="21" t="s">
        <v>3979</v>
      </c>
    </row>
    <row r="942" spans="25:37" x14ac:dyDescent="0.3">
      <c r="Y942" s="14" t="s">
        <v>9</v>
      </c>
      <c r="Z942" s="15" t="s">
        <v>261</v>
      </c>
      <c r="AA942" s="15" t="s">
        <v>2495</v>
      </c>
      <c r="AB942" s="15"/>
      <c r="AI942" s="21" t="s">
        <v>224</v>
      </c>
      <c r="AJ942" s="21" t="s">
        <v>4972</v>
      </c>
      <c r="AK942" s="21" t="s">
        <v>3980</v>
      </c>
    </row>
    <row r="943" spans="25:37" x14ac:dyDescent="0.3">
      <c r="Y943" s="14" t="s">
        <v>246</v>
      </c>
      <c r="Z943" s="15" t="s">
        <v>1532</v>
      </c>
      <c r="AA943" s="15" t="s">
        <v>2496</v>
      </c>
      <c r="AB943" s="15"/>
      <c r="AI943" s="21" t="s">
        <v>224</v>
      </c>
      <c r="AJ943" s="21" t="s">
        <v>4973</v>
      </c>
      <c r="AK943" s="21" t="s">
        <v>3981</v>
      </c>
    </row>
    <row r="944" spans="25:37" x14ac:dyDescent="0.3">
      <c r="Y944" s="14" t="s">
        <v>246</v>
      </c>
      <c r="Z944" s="15" t="s">
        <v>1566</v>
      </c>
      <c r="AA944" s="15" t="s">
        <v>2497</v>
      </c>
      <c r="AB944" s="15"/>
      <c r="AI944" s="21" t="s">
        <v>80</v>
      </c>
      <c r="AJ944" s="21" t="s">
        <v>4974</v>
      </c>
      <c r="AK944" s="21" t="s">
        <v>3982</v>
      </c>
    </row>
    <row r="945" spans="25:37" x14ac:dyDescent="0.3">
      <c r="Y945" s="14" t="s">
        <v>246</v>
      </c>
      <c r="Z945" s="15" t="s">
        <v>1545</v>
      </c>
      <c r="AA945" s="15" t="s">
        <v>2498</v>
      </c>
      <c r="AB945" s="15"/>
      <c r="AI945" t="s">
        <v>79</v>
      </c>
      <c r="AJ945" t="s">
        <v>4975</v>
      </c>
      <c r="AK945" t="s">
        <v>3983</v>
      </c>
    </row>
    <row r="946" spans="25:37" x14ac:dyDescent="0.3">
      <c r="Y946" s="14" t="s">
        <v>10</v>
      </c>
      <c r="Z946" s="15" t="s">
        <v>471</v>
      </c>
      <c r="AA946" s="15" t="s">
        <v>2499</v>
      </c>
      <c r="AB946" s="15"/>
      <c r="AI946" s="21" t="s">
        <v>1547</v>
      </c>
      <c r="AJ946" s="21" t="s">
        <v>4976</v>
      </c>
      <c r="AK946" s="21" t="s">
        <v>3984</v>
      </c>
    </row>
    <row r="947" spans="25:37" x14ac:dyDescent="0.3">
      <c r="Y947" s="14" t="s">
        <v>9</v>
      </c>
      <c r="Z947" s="15" t="s">
        <v>161</v>
      </c>
      <c r="AA947" s="15" t="s">
        <v>2500</v>
      </c>
      <c r="AB947" s="15"/>
      <c r="AI947" t="s">
        <v>77</v>
      </c>
      <c r="AJ947" t="s">
        <v>4977</v>
      </c>
      <c r="AK947" t="s">
        <v>3985</v>
      </c>
    </row>
    <row r="948" spans="25:37" x14ac:dyDescent="0.3">
      <c r="Y948" s="14" t="s">
        <v>9</v>
      </c>
      <c r="Z948" s="15" t="s">
        <v>474</v>
      </c>
      <c r="AA948" s="15" t="s">
        <v>2501</v>
      </c>
      <c r="AB948" s="15"/>
      <c r="AI948" t="s">
        <v>77</v>
      </c>
      <c r="AJ948" t="s">
        <v>4978</v>
      </c>
      <c r="AK948" t="s">
        <v>3986</v>
      </c>
    </row>
    <row r="949" spans="25:37" x14ac:dyDescent="0.3">
      <c r="Y949" s="14" t="s">
        <v>9</v>
      </c>
      <c r="Z949" s="15" t="s">
        <v>475</v>
      </c>
      <c r="AA949" s="15" t="s">
        <v>2502</v>
      </c>
      <c r="AB949" s="15"/>
      <c r="AI949" t="s">
        <v>77</v>
      </c>
      <c r="AJ949" t="s">
        <v>4979</v>
      </c>
      <c r="AK949" t="s">
        <v>3987</v>
      </c>
    </row>
    <row r="950" spans="25:37" x14ac:dyDescent="0.3">
      <c r="Y950" s="14" t="s">
        <v>15</v>
      </c>
      <c r="Z950" s="15" t="s">
        <v>243</v>
      </c>
      <c r="AA950" s="15" t="s">
        <v>2503</v>
      </c>
      <c r="AB950" s="15"/>
      <c r="AI950" t="s">
        <v>65</v>
      </c>
      <c r="AJ950" t="s">
        <v>4980</v>
      </c>
      <c r="AK950" t="s">
        <v>3988</v>
      </c>
    </row>
    <row r="951" spans="25:37" x14ac:dyDescent="0.3">
      <c r="Y951" s="14" t="s">
        <v>247</v>
      </c>
      <c r="Z951" s="15" t="s">
        <v>267</v>
      </c>
      <c r="AA951" s="15" t="s">
        <v>2504</v>
      </c>
      <c r="AB951" s="15"/>
      <c r="AI951" s="21" t="s">
        <v>88</v>
      </c>
      <c r="AJ951" s="21" t="s">
        <v>4981</v>
      </c>
      <c r="AK951" s="21" t="s">
        <v>3989</v>
      </c>
    </row>
    <row r="952" spans="25:37" x14ac:dyDescent="0.3">
      <c r="Y952" s="14" t="s">
        <v>232</v>
      </c>
      <c r="Z952" s="15" t="s">
        <v>245</v>
      </c>
      <c r="AA952" s="15" t="s">
        <v>2505</v>
      </c>
      <c r="AB952" s="15"/>
      <c r="AI952" s="21" t="s">
        <v>569</v>
      </c>
      <c r="AJ952" s="21" t="s">
        <v>4982</v>
      </c>
      <c r="AK952" s="21" t="s">
        <v>3990</v>
      </c>
    </row>
    <row r="953" spans="25:37" x14ac:dyDescent="0.3">
      <c r="Y953" s="14" t="s">
        <v>247</v>
      </c>
      <c r="Z953" s="15" t="s">
        <v>268</v>
      </c>
      <c r="AA953" s="15" t="s">
        <v>2506</v>
      </c>
      <c r="AB953" s="15"/>
      <c r="AI953" t="s">
        <v>227</v>
      </c>
      <c r="AJ953" t="s">
        <v>4747</v>
      </c>
      <c r="AK953" t="s">
        <v>3991</v>
      </c>
    </row>
    <row r="954" spans="25:37" x14ac:dyDescent="0.3">
      <c r="Y954" s="14" t="s">
        <v>232</v>
      </c>
      <c r="Z954" s="15" t="s">
        <v>244</v>
      </c>
      <c r="AA954" s="15" t="s">
        <v>2507</v>
      </c>
      <c r="AB954" s="15"/>
      <c r="AI954" s="21" t="s">
        <v>227</v>
      </c>
      <c r="AJ954" s="21" t="s">
        <v>4983</v>
      </c>
      <c r="AK954" s="21" t="s">
        <v>3992</v>
      </c>
    </row>
    <row r="955" spans="25:37" x14ac:dyDescent="0.3">
      <c r="Y955" s="19" t="s">
        <v>18</v>
      </c>
      <c r="Z955" s="19" t="s">
        <v>1544</v>
      </c>
      <c r="AA955" s="19" t="s">
        <v>2508</v>
      </c>
      <c r="AB955" s="15"/>
      <c r="AI955" t="s">
        <v>94</v>
      </c>
      <c r="AJ955" t="s">
        <v>4984</v>
      </c>
      <c r="AK955" t="s">
        <v>3993</v>
      </c>
    </row>
    <row r="956" spans="25:37" x14ac:dyDescent="0.3">
      <c r="Y956" s="14" t="s">
        <v>231</v>
      </c>
      <c r="Z956" s="15" t="s">
        <v>1202</v>
      </c>
      <c r="AA956" s="15" t="s">
        <v>2509</v>
      </c>
      <c r="AB956" s="15"/>
      <c r="AI956" s="21" t="s">
        <v>95</v>
      </c>
      <c r="AJ956" s="21" t="s">
        <v>4985</v>
      </c>
      <c r="AK956" s="21" t="s">
        <v>3994</v>
      </c>
    </row>
    <row r="957" spans="25:37" x14ac:dyDescent="0.3">
      <c r="Y957" s="14" t="s">
        <v>247</v>
      </c>
      <c r="Z957" s="15" t="s">
        <v>482</v>
      </c>
      <c r="AA957" s="15" t="s">
        <v>2510</v>
      </c>
      <c r="AB957" s="15"/>
      <c r="AI957" t="s">
        <v>70</v>
      </c>
      <c r="AJ957" t="s">
        <v>4986</v>
      </c>
      <c r="AK957" t="s">
        <v>3995</v>
      </c>
    </row>
    <row r="958" spans="25:37" x14ac:dyDescent="0.3">
      <c r="Y958" s="14" t="s">
        <v>29</v>
      </c>
      <c r="Z958" s="15" t="s">
        <v>1593</v>
      </c>
      <c r="AA958" s="15" t="s">
        <v>2511</v>
      </c>
      <c r="AB958" s="15"/>
      <c r="AI958" s="21" t="s">
        <v>227</v>
      </c>
      <c r="AJ958" s="21" t="s">
        <v>4987</v>
      </c>
      <c r="AK958" s="21" t="s">
        <v>3996</v>
      </c>
    </row>
    <row r="959" spans="25:37" x14ac:dyDescent="0.3">
      <c r="Y959" s="14" t="s">
        <v>98</v>
      </c>
      <c r="Z959" s="15" t="s">
        <v>99</v>
      </c>
      <c r="AA959" s="15" t="s">
        <v>2512</v>
      </c>
      <c r="AB959" s="15"/>
      <c r="AI959" s="21" t="s">
        <v>227</v>
      </c>
      <c r="AJ959" s="21" t="s">
        <v>4988</v>
      </c>
      <c r="AK959" s="21" t="s">
        <v>3997</v>
      </c>
    </row>
    <row r="960" spans="25:37" x14ac:dyDescent="0.3">
      <c r="Y960" s="14" t="s">
        <v>29</v>
      </c>
      <c r="Z960" s="15" t="s">
        <v>1205</v>
      </c>
      <c r="AA960" s="15" t="s">
        <v>2513</v>
      </c>
      <c r="AB960" s="15"/>
      <c r="AI960" s="21" t="s">
        <v>509</v>
      </c>
      <c r="AJ960" s="21" t="s">
        <v>4989</v>
      </c>
      <c r="AK960" s="21" t="s">
        <v>3998</v>
      </c>
    </row>
    <row r="961" spans="25:37" x14ac:dyDescent="0.3">
      <c r="Y961" s="14" t="s">
        <v>231</v>
      </c>
      <c r="Z961" s="15" t="s">
        <v>1206</v>
      </c>
      <c r="AA961" s="15" t="s">
        <v>2514</v>
      </c>
      <c r="AB961" s="15"/>
      <c r="AI961" s="21" t="s">
        <v>494</v>
      </c>
      <c r="AJ961" s="21" t="s">
        <v>4990</v>
      </c>
      <c r="AK961" s="21" t="s">
        <v>3999</v>
      </c>
    </row>
    <row r="962" spans="25:37" x14ac:dyDescent="0.3">
      <c r="Y962" s="14" t="s">
        <v>231</v>
      </c>
      <c r="Z962" s="15" t="s">
        <v>1207</v>
      </c>
      <c r="AA962" s="15" t="s">
        <v>2515</v>
      </c>
      <c r="AB962" s="15"/>
      <c r="AI962" t="s">
        <v>70</v>
      </c>
      <c r="AJ962" t="s">
        <v>4991</v>
      </c>
      <c r="AK962" t="s">
        <v>4000</v>
      </c>
    </row>
    <row r="963" spans="25:37" x14ac:dyDescent="0.3">
      <c r="Y963" s="14" t="s">
        <v>231</v>
      </c>
      <c r="Z963" s="15" t="s">
        <v>1208</v>
      </c>
      <c r="AA963" s="15" t="s">
        <v>2516</v>
      </c>
      <c r="AB963" s="15"/>
      <c r="AI963" t="s">
        <v>70</v>
      </c>
      <c r="AJ963" t="s">
        <v>4992</v>
      </c>
      <c r="AK963" t="s">
        <v>4001</v>
      </c>
    </row>
    <row r="964" spans="25:37" x14ac:dyDescent="0.3">
      <c r="Y964" s="19" t="s">
        <v>18</v>
      </c>
      <c r="Z964" s="19" t="s">
        <v>269</v>
      </c>
      <c r="AA964" s="19" t="s">
        <v>2517</v>
      </c>
      <c r="AB964" s="15"/>
      <c r="AI964" t="s">
        <v>70</v>
      </c>
      <c r="AJ964" t="s">
        <v>4993</v>
      </c>
      <c r="AK964" t="s">
        <v>4002</v>
      </c>
    </row>
    <row r="965" spans="25:37" x14ac:dyDescent="0.3">
      <c r="Y965" s="14" t="s">
        <v>22</v>
      </c>
      <c r="Z965" s="15" t="s">
        <v>543</v>
      </c>
      <c r="AA965" s="15" t="s">
        <v>2518</v>
      </c>
      <c r="AB965" s="15"/>
      <c r="AI965" s="21" t="s">
        <v>483</v>
      </c>
      <c r="AJ965" s="21" t="s">
        <v>4994</v>
      </c>
      <c r="AK965" s="21" t="s">
        <v>4003</v>
      </c>
    </row>
    <row r="966" spans="25:37" x14ac:dyDescent="0.3">
      <c r="Y966" s="14" t="s">
        <v>13</v>
      </c>
      <c r="Z966" s="15" t="s">
        <v>107</v>
      </c>
      <c r="AA966" s="15" t="s">
        <v>2519</v>
      </c>
      <c r="AB966" s="15"/>
      <c r="AI966" s="21" t="s">
        <v>95</v>
      </c>
      <c r="AJ966" s="21" t="s">
        <v>4995</v>
      </c>
      <c r="AK966" s="21" t="s">
        <v>4004</v>
      </c>
    </row>
    <row r="967" spans="25:37" x14ac:dyDescent="0.3">
      <c r="Y967" s="14" t="s">
        <v>10</v>
      </c>
      <c r="Z967" s="15" t="s">
        <v>1537</v>
      </c>
      <c r="AA967" s="15" t="s">
        <v>2520</v>
      </c>
      <c r="AB967" s="15"/>
      <c r="AI967" s="21" t="s">
        <v>95</v>
      </c>
      <c r="AJ967" s="21" t="s">
        <v>4996</v>
      </c>
      <c r="AK967" s="21" t="s">
        <v>4005</v>
      </c>
    </row>
    <row r="968" spans="25:37" x14ac:dyDescent="0.3">
      <c r="Y968" s="14" t="s">
        <v>10</v>
      </c>
      <c r="Z968" s="15" t="s">
        <v>546</v>
      </c>
      <c r="AA968" s="15" t="s">
        <v>2521</v>
      </c>
      <c r="AB968" s="15"/>
      <c r="AI968" s="21" t="s">
        <v>95</v>
      </c>
      <c r="AJ968" s="21" t="s">
        <v>4997</v>
      </c>
      <c r="AK968" s="21" t="s">
        <v>4006</v>
      </c>
    </row>
    <row r="969" spans="25:37" x14ac:dyDescent="0.3">
      <c r="Y969" s="14" t="s">
        <v>10</v>
      </c>
      <c r="Z969" s="15" t="s">
        <v>100</v>
      </c>
      <c r="AA969" s="15" t="s">
        <v>2522</v>
      </c>
      <c r="AB969" s="15"/>
      <c r="AI969" t="s">
        <v>78</v>
      </c>
      <c r="AJ969" t="s">
        <v>4998</v>
      </c>
      <c r="AK969" t="s">
        <v>4007</v>
      </c>
    </row>
    <row r="970" spans="25:37" x14ac:dyDescent="0.3">
      <c r="Y970" s="14" t="s">
        <v>10</v>
      </c>
      <c r="Z970" s="15" t="s">
        <v>547</v>
      </c>
      <c r="AA970" s="15" t="s">
        <v>2523</v>
      </c>
      <c r="AB970" s="15"/>
      <c r="AI970" t="s">
        <v>69</v>
      </c>
      <c r="AJ970" t="s">
        <v>4999</v>
      </c>
      <c r="AK970" t="s">
        <v>4008</v>
      </c>
    </row>
    <row r="971" spans="25:37" x14ac:dyDescent="0.3">
      <c r="Y971" s="14" t="s">
        <v>10</v>
      </c>
      <c r="Z971" s="15" t="s">
        <v>1549</v>
      </c>
      <c r="AA971" s="15" t="s">
        <v>2524</v>
      </c>
      <c r="AB971" s="15"/>
      <c r="AI971" t="s">
        <v>77</v>
      </c>
      <c r="AJ971" t="s">
        <v>5000</v>
      </c>
      <c r="AK971" t="s">
        <v>4009</v>
      </c>
    </row>
    <row r="972" spans="25:37" x14ac:dyDescent="0.3">
      <c r="Y972" s="14" t="s">
        <v>29</v>
      </c>
      <c r="Z972" s="15" t="s">
        <v>548</v>
      </c>
      <c r="AA972" s="15" t="s">
        <v>2525</v>
      </c>
      <c r="AB972" s="15"/>
      <c r="AI972" t="s">
        <v>94</v>
      </c>
      <c r="AJ972" t="s">
        <v>5001</v>
      </c>
      <c r="AK972" t="s">
        <v>4010</v>
      </c>
    </row>
    <row r="973" spans="25:37" x14ac:dyDescent="0.3">
      <c r="Y973" s="14" t="s">
        <v>248</v>
      </c>
      <c r="Z973" s="15" t="s">
        <v>125</v>
      </c>
      <c r="AA973" s="15" t="s">
        <v>2526</v>
      </c>
      <c r="AB973" s="15"/>
      <c r="AI973" t="s">
        <v>69</v>
      </c>
      <c r="AJ973" t="s">
        <v>5002</v>
      </c>
      <c r="AK973" t="s">
        <v>4011</v>
      </c>
    </row>
    <row r="974" spans="25:37" x14ac:dyDescent="0.3">
      <c r="Y974" s="19" t="s">
        <v>23</v>
      </c>
      <c r="Z974" s="19" t="s">
        <v>271</v>
      </c>
      <c r="AA974" s="19" t="s">
        <v>2527</v>
      </c>
      <c r="AB974" s="15"/>
      <c r="AI974" t="s">
        <v>69</v>
      </c>
      <c r="AJ974" t="s">
        <v>5003</v>
      </c>
      <c r="AK974" t="s">
        <v>4012</v>
      </c>
    </row>
    <row r="975" spans="25:37" x14ac:dyDescent="0.3">
      <c r="Y975" s="14" t="s">
        <v>248</v>
      </c>
      <c r="Z975" s="15" t="s">
        <v>1567</v>
      </c>
      <c r="AA975" s="15" t="s">
        <v>2528</v>
      </c>
      <c r="AB975" s="15"/>
      <c r="AI975" t="s">
        <v>77</v>
      </c>
      <c r="AJ975" t="s">
        <v>5004</v>
      </c>
      <c r="AK975" t="s">
        <v>4013</v>
      </c>
    </row>
    <row r="976" spans="25:37" x14ac:dyDescent="0.3">
      <c r="Y976" s="14" t="s">
        <v>248</v>
      </c>
      <c r="Z976" s="15" t="s">
        <v>272</v>
      </c>
      <c r="AA976" s="15" t="s">
        <v>2529</v>
      </c>
      <c r="AB976" s="15"/>
      <c r="AI976" s="21" t="s">
        <v>491</v>
      </c>
      <c r="AJ976" s="21" t="s">
        <v>5005</v>
      </c>
      <c r="AK976" s="21" t="s">
        <v>4014</v>
      </c>
    </row>
    <row r="977" spans="25:37" x14ac:dyDescent="0.3">
      <c r="Y977" s="14" t="s">
        <v>228</v>
      </c>
      <c r="Z977" s="15" t="s">
        <v>551</v>
      </c>
      <c r="AA977" s="15" t="s">
        <v>2530</v>
      </c>
      <c r="AB977" s="15"/>
      <c r="AI977" s="21" t="s">
        <v>491</v>
      </c>
      <c r="AJ977" s="21" t="s">
        <v>5006</v>
      </c>
      <c r="AK977" s="21" t="s">
        <v>4015</v>
      </c>
    </row>
    <row r="978" spans="25:37" x14ac:dyDescent="0.3">
      <c r="Y978" s="14" t="s">
        <v>29</v>
      </c>
      <c r="Z978" s="15" t="s">
        <v>552</v>
      </c>
      <c r="AA978" s="15" t="s">
        <v>2531</v>
      </c>
      <c r="AB978" s="15"/>
      <c r="AI978" s="21" t="s">
        <v>495</v>
      </c>
      <c r="AJ978" s="21" t="s">
        <v>5007</v>
      </c>
      <c r="AK978" s="21" t="s">
        <v>4016</v>
      </c>
    </row>
    <row r="979" spans="25:37" x14ac:dyDescent="0.3">
      <c r="Y979" s="14" t="s">
        <v>29</v>
      </c>
      <c r="Z979" s="15" t="s">
        <v>553</v>
      </c>
      <c r="AA979" s="15" t="s">
        <v>2532</v>
      </c>
      <c r="AB979" s="15"/>
      <c r="AI979" t="s">
        <v>69</v>
      </c>
      <c r="AJ979" t="s">
        <v>5008</v>
      </c>
      <c r="AK979" t="s">
        <v>4017</v>
      </c>
    </row>
    <row r="980" spans="25:37" x14ac:dyDescent="0.3">
      <c r="Y980" s="14" t="s">
        <v>228</v>
      </c>
      <c r="Z980" s="15" t="s">
        <v>554</v>
      </c>
      <c r="AA980" s="15" t="s">
        <v>2533</v>
      </c>
      <c r="AB980" s="15"/>
      <c r="AI980" t="s">
        <v>77</v>
      </c>
      <c r="AJ980" t="s">
        <v>5009</v>
      </c>
      <c r="AK980" t="s">
        <v>4018</v>
      </c>
    </row>
    <row r="981" spans="25:37" x14ac:dyDescent="0.3">
      <c r="Y981" s="14" t="s">
        <v>233</v>
      </c>
      <c r="Z981" s="15" t="s">
        <v>132</v>
      </c>
      <c r="AA981" s="15" t="s">
        <v>2534</v>
      </c>
      <c r="AB981" s="15"/>
      <c r="AI981" t="s">
        <v>77</v>
      </c>
      <c r="AJ981" t="s">
        <v>5010</v>
      </c>
      <c r="AK981" t="s">
        <v>4019</v>
      </c>
    </row>
    <row r="982" spans="25:37" x14ac:dyDescent="0.3">
      <c r="Y982" s="14" t="s">
        <v>233</v>
      </c>
      <c r="Z982" s="15" t="s">
        <v>134</v>
      </c>
      <c r="AA982" s="15" t="s">
        <v>2535</v>
      </c>
      <c r="AB982" s="15"/>
      <c r="AI982" t="s">
        <v>77</v>
      </c>
      <c r="AJ982" t="s">
        <v>5011</v>
      </c>
      <c r="AK982" t="s">
        <v>4020</v>
      </c>
    </row>
    <row r="983" spans="25:37" x14ac:dyDescent="0.3">
      <c r="Y983" s="14" t="s">
        <v>231</v>
      </c>
      <c r="Z983" s="15" t="s">
        <v>558</v>
      </c>
      <c r="AA983" s="15" t="s">
        <v>2536</v>
      </c>
      <c r="AB983" s="15"/>
      <c r="AI983" t="s">
        <v>69</v>
      </c>
      <c r="AJ983" t="s">
        <v>5012</v>
      </c>
      <c r="AK983" t="s">
        <v>4021</v>
      </c>
    </row>
    <row r="984" spans="25:37" x14ac:dyDescent="0.3">
      <c r="Y984" s="14" t="s">
        <v>231</v>
      </c>
      <c r="Z984" s="15" t="s">
        <v>1211</v>
      </c>
      <c r="AA984" s="15" t="s">
        <v>2537</v>
      </c>
      <c r="AB984" s="15"/>
      <c r="AI984" t="s">
        <v>69</v>
      </c>
      <c r="AJ984" t="s">
        <v>5013</v>
      </c>
      <c r="AK984" t="s">
        <v>4022</v>
      </c>
    </row>
    <row r="985" spans="25:37" x14ac:dyDescent="0.3">
      <c r="Y985" s="14" t="s">
        <v>231</v>
      </c>
      <c r="Z985" s="15" t="s">
        <v>1212</v>
      </c>
      <c r="AA985" s="15" t="s">
        <v>2538</v>
      </c>
      <c r="AB985" s="15"/>
      <c r="AI985" t="s">
        <v>227</v>
      </c>
      <c r="AJ985" t="s">
        <v>5014</v>
      </c>
      <c r="AK985" t="s">
        <v>4023</v>
      </c>
    </row>
    <row r="986" spans="25:37" x14ac:dyDescent="0.3">
      <c r="Y986" s="14" t="s">
        <v>13</v>
      </c>
      <c r="Z986" s="15" t="s">
        <v>136</v>
      </c>
      <c r="AA986" s="15" t="s">
        <v>2539</v>
      </c>
      <c r="AB986" s="15"/>
      <c r="AI986" t="s">
        <v>227</v>
      </c>
      <c r="AJ986" t="s">
        <v>5015</v>
      </c>
      <c r="AK986" t="s">
        <v>4024</v>
      </c>
    </row>
    <row r="987" spans="25:37" x14ac:dyDescent="0.3">
      <c r="Y987" s="14" t="s">
        <v>116</v>
      </c>
      <c r="Z987" s="15" t="s">
        <v>1213</v>
      </c>
      <c r="AA987" s="15" t="s">
        <v>2540</v>
      </c>
      <c r="AB987" s="15"/>
      <c r="AI987" t="s">
        <v>227</v>
      </c>
      <c r="AJ987" t="s">
        <v>5016</v>
      </c>
      <c r="AK987" t="s">
        <v>4025</v>
      </c>
    </row>
    <row r="988" spans="25:37" x14ac:dyDescent="0.3">
      <c r="Y988" s="14" t="s">
        <v>116</v>
      </c>
      <c r="Z988" s="15" t="s">
        <v>1214</v>
      </c>
      <c r="AA988" s="15" t="s">
        <v>2541</v>
      </c>
      <c r="AB988" s="15"/>
      <c r="AI988" s="21" t="s">
        <v>227</v>
      </c>
      <c r="AJ988" s="21" t="s">
        <v>5017</v>
      </c>
      <c r="AK988" s="21" t="s">
        <v>4026</v>
      </c>
    </row>
    <row r="989" spans="25:37" x14ac:dyDescent="0.3">
      <c r="Y989" s="14" t="s">
        <v>248</v>
      </c>
      <c r="Z989" s="15" t="s">
        <v>559</v>
      </c>
      <c r="AA989" s="15" t="s">
        <v>2542</v>
      </c>
      <c r="AB989" s="15"/>
      <c r="AI989" t="s">
        <v>227</v>
      </c>
      <c r="AJ989" t="s">
        <v>5018</v>
      </c>
      <c r="AK989" t="s">
        <v>4027</v>
      </c>
    </row>
    <row r="990" spans="25:37" x14ac:dyDescent="0.3">
      <c r="Y990" s="14" t="s">
        <v>233</v>
      </c>
      <c r="Z990" s="15" t="s">
        <v>1539</v>
      </c>
      <c r="AA990" s="15" t="s">
        <v>2543</v>
      </c>
      <c r="AB990" s="15"/>
      <c r="AI990" t="s">
        <v>227</v>
      </c>
      <c r="AJ990" t="s">
        <v>5019</v>
      </c>
      <c r="AK990" t="s">
        <v>4028</v>
      </c>
    </row>
    <row r="991" spans="25:37" x14ac:dyDescent="0.3">
      <c r="Y991" s="14" t="s">
        <v>231</v>
      </c>
      <c r="Z991" s="15" t="s">
        <v>1215</v>
      </c>
      <c r="AA991" s="15" t="s">
        <v>2544</v>
      </c>
      <c r="AB991" s="15"/>
      <c r="AI991" t="s">
        <v>227</v>
      </c>
      <c r="AJ991" t="s">
        <v>5020</v>
      </c>
      <c r="AK991" t="s">
        <v>4029</v>
      </c>
    </row>
    <row r="992" spans="25:37" x14ac:dyDescent="0.3">
      <c r="Y992" s="14" t="s">
        <v>22</v>
      </c>
      <c r="Z992" s="15" t="s">
        <v>560</v>
      </c>
      <c r="AA992" s="15" t="s">
        <v>2545</v>
      </c>
      <c r="AB992" s="15"/>
      <c r="AI992" s="21" t="s">
        <v>227</v>
      </c>
      <c r="AJ992" s="21" t="s">
        <v>5021</v>
      </c>
      <c r="AK992" s="21" t="s">
        <v>4030</v>
      </c>
    </row>
    <row r="993" spans="25:37" x14ac:dyDescent="0.3">
      <c r="Y993" s="14" t="s">
        <v>231</v>
      </c>
      <c r="Z993" s="15" t="s">
        <v>275</v>
      </c>
      <c r="AA993" s="15" t="s">
        <v>2546</v>
      </c>
      <c r="AB993" s="15"/>
      <c r="AI993" s="21" t="s">
        <v>227</v>
      </c>
      <c r="AJ993" s="21" t="s">
        <v>5022</v>
      </c>
      <c r="AK993" s="21" t="s">
        <v>4031</v>
      </c>
    </row>
    <row r="994" spans="25:37" x14ac:dyDescent="0.3">
      <c r="Y994" s="14" t="s">
        <v>231</v>
      </c>
      <c r="Z994" s="15" t="s">
        <v>562</v>
      </c>
      <c r="AA994" s="15" t="s">
        <v>2547</v>
      </c>
      <c r="AB994" s="15"/>
      <c r="AI994" t="s">
        <v>94</v>
      </c>
      <c r="AJ994" t="s">
        <v>5023</v>
      </c>
      <c r="AK994" t="s">
        <v>4032</v>
      </c>
    </row>
    <row r="995" spans="25:37" x14ac:dyDescent="0.3">
      <c r="Y995" s="14" t="s">
        <v>249</v>
      </c>
      <c r="Z995" s="15" t="s">
        <v>277</v>
      </c>
      <c r="AA995" s="15" t="s">
        <v>2548</v>
      </c>
      <c r="AB995" s="15"/>
      <c r="AI995" s="21" t="s">
        <v>227</v>
      </c>
      <c r="AJ995" s="21" t="s">
        <v>5024</v>
      </c>
      <c r="AK995" s="21" t="s">
        <v>4033</v>
      </c>
    </row>
    <row r="996" spans="25:37" x14ac:dyDescent="0.3">
      <c r="Y996" s="14" t="s">
        <v>233</v>
      </c>
      <c r="Z996" s="15" t="s">
        <v>564</v>
      </c>
      <c r="AA996" s="15" t="s">
        <v>2549</v>
      </c>
      <c r="AB996" s="15"/>
      <c r="AI996" s="21" t="s">
        <v>227</v>
      </c>
      <c r="AJ996" s="21" t="s">
        <v>5025</v>
      </c>
      <c r="AK996" s="21" t="s">
        <v>4034</v>
      </c>
    </row>
    <row r="997" spans="25:37" x14ac:dyDescent="0.3">
      <c r="Y997" s="14" t="s">
        <v>233</v>
      </c>
      <c r="Z997" s="15" t="s">
        <v>565</v>
      </c>
      <c r="AA997" s="15" t="s">
        <v>2550</v>
      </c>
      <c r="AB997" s="15"/>
      <c r="AI997" t="s">
        <v>227</v>
      </c>
      <c r="AJ997" t="s">
        <v>5026</v>
      </c>
      <c r="AK997" t="s">
        <v>4035</v>
      </c>
    </row>
    <row r="998" spans="25:37" x14ac:dyDescent="0.3">
      <c r="Y998" s="14" t="s">
        <v>231</v>
      </c>
      <c r="Z998" s="15" t="s">
        <v>1216</v>
      </c>
      <c r="AA998" s="15" t="s">
        <v>2551</v>
      </c>
      <c r="AB998" s="15"/>
      <c r="AI998" t="s">
        <v>227</v>
      </c>
      <c r="AJ998" t="s">
        <v>5027</v>
      </c>
      <c r="AK998" t="s">
        <v>4036</v>
      </c>
    </row>
    <row r="999" spans="25:37" x14ac:dyDescent="0.3">
      <c r="Y999" s="14" t="s">
        <v>231</v>
      </c>
      <c r="Z999" s="15" t="s">
        <v>1217</v>
      </c>
      <c r="AA999" s="15" t="s">
        <v>2552</v>
      </c>
      <c r="AB999" s="15"/>
      <c r="AI999" t="s">
        <v>227</v>
      </c>
      <c r="AJ999" t="s">
        <v>5028</v>
      </c>
      <c r="AK999" t="s">
        <v>4037</v>
      </c>
    </row>
    <row r="1000" spans="25:37" x14ac:dyDescent="0.3">
      <c r="Y1000" s="14" t="s">
        <v>16</v>
      </c>
      <c r="Z1000" s="15" t="s">
        <v>1557</v>
      </c>
      <c r="AA1000" s="15" t="s">
        <v>2553</v>
      </c>
      <c r="AB1000" s="15"/>
      <c r="AI1000" s="21" t="s">
        <v>227</v>
      </c>
      <c r="AJ1000" s="21" t="s">
        <v>5029</v>
      </c>
      <c r="AK1000" s="21" t="s">
        <v>4038</v>
      </c>
    </row>
    <row r="1001" spans="25:37" x14ac:dyDescent="0.3">
      <c r="Y1001" s="14" t="s">
        <v>16</v>
      </c>
      <c r="Z1001" s="15" t="s">
        <v>1218</v>
      </c>
      <c r="AA1001" s="15" t="s">
        <v>2554</v>
      </c>
      <c r="AB1001" s="15"/>
      <c r="AI1001" s="21" t="s">
        <v>227</v>
      </c>
      <c r="AJ1001" s="21" t="s">
        <v>5030</v>
      </c>
      <c r="AK1001" s="21" t="s">
        <v>4039</v>
      </c>
    </row>
    <row r="1002" spans="25:37" x14ac:dyDescent="0.3">
      <c r="Y1002" s="14" t="s">
        <v>16</v>
      </c>
      <c r="Z1002" s="15" t="s">
        <v>1553</v>
      </c>
      <c r="AA1002" s="15" t="s">
        <v>2555</v>
      </c>
      <c r="AB1002" s="15"/>
      <c r="AI1002" t="s">
        <v>227</v>
      </c>
      <c r="AJ1002" t="s">
        <v>5031</v>
      </c>
      <c r="AK1002" t="s">
        <v>4040</v>
      </c>
    </row>
    <row r="1003" spans="25:37" x14ac:dyDescent="0.3">
      <c r="Y1003" s="14" t="s">
        <v>16</v>
      </c>
      <c r="Z1003" s="15" t="s">
        <v>1552</v>
      </c>
      <c r="AA1003" s="15" t="s">
        <v>2556</v>
      </c>
      <c r="AB1003" s="15"/>
      <c r="AI1003" t="s">
        <v>227</v>
      </c>
      <c r="AJ1003" t="s">
        <v>5032</v>
      </c>
      <c r="AK1003" t="s">
        <v>4041</v>
      </c>
    </row>
    <row r="1004" spans="25:37" x14ac:dyDescent="0.3">
      <c r="Y1004" s="14" t="s">
        <v>16</v>
      </c>
      <c r="Z1004" s="15" t="s">
        <v>1551</v>
      </c>
      <c r="AA1004" s="15" t="s">
        <v>2557</v>
      </c>
      <c r="AB1004" s="15"/>
      <c r="AI1004" t="s">
        <v>227</v>
      </c>
      <c r="AJ1004" t="s">
        <v>5033</v>
      </c>
      <c r="AK1004" t="s">
        <v>4042</v>
      </c>
    </row>
    <row r="1005" spans="25:37" x14ac:dyDescent="0.3">
      <c r="Y1005" s="14" t="s">
        <v>16</v>
      </c>
      <c r="Z1005" s="15" t="s">
        <v>1543</v>
      </c>
      <c r="AA1005" s="15" t="s">
        <v>2558</v>
      </c>
      <c r="AB1005" s="15"/>
      <c r="AI1005" t="s">
        <v>227</v>
      </c>
      <c r="AJ1005" t="s">
        <v>5034</v>
      </c>
      <c r="AK1005" t="s">
        <v>4043</v>
      </c>
    </row>
    <row r="1006" spans="25:37" x14ac:dyDescent="0.3">
      <c r="Y1006" s="14" t="s">
        <v>16</v>
      </c>
      <c r="Z1006" s="15" t="s">
        <v>1540</v>
      </c>
      <c r="AA1006" s="15" t="s">
        <v>2559</v>
      </c>
      <c r="AB1006" s="15"/>
      <c r="AI1006" t="s">
        <v>227</v>
      </c>
      <c r="AJ1006" t="s">
        <v>5035</v>
      </c>
      <c r="AK1006" t="s">
        <v>4044</v>
      </c>
    </row>
    <row r="1007" spans="25:37" x14ac:dyDescent="0.3">
      <c r="Y1007" s="14" t="s">
        <v>16</v>
      </c>
      <c r="Z1007" s="15" t="s">
        <v>1541</v>
      </c>
      <c r="AA1007" s="15" t="s">
        <v>2560</v>
      </c>
      <c r="AB1007" s="15"/>
      <c r="AI1007" t="s">
        <v>227</v>
      </c>
      <c r="AJ1007" t="s">
        <v>5036</v>
      </c>
      <c r="AK1007" t="s">
        <v>4045</v>
      </c>
    </row>
    <row r="1008" spans="25:37" x14ac:dyDescent="0.3">
      <c r="Y1008" s="14" t="s">
        <v>112</v>
      </c>
      <c r="Z1008" s="15" t="s">
        <v>1219</v>
      </c>
      <c r="AA1008" s="15" t="s">
        <v>2561</v>
      </c>
      <c r="AB1008" s="15"/>
      <c r="AI1008" t="s">
        <v>227</v>
      </c>
      <c r="AJ1008" t="s">
        <v>5037</v>
      </c>
      <c r="AK1008" t="s">
        <v>4046</v>
      </c>
    </row>
    <row r="1009" spans="25:37" x14ac:dyDescent="0.3">
      <c r="Y1009" s="14" t="s">
        <v>231</v>
      </c>
      <c r="Z1009" s="15" t="s">
        <v>1220</v>
      </c>
      <c r="AA1009" s="15" t="s">
        <v>2562</v>
      </c>
      <c r="AB1009" s="15"/>
      <c r="AI1009" s="21" t="s">
        <v>227</v>
      </c>
      <c r="AJ1009" s="21" t="s">
        <v>5038</v>
      </c>
      <c r="AK1009" s="21" t="s">
        <v>4047</v>
      </c>
    </row>
    <row r="1010" spans="25:37" x14ac:dyDescent="0.3">
      <c r="Y1010" s="14" t="s">
        <v>22</v>
      </c>
      <c r="Z1010" s="15" t="s">
        <v>150</v>
      </c>
      <c r="AA1010" s="15" t="s">
        <v>2563</v>
      </c>
      <c r="AB1010" s="15"/>
      <c r="AI1010" t="s">
        <v>227</v>
      </c>
      <c r="AJ1010" t="s">
        <v>5039</v>
      </c>
      <c r="AK1010" t="s">
        <v>4048</v>
      </c>
    </row>
    <row r="1011" spans="25:37" x14ac:dyDescent="0.3">
      <c r="Y1011" s="14" t="s">
        <v>231</v>
      </c>
      <c r="Z1011" s="15" t="s">
        <v>568</v>
      </c>
      <c r="AA1011" s="15" t="s">
        <v>2565</v>
      </c>
      <c r="AB1011" s="15"/>
      <c r="AI1011" t="s">
        <v>227</v>
      </c>
      <c r="AJ1011" t="s">
        <v>5040</v>
      </c>
      <c r="AK1011" t="s">
        <v>4049</v>
      </c>
    </row>
    <row r="1012" spans="25:37" x14ac:dyDescent="0.3">
      <c r="Y1012" s="14" t="s">
        <v>231</v>
      </c>
      <c r="Z1012" s="15" t="s">
        <v>1235</v>
      </c>
      <c r="AA1012" s="15" t="s">
        <v>2566</v>
      </c>
      <c r="AB1012" s="15"/>
      <c r="AI1012" t="s">
        <v>227</v>
      </c>
      <c r="AJ1012" t="s">
        <v>5041</v>
      </c>
      <c r="AK1012" t="s">
        <v>4050</v>
      </c>
    </row>
    <row r="1013" spans="25:37" x14ac:dyDescent="0.3">
      <c r="Y1013" s="14" t="s">
        <v>231</v>
      </c>
      <c r="Z1013" s="15" t="s">
        <v>1236</v>
      </c>
      <c r="AA1013" s="15" t="s">
        <v>2567</v>
      </c>
      <c r="AB1013" s="15"/>
      <c r="AI1013" t="s">
        <v>227</v>
      </c>
      <c r="AJ1013" t="s">
        <v>5042</v>
      </c>
      <c r="AK1013" t="s">
        <v>4051</v>
      </c>
    </row>
    <row r="1014" spans="25:37" x14ac:dyDescent="0.3">
      <c r="Y1014" s="14" t="s">
        <v>231</v>
      </c>
      <c r="Z1014" s="15" t="s">
        <v>1237</v>
      </c>
      <c r="AA1014" s="15" t="s">
        <v>2568</v>
      </c>
      <c r="AB1014" s="15"/>
      <c r="AI1014" t="s">
        <v>227</v>
      </c>
      <c r="AJ1014" t="s">
        <v>5043</v>
      </c>
      <c r="AK1014" t="s">
        <v>4052</v>
      </c>
    </row>
    <row r="1015" spans="25:37" x14ac:dyDescent="0.3">
      <c r="Y1015" s="14" t="s">
        <v>231</v>
      </c>
      <c r="Z1015" s="15" t="s">
        <v>1238</v>
      </c>
      <c r="AA1015" s="15" t="s">
        <v>2569</v>
      </c>
      <c r="AB1015" s="15"/>
      <c r="AI1015" t="s">
        <v>227</v>
      </c>
      <c r="AJ1015" t="s">
        <v>5044</v>
      </c>
      <c r="AK1015" t="s">
        <v>4053</v>
      </c>
    </row>
    <row r="1016" spans="25:37" x14ac:dyDescent="0.3">
      <c r="Y1016" s="14" t="s">
        <v>9</v>
      </c>
      <c r="Z1016" s="15" t="s">
        <v>569</v>
      </c>
      <c r="AA1016" s="15" t="s">
        <v>2570</v>
      </c>
      <c r="AB1016" s="15"/>
      <c r="AI1016" t="s">
        <v>227</v>
      </c>
      <c r="AJ1016" t="s">
        <v>4379</v>
      </c>
      <c r="AK1016" t="s">
        <v>4054</v>
      </c>
    </row>
    <row r="1017" spans="25:37" x14ac:dyDescent="0.3">
      <c r="Y1017" s="14" t="s">
        <v>247</v>
      </c>
      <c r="Z1017" s="15" t="s">
        <v>570</v>
      </c>
      <c r="AA1017" s="15" t="s">
        <v>2571</v>
      </c>
      <c r="AB1017" s="15"/>
      <c r="AI1017" s="21" t="s">
        <v>227</v>
      </c>
      <c r="AJ1017" s="21" t="s">
        <v>5045</v>
      </c>
      <c r="AK1017" s="21" t="s">
        <v>4055</v>
      </c>
    </row>
    <row r="1018" spans="25:37" x14ac:dyDescent="0.3">
      <c r="Y1018" s="14" t="s">
        <v>232</v>
      </c>
      <c r="Z1018" s="15" t="s">
        <v>213</v>
      </c>
      <c r="AA1018" s="15" t="s">
        <v>2572</v>
      </c>
      <c r="AB1018" s="15"/>
      <c r="AI1018" s="21" t="s">
        <v>227</v>
      </c>
      <c r="AJ1018" s="21" t="s">
        <v>5046</v>
      </c>
      <c r="AK1018" s="21" t="s">
        <v>4056</v>
      </c>
    </row>
    <row r="1019" spans="25:37" x14ac:dyDescent="0.3">
      <c r="Y1019" s="14" t="s">
        <v>22</v>
      </c>
      <c r="Z1019" s="15" t="s">
        <v>571</v>
      </c>
      <c r="AA1019" s="15" t="s">
        <v>2573</v>
      </c>
      <c r="AB1019" s="15"/>
      <c r="AI1019" s="21" t="s">
        <v>227</v>
      </c>
      <c r="AJ1019" s="21" t="s">
        <v>5047</v>
      </c>
      <c r="AK1019" s="21" t="s">
        <v>4057</v>
      </c>
    </row>
    <row r="1020" spans="25:37" x14ac:dyDescent="0.3">
      <c r="Y1020" s="14" t="s">
        <v>10</v>
      </c>
      <c r="Z1020" s="15" t="s">
        <v>572</v>
      </c>
      <c r="AA1020" s="15" t="s">
        <v>2574</v>
      </c>
      <c r="AB1020" s="15"/>
      <c r="AI1020" t="s">
        <v>227</v>
      </c>
      <c r="AJ1020" t="s">
        <v>5048</v>
      </c>
      <c r="AK1020" t="s">
        <v>4058</v>
      </c>
    </row>
    <row r="1021" spans="25:37" x14ac:dyDescent="0.3">
      <c r="Y1021" s="14" t="s">
        <v>231</v>
      </c>
      <c r="Z1021" s="15" t="s">
        <v>1240</v>
      </c>
      <c r="AA1021" s="15" t="s">
        <v>2575</v>
      </c>
      <c r="AB1021" s="15"/>
      <c r="AI1021" s="21" t="s">
        <v>227</v>
      </c>
      <c r="AJ1021" s="21" t="s">
        <v>5049</v>
      </c>
      <c r="AK1021" s="21" t="s">
        <v>4059</v>
      </c>
    </row>
    <row r="1022" spans="25:37" x14ac:dyDescent="0.3">
      <c r="Y1022" s="14" t="s">
        <v>15</v>
      </c>
      <c r="Z1022" s="15" t="s">
        <v>89</v>
      </c>
      <c r="AA1022" s="15" t="s">
        <v>2576</v>
      </c>
      <c r="AB1022" s="15"/>
      <c r="AI1022" s="21" t="s">
        <v>227</v>
      </c>
      <c r="AJ1022" s="21" t="s">
        <v>5050</v>
      </c>
      <c r="AK1022" s="21" t="s">
        <v>4060</v>
      </c>
    </row>
    <row r="1023" spans="25:37" x14ac:dyDescent="0.3">
      <c r="Y1023" s="14" t="s">
        <v>10</v>
      </c>
      <c r="Z1023" s="15" t="s">
        <v>1559</v>
      </c>
      <c r="AA1023" s="15" t="s">
        <v>2577</v>
      </c>
      <c r="AB1023" s="15"/>
      <c r="AI1023" s="21" t="s">
        <v>227</v>
      </c>
      <c r="AJ1023" s="21" t="s">
        <v>5051</v>
      </c>
      <c r="AK1023" s="21" t="s">
        <v>4061</v>
      </c>
    </row>
    <row r="1024" spans="25:37" x14ac:dyDescent="0.3">
      <c r="Y1024" s="14" t="s">
        <v>231</v>
      </c>
      <c r="Z1024" s="15" t="s">
        <v>1564</v>
      </c>
      <c r="AA1024" s="15" t="s">
        <v>2578</v>
      </c>
      <c r="AB1024" s="15"/>
      <c r="AI1024" s="21" t="s">
        <v>227</v>
      </c>
      <c r="AJ1024" s="21" t="s">
        <v>5052</v>
      </c>
      <c r="AK1024" s="21" t="s">
        <v>4062</v>
      </c>
    </row>
    <row r="1025" spans="25:37" x14ac:dyDescent="0.3">
      <c r="Y1025" s="14" t="s">
        <v>10</v>
      </c>
      <c r="Z1025" s="15" t="s">
        <v>576</v>
      </c>
      <c r="AA1025" s="15" t="s">
        <v>2579</v>
      </c>
      <c r="AB1025" s="15"/>
      <c r="AI1025" s="21" t="s">
        <v>227</v>
      </c>
      <c r="AJ1025" s="21" t="s">
        <v>5053</v>
      </c>
      <c r="AK1025" s="21" t="s">
        <v>4063</v>
      </c>
    </row>
    <row r="1026" spans="25:37" x14ac:dyDescent="0.3">
      <c r="Y1026" s="14" t="s">
        <v>232</v>
      </c>
      <c r="Z1026" s="15" t="s">
        <v>1595</v>
      </c>
      <c r="AA1026" s="15" t="s">
        <v>2580</v>
      </c>
      <c r="AB1026" s="15"/>
      <c r="AI1026" s="21" t="s">
        <v>227</v>
      </c>
      <c r="AJ1026" s="21" t="s">
        <v>5054</v>
      </c>
      <c r="AK1026" s="21" t="s">
        <v>4064</v>
      </c>
    </row>
    <row r="1027" spans="25:37" x14ac:dyDescent="0.3">
      <c r="Y1027" s="14" t="s">
        <v>231</v>
      </c>
      <c r="Z1027" s="15" t="s">
        <v>577</v>
      </c>
      <c r="AA1027" s="15" t="s">
        <v>2581</v>
      </c>
      <c r="AB1027" s="15"/>
      <c r="AI1027" s="21" t="s">
        <v>227</v>
      </c>
      <c r="AJ1027" s="21" t="s">
        <v>5055</v>
      </c>
      <c r="AK1027" s="21" t="s">
        <v>4065</v>
      </c>
    </row>
    <row r="1028" spans="25:37" x14ac:dyDescent="0.3">
      <c r="Y1028" s="14" t="s">
        <v>232</v>
      </c>
      <c r="Z1028" s="15" t="s">
        <v>578</v>
      </c>
      <c r="AA1028" s="15" t="s">
        <v>2582</v>
      </c>
      <c r="AB1028" s="15"/>
      <c r="AI1028" s="21" t="s">
        <v>227</v>
      </c>
      <c r="AJ1028" s="21" t="s">
        <v>5056</v>
      </c>
      <c r="AK1028" s="21" t="s">
        <v>4066</v>
      </c>
    </row>
    <row r="1029" spans="25:37" x14ac:dyDescent="0.3">
      <c r="Y1029" s="14" t="s">
        <v>232</v>
      </c>
      <c r="Z1029" s="15" t="s">
        <v>579</v>
      </c>
      <c r="AA1029" s="15" t="s">
        <v>2583</v>
      </c>
      <c r="AB1029" s="15"/>
      <c r="AI1029" s="21" t="s">
        <v>227</v>
      </c>
      <c r="AJ1029" s="21" t="s">
        <v>5057</v>
      </c>
      <c r="AK1029" s="21" t="s">
        <v>4067</v>
      </c>
    </row>
    <row r="1030" spans="25:37" x14ac:dyDescent="0.3">
      <c r="Y1030" s="14" t="s">
        <v>231</v>
      </c>
      <c r="Z1030" s="15" t="s">
        <v>1241</v>
      </c>
      <c r="AA1030" s="15" t="s">
        <v>2584</v>
      </c>
      <c r="AB1030" s="15"/>
      <c r="AI1030" s="21" t="s">
        <v>227</v>
      </c>
      <c r="AJ1030" s="21" t="s">
        <v>5058</v>
      </c>
      <c r="AK1030" s="21" t="s">
        <v>4068</v>
      </c>
    </row>
    <row r="1031" spans="25:37" x14ac:dyDescent="0.3">
      <c r="Y1031" s="19" t="s">
        <v>23</v>
      </c>
      <c r="Z1031" s="19" t="s">
        <v>282</v>
      </c>
      <c r="AA1031" s="19" t="s">
        <v>2585</v>
      </c>
      <c r="AB1031" s="15"/>
      <c r="AI1031" t="s">
        <v>227</v>
      </c>
      <c r="AJ1031" t="s">
        <v>5059</v>
      </c>
      <c r="AK1031" t="s">
        <v>4069</v>
      </c>
    </row>
    <row r="1032" spans="25:37" x14ac:dyDescent="0.3">
      <c r="Y1032" s="14" t="s">
        <v>231</v>
      </c>
      <c r="Z1032" s="15" t="s">
        <v>1242</v>
      </c>
      <c r="AA1032" s="15" t="s">
        <v>2586</v>
      </c>
      <c r="AB1032" s="15"/>
      <c r="AI1032" t="s">
        <v>227</v>
      </c>
      <c r="AJ1032" t="s">
        <v>5060</v>
      </c>
      <c r="AK1032" t="s">
        <v>4070</v>
      </c>
    </row>
    <row r="1033" spans="25:37" x14ac:dyDescent="0.3">
      <c r="Y1033" s="14" t="s">
        <v>231</v>
      </c>
      <c r="Z1033" s="15" t="s">
        <v>1243</v>
      </c>
      <c r="AA1033" s="15" t="s">
        <v>2587</v>
      </c>
      <c r="AB1033" s="15"/>
      <c r="AI1033" t="s">
        <v>227</v>
      </c>
      <c r="AJ1033" t="s">
        <v>5061</v>
      </c>
      <c r="AK1033" t="s">
        <v>4071</v>
      </c>
    </row>
    <row r="1034" spans="25:37" x14ac:dyDescent="0.3">
      <c r="Y1034" s="14" t="s">
        <v>118</v>
      </c>
      <c r="Z1034" s="15" t="s">
        <v>1244</v>
      </c>
      <c r="AA1034" s="15" t="s">
        <v>2588</v>
      </c>
      <c r="AB1034" s="15"/>
      <c r="AI1034" t="s">
        <v>227</v>
      </c>
      <c r="AJ1034" t="s">
        <v>5062</v>
      </c>
      <c r="AK1034" t="s">
        <v>4072</v>
      </c>
    </row>
    <row r="1035" spans="25:37" x14ac:dyDescent="0.3">
      <c r="Y1035" s="14" t="s">
        <v>231</v>
      </c>
      <c r="Z1035" s="15" t="s">
        <v>1245</v>
      </c>
      <c r="AA1035" s="15" t="s">
        <v>2589</v>
      </c>
      <c r="AB1035" s="15"/>
      <c r="AI1035" t="s">
        <v>227</v>
      </c>
      <c r="AJ1035" t="s">
        <v>5063</v>
      </c>
      <c r="AK1035" t="s">
        <v>4073</v>
      </c>
    </row>
    <row r="1036" spans="25:37" x14ac:dyDescent="0.3">
      <c r="Y1036" s="14" t="s">
        <v>231</v>
      </c>
      <c r="Z1036" s="15" t="s">
        <v>1246</v>
      </c>
      <c r="AA1036" s="15" t="s">
        <v>2590</v>
      </c>
      <c r="AB1036" s="15"/>
      <c r="AI1036" t="s">
        <v>227</v>
      </c>
      <c r="AJ1036" t="s">
        <v>5064</v>
      </c>
      <c r="AK1036" t="s">
        <v>4074</v>
      </c>
    </row>
    <row r="1037" spans="25:37" x14ac:dyDescent="0.3">
      <c r="Y1037" s="14" t="s">
        <v>1380</v>
      </c>
      <c r="Z1037" s="15" t="s">
        <v>567</v>
      </c>
      <c r="AA1037" s="15" t="s">
        <v>2591</v>
      </c>
      <c r="AB1037" s="15"/>
      <c r="AI1037" t="s">
        <v>227</v>
      </c>
      <c r="AJ1037" t="s">
        <v>5065</v>
      </c>
      <c r="AK1037" t="s">
        <v>4075</v>
      </c>
    </row>
    <row r="1038" spans="25:37" x14ac:dyDescent="0.3">
      <c r="Y1038" s="14" t="s">
        <v>9</v>
      </c>
      <c r="Z1038" s="15" t="s">
        <v>155</v>
      </c>
      <c r="AA1038" s="15" t="s">
        <v>2592</v>
      </c>
      <c r="AB1038" s="15"/>
      <c r="AI1038" t="s">
        <v>227</v>
      </c>
      <c r="AJ1038" t="s">
        <v>5066</v>
      </c>
      <c r="AK1038" t="s">
        <v>4076</v>
      </c>
    </row>
    <row r="1039" spans="25:37" x14ac:dyDescent="0.3">
      <c r="Y1039" s="14" t="s">
        <v>231</v>
      </c>
      <c r="Z1039" s="15" t="s">
        <v>589</v>
      </c>
      <c r="AA1039" s="15" t="s">
        <v>2593</v>
      </c>
      <c r="AB1039" s="15"/>
      <c r="AI1039" t="s">
        <v>227</v>
      </c>
      <c r="AJ1039" t="s">
        <v>5067</v>
      </c>
      <c r="AK1039" t="s">
        <v>4077</v>
      </c>
    </row>
    <row r="1040" spans="25:37" x14ac:dyDescent="0.3">
      <c r="Y1040" s="14" t="s">
        <v>232</v>
      </c>
      <c r="Z1040" s="15" t="s">
        <v>590</v>
      </c>
      <c r="AA1040" s="15" t="s">
        <v>2594</v>
      </c>
      <c r="AB1040" s="15"/>
      <c r="AI1040" t="s">
        <v>227</v>
      </c>
      <c r="AJ1040" t="s">
        <v>5068</v>
      </c>
      <c r="AK1040" t="s">
        <v>4078</v>
      </c>
    </row>
    <row r="1041" spans="25:37" x14ac:dyDescent="0.3">
      <c r="Y1041" s="14" t="s">
        <v>9</v>
      </c>
      <c r="Z1041" s="15" t="s">
        <v>591</v>
      </c>
      <c r="AA1041" s="15" t="s">
        <v>2595</v>
      </c>
      <c r="AB1041" s="15"/>
      <c r="AI1041" t="s">
        <v>227</v>
      </c>
      <c r="AJ1041" t="s">
        <v>5069</v>
      </c>
      <c r="AK1041" t="s">
        <v>4079</v>
      </c>
    </row>
    <row r="1042" spans="25:37" x14ac:dyDescent="0.3">
      <c r="Y1042" s="14" t="s">
        <v>231</v>
      </c>
      <c r="Z1042" s="15" t="s">
        <v>1251</v>
      </c>
      <c r="AA1042" s="15" t="s">
        <v>2596</v>
      </c>
      <c r="AB1042" s="15"/>
      <c r="AI1042" t="s">
        <v>227</v>
      </c>
      <c r="AJ1042" t="s">
        <v>5070</v>
      </c>
      <c r="AK1042" t="s">
        <v>4080</v>
      </c>
    </row>
    <row r="1043" spans="25:37" x14ac:dyDescent="0.3">
      <c r="Y1043" s="14" t="s">
        <v>1389</v>
      </c>
      <c r="Z1043" s="15" t="s">
        <v>288</v>
      </c>
      <c r="AA1043" s="15" t="s">
        <v>2597</v>
      </c>
      <c r="AB1043" s="15"/>
      <c r="AI1043" t="s">
        <v>227</v>
      </c>
      <c r="AJ1043" t="s">
        <v>5071</v>
      </c>
      <c r="AK1043" t="s">
        <v>4081</v>
      </c>
    </row>
    <row r="1044" spans="25:37" x14ac:dyDescent="0.3">
      <c r="Y1044" s="14" t="s">
        <v>9</v>
      </c>
      <c r="Z1044" s="15" t="s">
        <v>358</v>
      </c>
      <c r="AA1044" s="15" t="s">
        <v>2598</v>
      </c>
      <c r="AB1044" s="15"/>
      <c r="AI1044" t="s">
        <v>227</v>
      </c>
      <c r="AJ1044" t="s">
        <v>5072</v>
      </c>
      <c r="AK1044" t="s">
        <v>4082</v>
      </c>
    </row>
    <row r="1045" spans="25:37" x14ac:dyDescent="0.3">
      <c r="Y1045" s="14" t="s">
        <v>9</v>
      </c>
      <c r="Z1045" s="15" t="s">
        <v>359</v>
      </c>
      <c r="AA1045" s="15" t="s">
        <v>2599</v>
      </c>
      <c r="AB1045" s="15"/>
      <c r="AI1045" t="s">
        <v>227</v>
      </c>
      <c r="AJ1045" t="s">
        <v>5073</v>
      </c>
      <c r="AK1045" t="s">
        <v>4083</v>
      </c>
    </row>
    <row r="1046" spans="25:37" x14ac:dyDescent="0.3">
      <c r="Y1046" s="14" t="s">
        <v>9</v>
      </c>
      <c r="Z1046" s="15" t="s">
        <v>360</v>
      </c>
      <c r="AA1046" s="15" t="s">
        <v>2600</v>
      </c>
      <c r="AB1046" s="15"/>
      <c r="AI1046" t="s">
        <v>227</v>
      </c>
      <c r="AJ1046" t="s">
        <v>5074</v>
      </c>
      <c r="AK1046" t="s">
        <v>4084</v>
      </c>
    </row>
    <row r="1047" spans="25:37" x14ac:dyDescent="0.3">
      <c r="Y1047" s="14" t="s">
        <v>249</v>
      </c>
      <c r="Z1047" s="15" t="s">
        <v>1626</v>
      </c>
      <c r="AA1047" s="15" t="s">
        <v>2601</v>
      </c>
      <c r="AB1047" s="15"/>
      <c r="AI1047" t="s">
        <v>227</v>
      </c>
      <c r="AJ1047" t="s">
        <v>5075</v>
      </c>
      <c r="AK1047" t="s">
        <v>4085</v>
      </c>
    </row>
    <row r="1048" spans="25:37" x14ac:dyDescent="0.3">
      <c r="Y1048" s="14" t="s">
        <v>13</v>
      </c>
      <c r="Z1048" s="15" t="s">
        <v>163</v>
      </c>
      <c r="AA1048" s="15" t="s">
        <v>2602</v>
      </c>
      <c r="AB1048" s="15"/>
      <c r="AI1048" t="s">
        <v>227</v>
      </c>
      <c r="AJ1048" t="s">
        <v>5076</v>
      </c>
      <c r="AK1048" t="s">
        <v>4086</v>
      </c>
    </row>
    <row r="1049" spans="25:37" x14ac:dyDescent="0.3">
      <c r="Y1049" s="14" t="s">
        <v>14</v>
      </c>
      <c r="Z1049" s="15" t="s">
        <v>1256</v>
      </c>
      <c r="AA1049" s="15" t="s">
        <v>2603</v>
      </c>
      <c r="AB1049" s="15"/>
      <c r="AI1049" t="s">
        <v>227</v>
      </c>
      <c r="AJ1049" t="s">
        <v>5077</v>
      </c>
      <c r="AK1049" t="s">
        <v>4087</v>
      </c>
    </row>
    <row r="1050" spans="25:37" x14ac:dyDescent="0.3">
      <c r="Y1050" s="14" t="s">
        <v>12</v>
      </c>
      <c r="Z1050" s="15" t="s">
        <v>1257</v>
      </c>
      <c r="AA1050" s="15" t="s">
        <v>2604</v>
      </c>
      <c r="AB1050" s="15"/>
      <c r="AI1050" t="s">
        <v>227</v>
      </c>
      <c r="AJ1050" t="s">
        <v>5078</v>
      </c>
      <c r="AK1050" t="s">
        <v>4088</v>
      </c>
    </row>
    <row r="1051" spans="25:37" x14ac:dyDescent="0.3">
      <c r="Y1051" s="14" t="s">
        <v>12</v>
      </c>
      <c r="Z1051" s="15" t="s">
        <v>1258</v>
      </c>
      <c r="AA1051" s="15" t="s">
        <v>2605</v>
      </c>
      <c r="AB1051" s="15"/>
      <c r="AI1051" t="s">
        <v>227</v>
      </c>
      <c r="AJ1051" t="s">
        <v>5079</v>
      </c>
      <c r="AK1051" t="s">
        <v>4089</v>
      </c>
    </row>
    <row r="1052" spans="25:37" x14ac:dyDescent="0.3">
      <c r="Y1052" s="14" t="s">
        <v>29</v>
      </c>
      <c r="Z1052" s="15" t="s">
        <v>1260</v>
      </c>
      <c r="AA1052" s="15" t="s">
        <v>2606</v>
      </c>
      <c r="AB1052" s="15"/>
      <c r="AI1052" t="s">
        <v>227</v>
      </c>
      <c r="AJ1052" t="s">
        <v>5080</v>
      </c>
      <c r="AK1052" t="s">
        <v>4090</v>
      </c>
    </row>
    <row r="1053" spans="25:37" x14ac:dyDescent="0.3">
      <c r="Y1053" s="14" t="s">
        <v>247</v>
      </c>
      <c r="Z1053" s="15" t="s">
        <v>594</v>
      </c>
      <c r="AA1053" s="15" t="s">
        <v>2607</v>
      </c>
      <c r="AB1053" s="15"/>
      <c r="AI1053" t="s">
        <v>227</v>
      </c>
      <c r="AJ1053" t="s">
        <v>5081</v>
      </c>
      <c r="AK1053" t="s">
        <v>4091</v>
      </c>
    </row>
    <row r="1054" spans="25:37" x14ac:dyDescent="0.3">
      <c r="Y1054" s="14" t="s">
        <v>118</v>
      </c>
      <c r="Z1054" s="15" t="s">
        <v>1262</v>
      </c>
      <c r="AA1054" s="15" t="s">
        <v>2608</v>
      </c>
      <c r="AB1054" s="15"/>
      <c r="AI1054" t="s">
        <v>227</v>
      </c>
      <c r="AJ1054" t="s">
        <v>5082</v>
      </c>
      <c r="AK1054" t="s">
        <v>4092</v>
      </c>
    </row>
    <row r="1055" spans="25:37" x14ac:dyDescent="0.3">
      <c r="Y1055" s="14" t="s">
        <v>228</v>
      </c>
      <c r="Z1055" s="15" t="s">
        <v>595</v>
      </c>
      <c r="AA1055" s="15" t="s">
        <v>2609</v>
      </c>
      <c r="AB1055" s="15"/>
      <c r="AI1055" t="s">
        <v>227</v>
      </c>
      <c r="AJ1055" t="s">
        <v>5083</v>
      </c>
      <c r="AK1055" t="s">
        <v>4093</v>
      </c>
    </row>
    <row r="1056" spans="25:37" x14ac:dyDescent="0.3">
      <c r="Y1056" s="14" t="s">
        <v>15</v>
      </c>
      <c r="Z1056" s="15" t="s">
        <v>168</v>
      </c>
      <c r="AA1056" s="15" t="s">
        <v>2610</v>
      </c>
      <c r="AB1056" s="15"/>
      <c r="AI1056" t="s">
        <v>227</v>
      </c>
      <c r="AJ1056" t="s">
        <v>5084</v>
      </c>
      <c r="AK1056" t="s">
        <v>4094</v>
      </c>
    </row>
    <row r="1057" spans="25:37" x14ac:dyDescent="0.3">
      <c r="Y1057" s="14" t="s">
        <v>29</v>
      </c>
      <c r="Z1057" s="15" t="s">
        <v>598</v>
      </c>
      <c r="AA1057" s="15" t="s">
        <v>2611</v>
      </c>
      <c r="AB1057" s="15"/>
      <c r="AI1057" s="21" t="s">
        <v>227</v>
      </c>
      <c r="AJ1057" s="21" t="s">
        <v>5085</v>
      </c>
      <c r="AK1057" s="21" t="s">
        <v>4095</v>
      </c>
    </row>
    <row r="1058" spans="25:37" x14ac:dyDescent="0.3">
      <c r="Y1058" s="14" t="s">
        <v>29</v>
      </c>
      <c r="Z1058" s="15" t="s">
        <v>1264</v>
      </c>
      <c r="AA1058" s="15" t="s">
        <v>2612</v>
      </c>
      <c r="AB1058" s="15"/>
      <c r="AI1058" s="21" t="s">
        <v>227</v>
      </c>
      <c r="AJ1058" s="21" t="s">
        <v>5086</v>
      </c>
      <c r="AK1058" s="21" t="s">
        <v>4096</v>
      </c>
    </row>
    <row r="1059" spans="25:37" x14ac:dyDescent="0.3">
      <c r="Y1059" s="14" t="s">
        <v>251</v>
      </c>
      <c r="Z1059" s="15" t="s">
        <v>367</v>
      </c>
      <c r="AA1059" s="15" t="s">
        <v>2613</v>
      </c>
      <c r="AB1059" s="15"/>
      <c r="AI1059" s="21" t="s">
        <v>227</v>
      </c>
      <c r="AJ1059" s="21" t="s">
        <v>5087</v>
      </c>
      <c r="AK1059" s="21" t="s">
        <v>4097</v>
      </c>
    </row>
    <row r="1060" spans="25:37" x14ac:dyDescent="0.3">
      <c r="Y1060" s="14" t="s">
        <v>232</v>
      </c>
      <c r="Z1060" s="15" t="s">
        <v>368</v>
      </c>
      <c r="AA1060" s="15" t="s">
        <v>2614</v>
      </c>
      <c r="AB1060" s="15"/>
      <c r="AI1060" s="21" t="s">
        <v>227</v>
      </c>
      <c r="AJ1060" s="21" t="s">
        <v>5088</v>
      </c>
      <c r="AK1060" s="21" t="s">
        <v>4098</v>
      </c>
    </row>
    <row r="1061" spans="25:37" x14ac:dyDescent="0.3">
      <c r="Y1061" s="14" t="s">
        <v>247</v>
      </c>
      <c r="Z1061" s="15" t="s">
        <v>599</v>
      </c>
      <c r="AA1061" s="15" t="s">
        <v>2615</v>
      </c>
      <c r="AB1061" s="15"/>
      <c r="AI1061" s="21" t="s">
        <v>227</v>
      </c>
      <c r="AJ1061" s="21" t="s">
        <v>5089</v>
      </c>
      <c r="AK1061" s="21" t="s">
        <v>4099</v>
      </c>
    </row>
    <row r="1062" spans="25:37" x14ac:dyDescent="0.3">
      <c r="Y1062" s="14" t="s">
        <v>29</v>
      </c>
      <c r="Z1062" s="15" t="s">
        <v>600</v>
      </c>
      <c r="AA1062" s="15" t="s">
        <v>2616</v>
      </c>
      <c r="AB1062" s="15"/>
      <c r="AI1062" t="s">
        <v>227</v>
      </c>
      <c r="AJ1062" t="s">
        <v>5090</v>
      </c>
      <c r="AK1062" t="s">
        <v>4100</v>
      </c>
    </row>
    <row r="1063" spans="25:37" x14ac:dyDescent="0.3">
      <c r="Y1063" s="14" t="s">
        <v>15</v>
      </c>
      <c r="Z1063" s="15" t="s">
        <v>369</v>
      </c>
      <c r="AA1063" s="15" t="s">
        <v>2617</v>
      </c>
      <c r="AB1063" s="15"/>
      <c r="AI1063" t="s">
        <v>227</v>
      </c>
      <c r="AJ1063" t="s">
        <v>5091</v>
      </c>
      <c r="AK1063" t="s">
        <v>4101</v>
      </c>
    </row>
    <row r="1064" spans="25:37" x14ac:dyDescent="0.3">
      <c r="Y1064" s="14" t="s">
        <v>231</v>
      </c>
      <c r="Z1064" s="15" t="s">
        <v>601</v>
      </c>
      <c r="AA1064" s="15" t="s">
        <v>2618</v>
      </c>
      <c r="AB1064" s="15"/>
      <c r="AI1064" s="21" t="s">
        <v>227</v>
      </c>
      <c r="AJ1064" s="21" t="s">
        <v>5092</v>
      </c>
      <c r="AK1064" s="21" t="s">
        <v>4102</v>
      </c>
    </row>
    <row r="1065" spans="25:37" x14ac:dyDescent="0.3">
      <c r="Y1065" s="14" t="s">
        <v>15</v>
      </c>
      <c r="Z1065" s="15" t="s">
        <v>602</v>
      </c>
      <c r="AA1065" s="15" t="s">
        <v>2619</v>
      </c>
      <c r="AB1065" s="15"/>
      <c r="AI1065" s="21" t="s">
        <v>227</v>
      </c>
      <c r="AJ1065" s="21" t="s">
        <v>5093</v>
      </c>
      <c r="AK1065" s="21" t="s">
        <v>4103</v>
      </c>
    </row>
    <row r="1066" spans="25:37" x14ac:dyDescent="0.3">
      <c r="Y1066" s="14" t="s">
        <v>22</v>
      </c>
      <c r="Z1066" s="15" t="s">
        <v>90</v>
      </c>
      <c r="AA1066" s="15" t="s">
        <v>2620</v>
      </c>
      <c r="AB1066" s="15"/>
      <c r="AI1066" s="21" t="s">
        <v>227</v>
      </c>
      <c r="AJ1066" s="21" t="s">
        <v>5094</v>
      </c>
      <c r="AK1066" s="21" t="s">
        <v>4104</v>
      </c>
    </row>
    <row r="1067" spans="25:37" x14ac:dyDescent="0.3">
      <c r="Y1067" s="14" t="s">
        <v>22</v>
      </c>
      <c r="Z1067" s="15" t="s">
        <v>169</v>
      </c>
      <c r="AA1067" s="15" t="s">
        <v>2621</v>
      </c>
      <c r="AB1067" s="15"/>
      <c r="AI1067" s="21" t="s">
        <v>227</v>
      </c>
      <c r="AJ1067" s="21" t="s">
        <v>5095</v>
      </c>
      <c r="AK1067" s="21" t="s">
        <v>4105</v>
      </c>
    </row>
    <row r="1068" spans="25:37" x14ac:dyDescent="0.3">
      <c r="Y1068" s="14" t="s">
        <v>10</v>
      </c>
      <c r="Z1068" s="15" t="s">
        <v>373</v>
      </c>
      <c r="AA1068" s="15" t="s">
        <v>2622</v>
      </c>
      <c r="AB1068" s="15"/>
      <c r="AI1068" s="21" t="s">
        <v>227</v>
      </c>
      <c r="AJ1068" s="21" t="s">
        <v>5096</v>
      </c>
      <c r="AK1068" s="21" t="s">
        <v>4106</v>
      </c>
    </row>
    <row r="1069" spans="25:37" x14ac:dyDescent="0.3">
      <c r="Y1069" s="14" t="s">
        <v>233</v>
      </c>
      <c r="Z1069" s="15" t="s">
        <v>170</v>
      </c>
      <c r="AA1069" s="15" t="s">
        <v>2623</v>
      </c>
      <c r="AB1069" s="15"/>
      <c r="AI1069" s="21" t="s">
        <v>227</v>
      </c>
      <c r="AJ1069" s="21" t="s">
        <v>5097</v>
      </c>
      <c r="AK1069" s="21" t="s">
        <v>4107</v>
      </c>
    </row>
    <row r="1070" spans="25:37" x14ac:dyDescent="0.3">
      <c r="Y1070" s="14" t="s">
        <v>231</v>
      </c>
      <c r="Z1070" s="15" t="s">
        <v>604</v>
      </c>
      <c r="AA1070" s="15" t="s">
        <v>2624</v>
      </c>
      <c r="AB1070" s="15"/>
      <c r="AI1070" t="s">
        <v>227</v>
      </c>
      <c r="AJ1070" t="s">
        <v>5098</v>
      </c>
      <c r="AK1070" t="s">
        <v>4108</v>
      </c>
    </row>
    <row r="1071" spans="25:37" x14ac:dyDescent="0.3">
      <c r="Y1071" s="14" t="s">
        <v>232</v>
      </c>
      <c r="Z1071" s="15" t="s">
        <v>605</v>
      </c>
      <c r="AA1071" s="15" t="s">
        <v>2625</v>
      </c>
      <c r="AB1071" s="15"/>
      <c r="AI1071" t="s">
        <v>227</v>
      </c>
      <c r="AJ1071" t="s">
        <v>5099</v>
      </c>
      <c r="AK1071" t="s">
        <v>4109</v>
      </c>
    </row>
    <row r="1072" spans="25:37" x14ac:dyDescent="0.3">
      <c r="Y1072" s="14" t="s">
        <v>246</v>
      </c>
      <c r="Z1072" s="15" t="s">
        <v>606</v>
      </c>
      <c r="AA1072" s="15" t="s">
        <v>2626</v>
      </c>
      <c r="AB1072" s="15"/>
      <c r="AI1072" t="s">
        <v>227</v>
      </c>
      <c r="AJ1072" t="s">
        <v>5100</v>
      </c>
      <c r="AK1072" t="s">
        <v>4110</v>
      </c>
    </row>
    <row r="1073" spans="25:37" x14ac:dyDescent="0.3">
      <c r="Y1073" s="14" t="s">
        <v>10</v>
      </c>
      <c r="Z1073" s="15" t="s">
        <v>597</v>
      </c>
      <c r="AA1073" s="15" t="s">
        <v>2627</v>
      </c>
      <c r="AB1073" s="15"/>
      <c r="AI1073" t="s">
        <v>227</v>
      </c>
      <c r="AJ1073" t="s">
        <v>5101</v>
      </c>
      <c r="AK1073" t="s">
        <v>4111</v>
      </c>
    </row>
    <row r="1074" spans="25:37" x14ac:dyDescent="0.3">
      <c r="Y1074" s="14" t="s">
        <v>247</v>
      </c>
      <c r="Z1074" s="15" t="s">
        <v>608</v>
      </c>
      <c r="AA1074" s="15" t="s">
        <v>2628</v>
      </c>
      <c r="AB1074" s="15"/>
      <c r="AI1074" t="s">
        <v>227</v>
      </c>
      <c r="AJ1074" t="s">
        <v>5102</v>
      </c>
      <c r="AK1074" t="s">
        <v>4112</v>
      </c>
    </row>
    <row r="1075" spans="25:37" x14ac:dyDescent="0.3">
      <c r="Y1075" s="14" t="s">
        <v>228</v>
      </c>
      <c r="Z1075" s="15" t="s">
        <v>609</v>
      </c>
      <c r="AA1075" s="15" t="s">
        <v>2630</v>
      </c>
      <c r="AB1075" s="15"/>
      <c r="AI1075" t="s">
        <v>227</v>
      </c>
      <c r="AJ1075" t="s">
        <v>5103</v>
      </c>
      <c r="AK1075" t="s">
        <v>4113</v>
      </c>
    </row>
    <row r="1076" spans="25:37" x14ac:dyDescent="0.3">
      <c r="Y1076" s="14" t="s">
        <v>10</v>
      </c>
      <c r="Z1076" s="15" t="s">
        <v>610</v>
      </c>
      <c r="AA1076" s="15" t="s">
        <v>2631</v>
      </c>
      <c r="AB1076" s="15"/>
      <c r="AI1076" t="s">
        <v>227</v>
      </c>
      <c r="AJ1076" t="s">
        <v>5104</v>
      </c>
      <c r="AK1076" t="s">
        <v>4114</v>
      </c>
    </row>
    <row r="1077" spans="25:37" x14ac:dyDescent="0.3">
      <c r="Y1077" s="14" t="s">
        <v>233</v>
      </c>
      <c r="Z1077" s="15" t="s">
        <v>399</v>
      </c>
      <c r="AA1077" s="15" t="s">
        <v>2632</v>
      </c>
      <c r="AB1077" s="15"/>
      <c r="AI1077" t="s">
        <v>227</v>
      </c>
      <c r="AJ1077" t="s">
        <v>5105</v>
      </c>
      <c r="AK1077" t="s">
        <v>4115</v>
      </c>
    </row>
    <row r="1078" spans="25:37" x14ac:dyDescent="0.3">
      <c r="Y1078" s="14" t="s">
        <v>233</v>
      </c>
      <c r="Z1078" s="15" t="s">
        <v>400</v>
      </c>
      <c r="AA1078" s="15" t="s">
        <v>2633</v>
      </c>
      <c r="AB1078" s="15"/>
      <c r="AI1078" t="s">
        <v>227</v>
      </c>
      <c r="AJ1078" t="s">
        <v>5106</v>
      </c>
      <c r="AK1078" t="s">
        <v>4116</v>
      </c>
    </row>
    <row r="1079" spans="25:37" x14ac:dyDescent="0.3">
      <c r="Y1079" s="14" t="s">
        <v>233</v>
      </c>
      <c r="Z1079" s="15" t="s">
        <v>401</v>
      </c>
      <c r="AA1079" s="15" t="s">
        <v>2634</v>
      </c>
      <c r="AB1079" s="15"/>
      <c r="AI1079" t="s">
        <v>227</v>
      </c>
      <c r="AJ1079" t="s">
        <v>5107</v>
      </c>
      <c r="AK1079" t="s">
        <v>4117</v>
      </c>
    </row>
    <row r="1080" spans="25:37" x14ac:dyDescent="0.3">
      <c r="Y1080" s="14" t="s">
        <v>233</v>
      </c>
      <c r="Z1080" s="15" t="s">
        <v>402</v>
      </c>
      <c r="AA1080" s="15" t="s">
        <v>2635</v>
      </c>
      <c r="AB1080" s="15"/>
      <c r="AI1080" t="s">
        <v>227</v>
      </c>
      <c r="AJ1080" t="s">
        <v>5108</v>
      </c>
      <c r="AK1080" t="s">
        <v>4118</v>
      </c>
    </row>
    <row r="1081" spans="25:37" x14ac:dyDescent="0.3">
      <c r="Y1081" s="20" t="s">
        <v>10</v>
      </c>
      <c r="Z1081" s="21" t="s">
        <v>593</v>
      </c>
      <c r="AA1081" s="21" t="s">
        <v>2636</v>
      </c>
      <c r="AB1081" s="15"/>
      <c r="AI1081" t="s">
        <v>227</v>
      </c>
      <c r="AJ1081" t="s">
        <v>5109</v>
      </c>
      <c r="AK1081" t="s">
        <v>4119</v>
      </c>
    </row>
    <row r="1082" spans="25:37" x14ac:dyDescent="0.3">
      <c r="Y1082" s="20" t="s">
        <v>231</v>
      </c>
      <c r="Z1082" s="21" t="s">
        <v>1268</v>
      </c>
      <c r="AA1082" s="21" t="s">
        <v>2637</v>
      </c>
      <c r="AB1082" s="15"/>
      <c r="AI1082" t="s">
        <v>227</v>
      </c>
      <c r="AJ1082" t="s">
        <v>5110</v>
      </c>
      <c r="AK1082" t="s">
        <v>4120</v>
      </c>
    </row>
    <row r="1083" spans="25:37" x14ac:dyDescent="0.3">
      <c r="Y1083" s="20" t="s">
        <v>231</v>
      </c>
      <c r="Z1083" s="21" t="s">
        <v>1269</v>
      </c>
      <c r="AA1083" s="21" t="s">
        <v>2638</v>
      </c>
      <c r="AB1083" s="15"/>
      <c r="AI1083" s="21" t="s">
        <v>1576</v>
      </c>
      <c r="AJ1083" s="21" t="s">
        <v>5111</v>
      </c>
      <c r="AK1083" s="21" t="s">
        <v>4121</v>
      </c>
    </row>
    <row r="1084" spans="25:37" x14ac:dyDescent="0.3">
      <c r="Y1084" s="20" t="s">
        <v>231</v>
      </c>
      <c r="Z1084" s="21" t="s">
        <v>1270</v>
      </c>
      <c r="AA1084" s="21" t="s">
        <v>2639</v>
      </c>
      <c r="AB1084" s="15"/>
      <c r="AI1084" s="21" t="s">
        <v>227</v>
      </c>
      <c r="AJ1084" s="21" t="s">
        <v>5112</v>
      </c>
      <c r="AK1084" s="21" t="s">
        <v>4122</v>
      </c>
    </row>
    <row r="1085" spans="25:37" x14ac:dyDescent="0.3">
      <c r="Y1085" s="20" t="s">
        <v>231</v>
      </c>
      <c r="Z1085" s="21" t="s">
        <v>1271</v>
      </c>
      <c r="AA1085" s="21" t="s">
        <v>2640</v>
      </c>
      <c r="AB1085" s="15"/>
      <c r="AI1085" s="21" t="s">
        <v>227</v>
      </c>
      <c r="AJ1085" s="21" t="s">
        <v>5113</v>
      </c>
      <c r="AK1085" s="21" t="s">
        <v>4123</v>
      </c>
    </row>
    <row r="1086" spans="25:37" x14ac:dyDescent="0.3">
      <c r="Y1086" s="20" t="s">
        <v>233</v>
      </c>
      <c r="Z1086" s="21" t="s">
        <v>630</v>
      </c>
      <c r="AA1086" s="21" t="s">
        <v>2641</v>
      </c>
      <c r="AB1086" s="15"/>
      <c r="AI1086" s="21" t="s">
        <v>227</v>
      </c>
      <c r="AJ1086" s="21" t="s">
        <v>5114</v>
      </c>
      <c r="AK1086" s="21" t="s">
        <v>4124</v>
      </c>
    </row>
    <row r="1087" spans="25:37" x14ac:dyDescent="0.3">
      <c r="Y1087" s="20" t="s">
        <v>9</v>
      </c>
      <c r="Z1087" s="21" t="s">
        <v>411</v>
      </c>
      <c r="AA1087" s="21" t="s">
        <v>2642</v>
      </c>
      <c r="AB1087" s="15"/>
      <c r="AI1087" s="21" t="s">
        <v>227</v>
      </c>
      <c r="AJ1087" s="21" t="s">
        <v>5115</v>
      </c>
      <c r="AK1087" s="21" t="s">
        <v>4125</v>
      </c>
    </row>
    <row r="1088" spans="25:37" x14ac:dyDescent="0.3">
      <c r="Y1088" s="20" t="s">
        <v>10</v>
      </c>
      <c r="Z1088" s="21" t="s">
        <v>413</v>
      </c>
      <c r="AA1088" s="21" t="s">
        <v>2643</v>
      </c>
      <c r="AB1088" s="15"/>
      <c r="AI1088" t="s">
        <v>227</v>
      </c>
      <c r="AJ1088" t="s">
        <v>5116</v>
      </c>
      <c r="AK1088" t="s">
        <v>4126</v>
      </c>
    </row>
    <row r="1089" spans="25:37" x14ac:dyDescent="0.3">
      <c r="Y1089" s="20" t="s">
        <v>232</v>
      </c>
      <c r="Z1089" s="21" t="s">
        <v>631</v>
      </c>
      <c r="AA1089" s="21" t="s">
        <v>2644</v>
      </c>
      <c r="AB1089" s="15"/>
      <c r="AI1089" t="s">
        <v>227</v>
      </c>
      <c r="AJ1089" t="s">
        <v>5117</v>
      </c>
      <c r="AK1089" t="s">
        <v>4127</v>
      </c>
    </row>
    <row r="1090" spans="25:37" x14ac:dyDescent="0.3">
      <c r="Y1090" s="20" t="s">
        <v>231</v>
      </c>
      <c r="Z1090" s="21" t="s">
        <v>1275</v>
      </c>
      <c r="AA1090" s="21" t="s">
        <v>2645</v>
      </c>
      <c r="AB1090" s="15"/>
      <c r="AI1090" t="s">
        <v>227</v>
      </c>
      <c r="AJ1090" t="s">
        <v>5118</v>
      </c>
      <c r="AK1090" t="s">
        <v>4128</v>
      </c>
    </row>
    <row r="1091" spans="25:37" x14ac:dyDescent="0.3">
      <c r="Y1091" s="20" t="s">
        <v>22</v>
      </c>
      <c r="Z1091" s="21" t="s">
        <v>175</v>
      </c>
      <c r="AA1091" s="21" t="s">
        <v>2646</v>
      </c>
      <c r="AB1091" s="15"/>
      <c r="AI1091" s="21" t="s">
        <v>227</v>
      </c>
      <c r="AJ1091" s="21" t="s">
        <v>5119</v>
      </c>
      <c r="AK1091" s="21" t="s">
        <v>4129</v>
      </c>
    </row>
    <row r="1092" spans="25:37" x14ac:dyDescent="0.3">
      <c r="Y1092" s="20" t="s">
        <v>231</v>
      </c>
      <c r="Z1092" s="21" t="s">
        <v>1276</v>
      </c>
      <c r="AA1092" s="21" t="s">
        <v>2647</v>
      </c>
      <c r="AB1092" s="15"/>
      <c r="AI1092" t="s">
        <v>227</v>
      </c>
      <c r="AJ1092" t="s">
        <v>5120</v>
      </c>
      <c r="AK1092" t="s">
        <v>4130</v>
      </c>
    </row>
    <row r="1093" spans="25:37" x14ac:dyDescent="0.3">
      <c r="Y1093" s="20" t="s">
        <v>249</v>
      </c>
      <c r="Z1093" s="21" t="s">
        <v>632</v>
      </c>
      <c r="AA1093" s="21" t="s">
        <v>2648</v>
      </c>
      <c r="AB1093" s="15"/>
      <c r="AI1093" s="21" t="s">
        <v>227</v>
      </c>
      <c r="AJ1093" s="21" t="s">
        <v>5121</v>
      </c>
      <c r="AK1093" s="21" t="s">
        <v>4131</v>
      </c>
    </row>
    <row r="1094" spans="25:37" x14ac:dyDescent="0.3">
      <c r="Y1094" s="20" t="s">
        <v>231</v>
      </c>
      <c r="Z1094" s="21" t="s">
        <v>1277</v>
      </c>
      <c r="AA1094" s="21" t="s">
        <v>2649</v>
      </c>
      <c r="AB1094" s="15"/>
      <c r="AI1094" s="21" t="s">
        <v>227</v>
      </c>
      <c r="AJ1094" s="21" t="s">
        <v>5122</v>
      </c>
      <c r="AK1094" s="21" t="s">
        <v>4132</v>
      </c>
    </row>
    <row r="1095" spans="25:37" x14ac:dyDescent="0.3">
      <c r="Y1095" s="20" t="s">
        <v>231</v>
      </c>
      <c r="Z1095" s="21" t="s">
        <v>1562</v>
      </c>
      <c r="AA1095" s="21" t="s">
        <v>2650</v>
      </c>
      <c r="AB1095" s="15"/>
      <c r="AI1095" s="21" t="s">
        <v>227</v>
      </c>
      <c r="AJ1095" s="21" t="s">
        <v>5123</v>
      </c>
      <c r="AK1095" s="21" t="s">
        <v>4133</v>
      </c>
    </row>
    <row r="1096" spans="25:37" x14ac:dyDescent="0.3">
      <c r="Y1096" s="20" t="s">
        <v>231</v>
      </c>
      <c r="Z1096" s="21" t="s">
        <v>1278</v>
      </c>
      <c r="AA1096" s="21" t="s">
        <v>2651</v>
      </c>
      <c r="AB1096" s="15"/>
      <c r="AI1096" s="21" t="s">
        <v>227</v>
      </c>
      <c r="AJ1096" s="21" t="s">
        <v>5124</v>
      </c>
      <c r="AK1096" s="21" t="s">
        <v>4134</v>
      </c>
    </row>
    <row r="1097" spans="25:37" x14ac:dyDescent="0.3">
      <c r="Y1097" s="20" t="s">
        <v>10</v>
      </c>
      <c r="Z1097" s="21" t="s">
        <v>633</v>
      </c>
      <c r="AA1097" s="21" t="s">
        <v>2652</v>
      </c>
      <c r="AB1097" s="15"/>
      <c r="AI1097" s="21" t="s">
        <v>227</v>
      </c>
      <c r="AJ1097" s="21" t="s">
        <v>5125</v>
      </c>
      <c r="AK1097" s="21" t="s">
        <v>4135</v>
      </c>
    </row>
    <row r="1098" spans="25:37" x14ac:dyDescent="0.3">
      <c r="Y1098" s="20" t="s">
        <v>10</v>
      </c>
      <c r="Z1098" s="21" t="s">
        <v>634</v>
      </c>
      <c r="AA1098" s="21" t="s">
        <v>2653</v>
      </c>
      <c r="AB1098" s="15"/>
      <c r="AI1098" t="s">
        <v>227</v>
      </c>
      <c r="AJ1098" t="s">
        <v>5126</v>
      </c>
      <c r="AK1098" t="s">
        <v>4136</v>
      </c>
    </row>
    <row r="1099" spans="25:37" x14ac:dyDescent="0.3">
      <c r="Y1099" s="20" t="s">
        <v>228</v>
      </c>
      <c r="Z1099" s="21" t="s">
        <v>1550</v>
      </c>
      <c r="AA1099" s="21" t="s">
        <v>2654</v>
      </c>
      <c r="AB1099" s="15"/>
      <c r="AI1099" t="s">
        <v>227</v>
      </c>
      <c r="AJ1099" t="s">
        <v>5127</v>
      </c>
      <c r="AK1099" t="s">
        <v>4137</v>
      </c>
    </row>
    <row r="1100" spans="25:37" x14ac:dyDescent="0.3">
      <c r="Y1100" s="20" t="s">
        <v>231</v>
      </c>
      <c r="Z1100" s="21" t="s">
        <v>635</v>
      </c>
      <c r="AA1100" s="21" t="s">
        <v>2655</v>
      </c>
      <c r="AB1100" s="15"/>
      <c r="AI1100" s="21" t="s">
        <v>227</v>
      </c>
      <c r="AJ1100" s="21" t="s">
        <v>5128</v>
      </c>
      <c r="AK1100" s="21" t="s">
        <v>4138</v>
      </c>
    </row>
    <row r="1101" spans="25:37" x14ac:dyDescent="0.3">
      <c r="Y1101" s="20" t="s">
        <v>9</v>
      </c>
      <c r="Z1101" s="21" t="s">
        <v>638</v>
      </c>
      <c r="AA1101" s="21" t="s">
        <v>2656</v>
      </c>
      <c r="AB1101" s="15"/>
      <c r="AI1101" s="21" t="s">
        <v>227</v>
      </c>
      <c r="AJ1101" s="21" t="s">
        <v>5129</v>
      </c>
      <c r="AK1101" s="21" t="s">
        <v>4139</v>
      </c>
    </row>
    <row r="1102" spans="25:37" x14ac:dyDescent="0.3">
      <c r="Y1102" s="20" t="s">
        <v>247</v>
      </c>
      <c r="Z1102" s="21" t="s">
        <v>639</v>
      </c>
      <c r="AA1102" s="21" t="s">
        <v>2657</v>
      </c>
      <c r="AB1102" s="15"/>
      <c r="AI1102" s="21" t="s">
        <v>227</v>
      </c>
      <c r="AJ1102" s="21" t="s">
        <v>5130</v>
      </c>
      <c r="AK1102" s="21" t="s">
        <v>4140</v>
      </c>
    </row>
    <row r="1103" spans="25:37" x14ac:dyDescent="0.3">
      <c r="Y1103" s="20" t="s">
        <v>231</v>
      </c>
      <c r="Z1103" s="21" t="s">
        <v>1282</v>
      </c>
      <c r="AA1103" s="21" t="s">
        <v>2659</v>
      </c>
      <c r="AB1103" s="15"/>
      <c r="AI1103" s="21" t="s">
        <v>227</v>
      </c>
      <c r="AJ1103" s="21" t="s">
        <v>5131</v>
      </c>
      <c r="AK1103" s="21" t="s">
        <v>4141</v>
      </c>
    </row>
    <row r="1104" spans="25:37" x14ac:dyDescent="0.3">
      <c r="Y1104" s="20" t="s">
        <v>231</v>
      </c>
      <c r="Z1104" s="21" t="s">
        <v>1283</v>
      </c>
      <c r="AA1104" s="21" t="s">
        <v>2660</v>
      </c>
      <c r="AB1104" s="15"/>
      <c r="AI1104" s="21" t="s">
        <v>227</v>
      </c>
      <c r="AJ1104" s="21" t="s">
        <v>5132</v>
      </c>
      <c r="AK1104" s="21" t="s">
        <v>4142</v>
      </c>
    </row>
    <row r="1105" spans="25:37" x14ac:dyDescent="0.3">
      <c r="Y1105" s="20" t="s">
        <v>232</v>
      </c>
      <c r="Z1105" s="21" t="s">
        <v>640</v>
      </c>
      <c r="AA1105" s="21" t="s">
        <v>2661</v>
      </c>
      <c r="AB1105" s="15"/>
      <c r="AI1105" s="21" t="s">
        <v>227</v>
      </c>
      <c r="AJ1105" s="21" t="s">
        <v>5133</v>
      </c>
      <c r="AK1105" s="21" t="s">
        <v>4143</v>
      </c>
    </row>
    <row r="1106" spans="25:37" x14ac:dyDescent="0.3">
      <c r="Y1106" s="20" t="s">
        <v>230</v>
      </c>
      <c r="Z1106" s="21" t="s">
        <v>1560</v>
      </c>
      <c r="AA1106" s="21" t="s">
        <v>2662</v>
      </c>
      <c r="AB1106" s="15"/>
      <c r="AI1106" s="21" t="s">
        <v>227</v>
      </c>
      <c r="AJ1106" s="21" t="s">
        <v>5134</v>
      </c>
      <c r="AK1106" s="21" t="s">
        <v>4144</v>
      </c>
    </row>
    <row r="1107" spans="25:37" x14ac:dyDescent="0.3">
      <c r="Y1107" s="20" t="s">
        <v>231</v>
      </c>
      <c r="Z1107" s="21" t="s">
        <v>1284</v>
      </c>
      <c r="AA1107" s="21" t="s">
        <v>2664</v>
      </c>
      <c r="AB1107" s="15"/>
      <c r="AI1107" t="s">
        <v>227</v>
      </c>
      <c r="AJ1107" t="s">
        <v>5135</v>
      </c>
      <c r="AK1107" t="s">
        <v>4145</v>
      </c>
    </row>
    <row r="1108" spans="25:37" x14ac:dyDescent="0.3">
      <c r="Y1108" s="20" t="s">
        <v>231</v>
      </c>
      <c r="Z1108" s="21" t="s">
        <v>1285</v>
      </c>
      <c r="AA1108" s="21" t="s">
        <v>2665</v>
      </c>
      <c r="AB1108" s="15"/>
      <c r="AI1108" t="s">
        <v>227</v>
      </c>
      <c r="AJ1108" t="s">
        <v>5136</v>
      </c>
      <c r="AK1108" t="s">
        <v>4146</v>
      </c>
    </row>
    <row r="1109" spans="25:37" x14ac:dyDescent="0.3">
      <c r="Y1109" s="20" t="s">
        <v>15</v>
      </c>
      <c r="Z1109" s="21" t="s">
        <v>641</v>
      </c>
      <c r="AA1109" s="21" t="s">
        <v>2666</v>
      </c>
      <c r="AB1109" s="15"/>
      <c r="AI1109" t="s">
        <v>227</v>
      </c>
      <c r="AJ1109" t="s">
        <v>5137</v>
      </c>
      <c r="AK1109" t="s">
        <v>4147</v>
      </c>
    </row>
    <row r="1110" spans="25:37" x14ac:dyDescent="0.3">
      <c r="Y1110" s="20" t="s">
        <v>10</v>
      </c>
      <c r="Z1110" s="21" t="s">
        <v>426</v>
      </c>
      <c r="AA1110" s="21" t="s">
        <v>2667</v>
      </c>
      <c r="AB1110" s="15"/>
      <c r="AI1110" t="s">
        <v>227</v>
      </c>
      <c r="AJ1110" t="s">
        <v>5138</v>
      </c>
      <c r="AK1110" t="s">
        <v>4148</v>
      </c>
    </row>
    <row r="1111" spans="25:37" x14ac:dyDescent="0.3">
      <c r="Y1111" s="20" t="s">
        <v>248</v>
      </c>
      <c r="Z1111" s="21" t="s">
        <v>427</v>
      </c>
      <c r="AA1111" s="21" t="s">
        <v>2668</v>
      </c>
      <c r="AB1111" s="15"/>
      <c r="AI1111" t="s">
        <v>227</v>
      </c>
      <c r="AJ1111" t="s">
        <v>5139</v>
      </c>
      <c r="AK1111" t="s">
        <v>4149</v>
      </c>
    </row>
    <row r="1112" spans="25:37" x14ac:dyDescent="0.3">
      <c r="Y1112" s="20" t="s">
        <v>15</v>
      </c>
      <c r="Z1112" s="21" t="s">
        <v>642</v>
      </c>
      <c r="AA1112" s="21" t="s">
        <v>2669</v>
      </c>
      <c r="AB1112" s="15"/>
      <c r="AI1112" t="s">
        <v>227</v>
      </c>
      <c r="AJ1112" t="s">
        <v>5140</v>
      </c>
      <c r="AK1112" t="s">
        <v>4150</v>
      </c>
    </row>
    <row r="1113" spans="25:37" x14ac:dyDescent="0.3">
      <c r="Y1113" s="20" t="s">
        <v>15</v>
      </c>
      <c r="Z1113" s="21" t="s">
        <v>643</v>
      </c>
      <c r="AA1113" s="21" t="s">
        <v>2670</v>
      </c>
      <c r="AB1113" s="15"/>
      <c r="AI1113" s="21" t="s">
        <v>227</v>
      </c>
      <c r="AJ1113" s="21" t="s">
        <v>5141</v>
      </c>
      <c r="AK1113" s="21" t="s">
        <v>4151</v>
      </c>
    </row>
    <row r="1114" spans="25:37" x14ac:dyDescent="0.3">
      <c r="Y1114" s="20" t="s">
        <v>231</v>
      </c>
      <c r="Z1114" s="21" t="s">
        <v>644</v>
      </c>
      <c r="AA1114" s="21" t="s">
        <v>2671</v>
      </c>
      <c r="AB1114" s="15"/>
      <c r="AI1114" s="21" t="s">
        <v>227</v>
      </c>
      <c r="AJ1114" s="21" t="s">
        <v>5142</v>
      </c>
      <c r="AK1114" s="21" t="s">
        <v>4152</v>
      </c>
    </row>
    <row r="1115" spans="25:37" x14ac:dyDescent="0.3">
      <c r="Y1115" s="20" t="s">
        <v>10</v>
      </c>
      <c r="Z1115" s="21" t="s">
        <v>1568</v>
      </c>
      <c r="AA1115" s="21" t="s">
        <v>2672</v>
      </c>
      <c r="AB1115" s="15"/>
      <c r="AI1115" t="s">
        <v>227</v>
      </c>
      <c r="AJ1115" t="s">
        <v>5143</v>
      </c>
      <c r="AK1115" t="s">
        <v>4153</v>
      </c>
    </row>
    <row r="1116" spans="25:37" x14ac:dyDescent="0.3">
      <c r="Y1116" s="20" t="s">
        <v>247</v>
      </c>
      <c r="Z1116" s="21" t="s">
        <v>645</v>
      </c>
      <c r="AA1116" s="21" t="s">
        <v>2673</v>
      </c>
      <c r="AB1116" s="15"/>
      <c r="AI1116" t="s">
        <v>227</v>
      </c>
      <c r="AJ1116" t="s">
        <v>5144</v>
      </c>
      <c r="AK1116" t="s">
        <v>4154</v>
      </c>
    </row>
    <row r="1117" spans="25:37" x14ac:dyDescent="0.3">
      <c r="Y1117" s="20" t="s">
        <v>15</v>
      </c>
      <c r="Z1117" s="21" t="s">
        <v>651</v>
      </c>
      <c r="AA1117" s="21" t="s">
        <v>2674</v>
      </c>
      <c r="AB1117" s="15"/>
      <c r="AI1117" s="21" t="s">
        <v>227</v>
      </c>
      <c r="AJ1117" s="21" t="s">
        <v>5145</v>
      </c>
      <c r="AK1117" s="21" t="s">
        <v>4155</v>
      </c>
    </row>
    <row r="1118" spans="25:37" x14ac:dyDescent="0.3">
      <c r="Y1118" s="20" t="s">
        <v>15</v>
      </c>
      <c r="Z1118" s="21" t="s">
        <v>652</v>
      </c>
      <c r="AA1118" s="21" t="s">
        <v>2675</v>
      </c>
      <c r="AB1118" s="15"/>
      <c r="AI1118" s="21" t="s">
        <v>227</v>
      </c>
      <c r="AJ1118" s="21" t="s">
        <v>5146</v>
      </c>
      <c r="AK1118" s="21" t="s">
        <v>4156</v>
      </c>
    </row>
    <row r="1119" spans="25:37" x14ac:dyDescent="0.3">
      <c r="Y1119" s="20" t="s">
        <v>10</v>
      </c>
      <c r="Z1119" s="21" t="s">
        <v>653</v>
      </c>
      <c r="AA1119" s="21" t="s">
        <v>2676</v>
      </c>
      <c r="AB1119" s="15"/>
      <c r="AI1119" t="s">
        <v>227</v>
      </c>
      <c r="AJ1119" t="s">
        <v>5147</v>
      </c>
      <c r="AK1119" t="s">
        <v>4157</v>
      </c>
    </row>
    <row r="1120" spans="25:37" x14ac:dyDescent="0.3">
      <c r="Y1120" s="20" t="s">
        <v>10</v>
      </c>
      <c r="Z1120" s="21" t="s">
        <v>654</v>
      </c>
      <c r="AA1120" s="21" t="s">
        <v>2677</v>
      </c>
      <c r="AB1120" s="15"/>
      <c r="AI1120" t="s">
        <v>227</v>
      </c>
      <c r="AJ1120" t="s">
        <v>5148</v>
      </c>
      <c r="AK1120" t="s">
        <v>4158</v>
      </c>
    </row>
    <row r="1121" spans="25:37" x14ac:dyDescent="0.3">
      <c r="Y1121" s="20" t="s">
        <v>10</v>
      </c>
      <c r="Z1121" s="21" t="s">
        <v>1579</v>
      </c>
      <c r="AA1121" s="21" t="s">
        <v>2678</v>
      </c>
      <c r="AB1121" s="15"/>
      <c r="AI1121" t="s">
        <v>227</v>
      </c>
      <c r="AJ1121" t="s">
        <v>5149</v>
      </c>
      <c r="AK1121" t="s">
        <v>4159</v>
      </c>
    </row>
    <row r="1122" spans="25:37" x14ac:dyDescent="0.3">
      <c r="Y1122" s="20" t="s">
        <v>10</v>
      </c>
      <c r="Z1122" s="21" t="s">
        <v>655</v>
      </c>
      <c r="AA1122" s="21" t="s">
        <v>2679</v>
      </c>
      <c r="AB1122" s="15"/>
      <c r="AI1122" s="21" t="s">
        <v>977</v>
      </c>
      <c r="AJ1122" s="21" t="s">
        <v>5150</v>
      </c>
      <c r="AK1122" s="21" t="s">
        <v>4160</v>
      </c>
    </row>
    <row r="1123" spans="25:37" x14ac:dyDescent="0.3">
      <c r="Y1123" s="20" t="s">
        <v>10</v>
      </c>
      <c r="Z1123" s="21" t="s">
        <v>656</v>
      </c>
      <c r="AA1123" s="21" t="s">
        <v>2680</v>
      </c>
      <c r="AB1123" s="15"/>
      <c r="AI1123" s="21" t="s">
        <v>1585</v>
      </c>
      <c r="AJ1123" s="21" t="s">
        <v>1395</v>
      </c>
      <c r="AK1123" s="21" t="s">
        <v>4161</v>
      </c>
    </row>
    <row r="1124" spans="25:37" x14ac:dyDescent="0.3">
      <c r="Y1124" s="20" t="s">
        <v>10</v>
      </c>
      <c r="Z1124" s="21" t="s">
        <v>657</v>
      </c>
      <c r="AA1124" s="21" t="s">
        <v>2681</v>
      </c>
      <c r="AB1124" s="15"/>
      <c r="AI1124" s="21" t="s">
        <v>1585</v>
      </c>
      <c r="AJ1124" s="21" t="s">
        <v>5151</v>
      </c>
      <c r="AK1124" s="21" t="s">
        <v>4162</v>
      </c>
    </row>
    <row r="1125" spans="25:37" x14ac:dyDescent="0.3">
      <c r="Y1125" s="20" t="s">
        <v>22</v>
      </c>
      <c r="Z1125" s="21" t="s">
        <v>658</v>
      </c>
      <c r="AA1125" s="21" t="s">
        <v>2682</v>
      </c>
      <c r="AB1125" s="15"/>
      <c r="AI1125" s="21" t="s">
        <v>1585</v>
      </c>
      <c r="AJ1125" s="21" t="s">
        <v>89</v>
      </c>
      <c r="AK1125" s="21" t="s">
        <v>4163</v>
      </c>
    </row>
    <row r="1126" spans="25:37" x14ac:dyDescent="0.3">
      <c r="Y1126" s="20" t="s">
        <v>22</v>
      </c>
      <c r="Z1126" s="21" t="s">
        <v>659</v>
      </c>
      <c r="AA1126" s="21" t="s">
        <v>2683</v>
      </c>
      <c r="AB1126" s="15"/>
      <c r="AI1126" s="21" t="s">
        <v>1585</v>
      </c>
      <c r="AJ1126" s="21" t="s">
        <v>362</v>
      </c>
      <c r="AK1126" s="21" t="s">
        <v>4164</v>
      </c>
    </row>
    <row r="1127" spans="25:37" x14ac:dyDescent="0.3">
      <c r="Y1127" s="20" t="s">
        <v>233</v>
      </c>
      <c r="Z1127" s="21" t="s">
        <v>660</v>
      </c>
      <c r="AA1127" s="21" t="s">
        <v>2684</v>
      </c>
      <c r="AB1127" s="15"/>
      <c r="AI1127" s="21" t="s">
        <v>1585</v>
      </c>
      <c r="AJ1127" s="21" t="s">
        <v>5152</v>
      </c>
      <c r="AK1127" s="21" t="s">
        <v>4165</v>
      </c>
    </row>
    <row r="1128" spans="25:37" x14ac:dyDescent="0.3">
      <c r="Y1128" s="20" t="s">
        <v>10</v>
      </c>
      <c r="Z1128" s="21" t="s">
        <v>661</v>
      </c>
      <c r="AA1128" s="21" t="s">
        <v>2685</v>
      </c>
      <c r="AB1128" s="15"/>
      <c r="AI1128" s="21" t="s">
        <v>1585</v>
      </c>
      <c r="AJ1128" s="21" t="s">
        <v>5153</v>
      </c>
      <c r="AK1128" s="21" t="s">
        <v>4166</v>
      </c>
    </row>
    <row r="1129" spans="25:37" x14ac:dyDescent="0.3">
      <c r="Y1129" s="20" t="s">
        <v>247</v>
      </c>
      <c r="Z1129" s="21" t="s">
        <v>662</v>
      </c>
      <c r="AA1129" s="21" t="s">
        <v>2686</v>
      </c>
      <c r="AB1129" s="15"/>
      <c r="AI1129" s="21" t="s">
        <v>1585</v>
      </c>
      <c r="AJ1129" s="21" t="s">
        <v>5154</v>
      </c>
      <c r="AK1129" s="21" t="s">
        <v>4167</v>
      </c>
    </row>
    <row r="1130" spans="25:37" x14ac:dyDescent="0.3">
      <c r="Y1130" s="20" t="s">
        <v>29</v>
      </c>
      <c r="Z1130" s="21" t="s">
        <v>663</v>
      </c>
      <c r="AA1130" s="21" t="s">
        <v>2687</v>
      </c>
      <c r="AB1130" s="15"/>
      <c r="AI1130" s="21" t="s">
        <v>1585</v>
      </c>
      <c r="AJ1130" s="21" t="s">
        <v>5155</v>
      </c>
      <c r="AK1130" s="21" t="s">
        <v>4168</v>
      </c>
    </row>
    <row r="1131" spans="25:37" x14ac:dyDescent="0.3">
      <c r="Y1131" s="20" t="s">
        <v>249</v>
      </c>
      <c r="Z1131" s="21" t="s">
        <v>664</v>
      </c>
      <c r="AA1131" s="21" t="s">
        <v>2688</v>
      </c>
      <c r="AB1131" s="15"/>
      <c r="AI1131" s="21" t="s">
        <v>1585</v>
      </c>
      <c r="AJ1131" s="21" t="s">
        <v>5156</v>
      </c>
      <c r="AK1131" s="21" t="s">
        <v>4169</v>
      </c>
    </row>
    <row r="1132" spans="25:37" x14ac:dyDescent="0.3">
      <c r="Y1132" s="20" t="s">
        <v>232</v>
      </c>
      <c r="Z1132" s="21" t="s">
        <v>462</v>
      </c>
      <c r="AA1132" s="21" t="s">
        <v>2689</v>
      </c>
      <c r="AB1132" s="15"/>
      <c r="AI1132" t="s">
        <v>227</v>
      </c>
      <c r="AJ1132" t="s">
        <v>5157</v>
      </c>
      <c r="AK1132" t="s">
        <v>4170</v>
      </c>
    </row>
    <row r="1133" spans="25:37" x14ac:dyDescent="0.3">
      <c r="Y1133" s="20" t="s">
        <v>247</v>
      </c>
      <c r="Z1133" s="21" t="s">
        <v>666</v>
      </c>
      <c r="AA1133" s="21" t="s">
        <v>2690</v>
      </c>
      <c r="AB1133" s="15"/>
      <c r="AI1133" t="s">
        <v>227</v>
      </c>
      <c r="AJ1133" t="s">
        <v>5158</v>
      </c>
      <c r="AK1133" t="s">
        <v>4171</v>
      </c>
    </row>
    <row r="1134" spans="25:37" x14ac:dyDescent="0.3">
      <c r="Y1134" s="20" t="s">
        <v>230</v>
      </c>
      <c r="Z1134" s="21" t="s">
        <v>667</v>
      </c>
      <c r="AA1134" s="21" t="s">
        <v>2691</v>
      </c>
      <c r="AB1134" s="15"/>
      <c r="AI1134" s="21" t="s">
        <v>227</v>
      </c>
      <c r="AJ1134" s="21" t="s">
        <v>5159</v>
      </c>
      <c r="AK1134" s="21" t="s">
        <v>4172</v>
      </c>
    </row>
    <row r="1135" spans="25:37" x14ac:dyDescent="0.3">
      <c r="Y1135" s="20" t="s">
        <v>10</v>
      </c>
      <c r="Z1135" s="21" t="s">
        <v>668</v>
      </c>
      <c r="AA1135" s="21" t="s">
        <v>2692</v>
      </c>
      <c r="AB1135" s="15"/>
      <c r="AI1135" s="21" t="s">
        <v>1585</v>
      </c>
      <c r="AJ1135" s="21" t="s">
        <v>5160</v>
      </c>
      <c r="AK1135" s="21" t="s">
        <v>4173</v>
      </c>
    </row>
    <row r="1136" spans="25:37" x14ac:dyDescent="0.3">
      <c r="Y1136" s="20" t="s">
        <v>10</v>
      </c>
      <c r="Z1136" s="21" t="s">
        <v>671</v>
      </c>
      <c r="AA1136" s="21" t="s">
        <v>2693</v>
      </c>
      <c r="AB1136" s="15"/>
      <c r="AI1136" t="s">
        <v>77</v>
      </c>
      <c r="AJ1136" t="s">
        <v>5161</v>
      </c>
      <c r="AK1136" t="s">
        <v>4174</v>
      </c>
    </row>
    <row r="1137" spans="25:37" x14ac:dyDescent="0.3">
      <c r="Y1137" s="20" t="s">
        <v>10</v>
      </c>
      <c r="Z1137" s="21" t="s">
        <v>672</v>
      </c>
      <c r="AA1137" s="21" t="s">
        <v>2694</v>
      </c>
      <c r="AB1137" s="15"/>
      <c r="AI1137" t="s">
        <v>77</v>
      </c>
      <c r="AJ1137" t="s">
        <v>5162</v>
      </c>
      <c r="AK1137" t="s">
        <v>4175</v>
      </c>
    </row>
    <row r="1138" spans="25:37" x14ac:dyDescent="0.3">
      <c r="Y1138" s="20" t="s">
        <v>10</v>
      </c>
      <c r="Z1138" s="21" t="s">
        <v>673</v>
      </c>
      <c r="AA1138" s="21" t="s">
        <v>2695</v>
      </c>
      <c r="AB1138" s="15"/>
      <c r="AI1138" t="s">
        <v>69</v>
      </c>
      <c r="AJ1138" t="s">
        <v>5163</v>
      </c>
      <c r="AK1138" t="s">
        <v>4176</v>
      </c>
    </row>
    <row r="1139" spans="25:37" x14ac:dyDescent="0.3">
      <c r="Y1139" s="20" t="s">
        <v>29</v>
      </c>
      <c r="Z1139" s="21" t="s">
        <v>1689</v>
      </c>
      <c r="AA1139" s="21" t="s">
        <v>2696</v>
      </c>
      <c r="AB1139" s="15"/>
      <c r="AI1139" t="s">
        <v>77</v>
      </c>
      <c r="AJ1139" t="s">
        <v>5164</v>
      </c>
      <c r="AK1139" t="s">
        <v>4177</v>
      </c>
    </row>
    <row r="1140" spans="25:37" x14ac:dyDescent="0.3">
      <c r="Y1140" s="20" t="s">
        <v>29</v>
      </c>
      <c r="Z1140" s="21" t="s">
        <v>674</v>
      </c>
      <c r="AA1140" s="21" t="s">
        <v>2697</v>
      </c>
      <c r="AB1140" s="15"/>
      <c r="AI1140" s="21"/>
      <c r="AJ1140" s="21"/>
      <c r="AK1140" s="21"/>
    </row>
    <row r="1141" spans="25:37" x14ac:dyDescent="0.3">
      <c r="Y1141" s="20" t="s">
        <v>231</v>
      </c>
      <c r="Z1141" s="21" t="s">
        <v>675</v>
      </c>
      <c r="AA1141" s="21" t="s">
        <v>2698</v>
      </c>
      <c r="AB1141" s="15"/>
      <c r="AI1141" s="21"/>
      <c r="AJ1141" s="21"/>
      <c r="AK1141" s="21"/>
    </row>
    <row r="1142" spans="25:37" x14ac:dyDescent="0.3">
      <c r="Y1142" s="20" t="s">
        <v>249</v>
      </c>
      <c r="Z1142" s="21" t="s">
        <v>676</v>
      </c>
      <c r="AA1142" s="21" t="s">
        <v>2699</v>
      </c>
      <c r="AB1142" s="15"/>
      <c r="AI1142" s="21"/>
      <c r="AJ1142" s="21"/>
      <c r="AK1142" s="21"/>
    </row>
    <row r="1143" spans="25:37" x14ac:dyDescent="0.3">
      <c r="Y1143" s="20" t="s">
        <v>249</v>
      </c>
      <c r="Z1143" s="21" t="s">
        <v>677</v>
      </c>
      <c r="AA1143" s="21" t="s">
        <v>2700</v>
      </c>
      <c r="AB1143" s="15"/>
      <c r="AI1143" s="21"/>
      <c r="AJ1143" s="21"/>
      <c r="AK1143" s="21"/>
    </row>
    <row r="1144" spans="25:37" x14ac:dyDescent="0.3">
      <c r="Y1144" s="20" t="s">
        <v>10</v>
      </c>
      <c r="Z1144" s="21" t="s">
        <v>678</v>
      </c>
      <c r="AA1144" s="21" t="s">
        <v>2701</v>
      </c>
      <c r="AB1144" s="15"/>
      <c r="AI1144" s="21"/>
      <c r="AJ1144" s="21"/>
      <c r="AK1144" s="21"/>
    </row>
    <row r="1145" spans="25:37" x14ac:dyDescent="0.3">
      <c r="Y1145" s="20" t="s">
        <v>15</v>
      </c>
      <c r="Z1145" s="21" t="s">
        <v>679</v>
      </c>
      <c r="AA1145" s="21" t="s">
        <v>2702</v>
      </c>
      <c r="AB1145" s="15"/>
      <c r="AI1145" s="21"/>
      <c r="AJ1145" s="21"/>
      <c r="AK1145" s="21"/>
    </row>
    <row r="1146" spans="25:37" x14ac:dyDescent="0.3">
      <c r="Y1146" s="20" t="s">
        <v>29</v>
      </c>
      <c r="Z1146" s="21" t="s">
        <v>680</v>
      </c>
      <c r="AA1146" s="21" t="s">
        <v>2703</v>
      </c>
      <c r="AB1146" s="15"/>
    </row>
    <row r="1147" spans="25:37" x14ac:dyDescent="0.3">
      <c r="Y1147" s="20" t="s">
        <v>232</v>
      </c>
      <c r="Z1147" s="21" t="s">
        <v>1586</v>
      </c>
      <c r="AA1147" s="21" t="s">
        <v>2704</v>
      </c>
      <c r="AB1147" s="15"/>
    </row>
    <row r="1148" spans="25:37" x14ac:dyDescent="0.3">
      <c r="Y1148" s="20" t="s">
        <v>247</v>
      </c>
      <c r="Z1148" s="21" t="s">
        <v>681</v>
      </c>
      <c r="AA1148" s="21" t="s">
        <v>2705</v>
      </c>
      <c r="AB1148" s="15"/>
      <c r="AI1148" s="21"/>
      <c r="AJ1148" s="21"/>
      <c r="AK1148" s="21"/>
    </row>
    <row r="1149" spans="25:37" x14ac:dyDescent="0.3">
      <c r="Y1149" s="20" t="s">
        <v>10</v>
      </c>
      <c r="Z1149" s="21" t="s">
        <v>682</v>
      </c>
      <c r="AA1149" s="21" t="s">
        <v>2706</v>
      </c>
      <c r="AB1149" s="15"/>
      <c r="AI1149" s="21"/>
      <c r="AJ1149" s="21"/>
      <c r="AK1149" s="21"/>
    </row>
    <row r="1150" spans="25:37" x14ac:dyDescent="0.3">
      <c r="Y1150" s="20" t="s">
        <v>10</v>
      </c>
      <c r="Z1150" s="21" t="s">
        <v>684</v>
      </c>
      <c r="AA1150" s="21" t="s">
        <v>2707</v>
      </c>
      <c r="AB1150" s="15"/>
    </row>
    <row r="1151" spans="25:37" x14ac:dyDescent="0.3">
      <c r="Y1151" s="20" t="s">
        <v>10</v>
      </c>
      <c r="Z1151" s="21" t="s">
        <v>1603</v>
      </c>
      <c r="AA1151" s="21" t="s">
        <v>2708</v>
      </c>
      <c r="AB1151" s="15"/>
    </row>
    <row r="1152" spans="25:37" x14ac:dyDescent="0.3">
      <c r="Y1152" s="20" t="s">
        <v>10</v>
      </c>
      <c r="Z1152" s="21" t="s">
        <v>1600</v>
      </c>
      <c r="AA1152" s="21" t="s">
        <v>2709</v>
      </c>
      <c r="AB1152" s="15"/>
    </row>
    <row r="1153" spans="25:37" x14ac:dyDescent="0.3">
      <c r="Y1153" s="20" t="s">
        <v>10</v>
      </c>
      <c r="Z1153" s="21" t="s">
        <v>685</v>
      </c>
      <c r="AA1153" s="21" t="s">
        <v>2710</v>
      </c>
      <c r="AB1153" s="15"/>
    </row>
    <row r="1154" spans="25:37" x14ac:dyDescent="0.3">
      <c r="Y1154" s="20" t="s">
        <v>231</v>
      </c>
      <c r="Z1154" s="21" t="s">
        <v>686</v>
      </c>
      <c r="AA1154" s="21" t="s">
        <v>2711</v>
      </c>
      <c r="AB1154" s="15"/>
      <c r="AI1154" s="15"/>
      <c r="AJ1154" s="15"/>
      <c r="AK1154" s="15"/>
    </row>
    <row r="1155" spans="25:37" x14ac:dyDescent="0.3">
      <c r="Y1155" s="20" t="s">
        <v>1389</v>
      </c>
      <c r="Z1155" s="21" t="s">
        <v>687</v>
      </c>
      <c r="AA1155" s="21" t="s">
        <v>2712</v>
      </c>
      <c r="AB1155" s="15"/>
      <c r="AI1155" s="15"/>
      <c r="AJ1155" s="15"/>
      <c r="AK1155" s="15"/>
    </row>
    <row r="1156" spans="25:37" x14ac:dyDescent="0.3">
      <c r="Y1156" s="20" t="s">
        <v>251</v>
      </c>
      <c r="Z1156" s="21" t="s">
        <v>1574</v>
      </c>
      <c r="AA1156" s="21" t="s">
        <v>2713</v>
      </c>
      <c r="AB1156" s="15"/>
      <c r="AI1156" s="15"/>
      <c r="AJ1156" s="15"/>
      <c r="AK1156" s="15"/>
    </row>
    <row r="1157" spans="25:37" x14ac:dyDescent="0.3">
      <c r="Y1157" s="20" t="s">
        <v>231</v>
      </c>
      <c r="Z1157" s="21" t="s">
        <v>688</v>
      </c>
      <c r="AA1157" s="21" t="s">
        <v>2714</v>
      </c>
      <c r="AB1157" s="15"/>
      <c r="AI1157" s="21"/>
      <c r="AJ1157" s="21"/>
      <c r="AK1157" s="21"/>
    </row>
    <row r="1158" spans="25:37" x14ac:dyDescent="0.3">
      <c r="Y1158" s="20" t="s">
        <v>231</v>
      </c>
      <c r="Z1158" s="21" t="s">
        <v>1578</v>
      </c>
      <c r="AA1158" s="21" t="s">
        <v>2715</v>
      </c>
      <c r="AB1158" s="15"/>
      <c r="AI1158" s="21"/>
      <c r="AJ1158" s="21"/>
      <c r="AK1158" s="21"/>
    </row>
    <row r="1159" spans="25:37" x14ac:dyDescent="0.3">
      <c r="Y1159" s="20" t="s">
        <v>228</v>
      </c>
      <c r="Z1159" s="21" t="s">
        <v>1580</v>
      </c>
      <c r="AA1159" s="21" t="s">
        <v>2716</v>
      </c>
      <c r="AB1159" s="15"/>
      <c r="AI1159" s="21"/>
      <c r="AJ1159" s="21"/>
      <c r="AK1159" s="21"/>
    </row>
    <row r="1160" spans="25:37" x14ac:dyDescent="0.3">
      <c r="Y1160" s="20" t="s">
        <v>247</v>
      </c>
      <c r="Z1160" s="21" t="s">
        <v>1581</v>
      </c>
      <c r="AA1160" s="21" t="s">
        <v>2717</v>
      </c>
      <c r="AB1160" s="15"/>
      <c r="AI1160" s="21"/>
      <c r="AJ1160" s="21"/>
      <c r="AK1160" s="21"/>
    </row>
    <row r="1161" spans="25:37" x14ac:dyDescent="0.3">
      <c r="Y1161" s="20" t="s">
        <v>231</v>
      </c>
      <c r="Z1161" s="21" t="s">
        <v>689</v>
      </c>
      <c r="AA1161" s="21" t="s">
        <v>2718</v>
      </c>
      <c r="AB1161" s="15"/>
      <c r="AI1161" s="21"/>
      <c r="AJ1161" s="21"/>
      <c r="AK1161" s="21"/>
    </row>
    <row r="1162" spans="25:37" x14ac:dyDescent="0.3">
      <c r="Y1162" s="20" t="s">
        <v>251</v>
      </c>
      <c r="Z1162" s="21" t="s">
        <v>1584</v>
      </c>
      <c r="AA1162" s="21" t="s">
        <v>2719</v>
      </c>
      <c r="AB1162" s="15"/>
      <c r="AI1162" s="21"/>
      <c r="AJ1162" s="21"/>
      <c r="AK1162" s="21"/>
    </row>
    <row r="1163" spans="25:37" x14ac:dyDescent="0.3">
      <c r="Y1163" s="20" t="s">
        <v>228</v>
      </c>
      <c r="Z1163" s="21" t="s">
        <v>1605</v>
      </c>
      <c r="AA1163" s="21" t="s">
        <v>2720</v>
      </c>
      <c r="AB1163" s="15"/>
      <c r="AI1163" s="21"/>
      <c r="AJ1163" s="21"/>
      <c r="AK1163" s="21"/>
    </row>
    <row r="1164" spans="25:37" x14ac:dyDescent="0.3">
      <c r="Y1164" s="20" t="s">
        <v>1389</v>
      </c>
      <c r="Z1164" s="21" t="s">
        <v>1619</v>
      </c>
      <c r="AA1164" s="21" t="s">
        <v>2721</v>
      </c>
      <c r="AB1164" s="15"/>
      <c r="AI1164" s="21"/>
      <c r="AJ1164" s="21"/>
      <c r="AK1164" s="21"/>
    </row>
    <row r="1165" spans="25:37" x14ac:dyDescent="0.3">
      <c r="Y1165" s="20" t="s">
        <v>232</v>
      </c>
      <c r="Z1165" s="21" t="s">
        <v>690</v>
      </c>
      <c r="AA1165" s="21" t="s">
        <v>2722</v>
      </c>
      <c r="AB1165" s="15"/>
      <c r="AI1165" s="21"/>
      <c r="AJ1165" s="21"/>
      <c r="AK1165" s="21"/>
    </row>
    <row r="1166" spans="25:37" x14ac:dyDescent="0.3">
      <c r="Y1166" s="20" t="s">
        <v>228</v>
      </c>
      <c r="Z1166" s="21" t="s">
        <v>1625</v>
      </c>
      <c r="AA1166" s="21" t="s">
        <v>2723</v>
      </c>
      <c r="AB1166" s="15"/>
      <c r="AI1166" s="21"/>
      <c r="AJ1166" s="21"/>
      <c r="AK1166" s="21"/>
    </row>
    <row r="1167" spans="25:37" x14ac:dyDescent="0.3">
      <c r="Y1167" s="20" t="s">
        <v>231</v>
      </c>
      <c r="Z1167" s="21" t="s">
        <v>691</v>
      </c>
      <c r="AA1167" s="21" t="s">
        <v>2724</v>
      </c>
      <c r="AB1167" s="15"/>
      <c r="AI1167" s="21"/>
      <c r="AJ1167" s="21"/>
      <c r="AK1167" s="21"/>
    </row>
    <row r="1168" spans="25:37" x14ac:dyDescent="0.3">
      <c r="Y1168" s="20" t="s">
        <v>1389</v>
      </c>
      <c r="Z1168" s="21" t="s">
        <v>1646</v>
      </c>
      <c r="AA1168" s="21" t="s">
        <v>2725</v>
      </c>
      <c r="AB1168" s="15"/>
      <c r="AI1168" s="21"/>
      <c r="AJ1168" s="21"/>
      <c r="AK1168" s="21"/>
    </row>
    <row r="1169" spans="25:37" x14ac:dyDescent="0.3">
      <c r="Y1169" s="20" t="s">
        <v>230</v>
      </c>
      <c r="Z1169" s="21" t="s">
        <v>1651</v>
      </c>
      <c r="AA1169" s="21" t="s">
        <v>2726</v>
      </c>
      <c r="AB1169" s="15"/>
      <c r="AI1169" s="21"/>
      <c r="AJ1169" s="21"/>
      <c r="AK1169" s="21"/>
    </row>
    <row r="1170" spans="25:37" x14ac:dyDescent="0.3">
      <c r="Y1170" s="20" t="s">
        <v>29</v>
      </c>
      <c r="Z1170" s="21" t="s">
        <v>1658</v>
      </c>
      <c r="AA1170" s="21" t="s">
        <v>2727</v>
      </c>
      <c r="AB1170" s="15"/>
      <c r="AI1170" s="21"/>
      <c r="AJ1170" s="21"/>
      <c r="AK1170" s="21"/>
    </row>
    <row r="1171" spans="25:37" x14ac:dyDescent="0.3">
      <c r="Y1171" s="20" t="s">
        <v>15</v>
      </c>
      <c r="Z1171" s="21" t="s">
        <v>1664</v>
      </c>
      <c r="AA1171" s="21" t="s">
        <v>2728</v>
      </c>
      <c r="AB1171" s="15"/>
      <c r="AI1171" s="21"/>
      <c r="AJ1171" s="21"/>
      <c r="AK1171" s="21"/>
    </row>
    <row r="1172" spans="25:37" x14ac:dyDescent="0.3">
      <c r="Y1172" s="20" t="s">
        <v>15</v>
      </c>
      <c r="Z1172" s="21" t="s">
        <v>1604</v>
      </c>
      <c r="AA1172" s="21" t="s">
        <v>2729</v>
      </c>
      <c r="AB1172" s="15"/>
      <c r="AI1172" s="21"/>
      <c r="AJ1172" s="21"/>
      <c r="AK1172" s="21"/>
    </row>
    <row r="1173" spans="25:37" x14ac:dyDescent="0.3">
      <c r="Y1173" s="20" t="s">
        <v>228</v>
      </c>
      <c r="Z1173" s="21" t="s">
        <v>692</v>
      </c>
      <c r="AA1173" s="21" t="s">
        <v>2730</v>
      </c>
      <c r="AB1173" s="15"/>
      <c r="AI1173" s="21"/>
      <c r="AJ1173" s="21"/>
      <c r="AK1173" s="21"/>
    </row>
    <row r="1174" spans="25:37" x14ac:dyDescent="0.3">
      <c r="Y1174" s="20" t="s">
        <v>228</v>
      </c>
      <c r="Z1174" s="21" t="s">
        <v>693</v>
      </c>
      <c r="AA1174" s="21" t="s">
        <v>2731</v>
      </c>
      <c r="AB1174" s="15"/>
      <c r="AI1174" s="21"/>
      <c r="AJ1174" s="21"/>
      <c r="AK1174" s="21"/>
    </row>
    <row r="1175" spans="25:37" x14ac:dyDescent="0.3">
      <c r="Y1175" s="20" t="s">
        <v>249</v>
      </c>
      <c r="Z1175" s="21" t="s">
        <v>694</v>
      </c>
      <c r="AA1175" s="21" t="s">
        <v>2732</v>
      </c>
      <c r="AB1175" s="15"/>
      <c r="AI1175" s="21"/>
      <c r="AJ1175" s="21"/>
      <c r="AK1175" s="21"/>
    </row>
    <row r="1176" spans="25:37" x14ac:dyDescent="0.3">
      <c r="Y1176" s="20" t="s">
        <v>29</v>
      </c>
      <c r="Z1176" s="21" t="s">
        <v>695</v>
      </c>
      <c r="AA1176" s="21" t="s">
        <v>2733</v>
      </c>
      <c r="AB1176" s="15"/>
      <c r="AI1176" s="21"/>
      <c r="AJ1176" s="21"/>
      <c r="AK1176" s="21"/>
    </row>
    <row r="1177" spans="25:37" x14ac:dyDescent="0.3">
      <c r="Y1177" s="20" t="s">
        <v>10</v>
      </c>
      <c r="Z1177" s="21" t="s">
        <v>1576</v>
      </c>
      <c r="AA1177" s="21" t="s">
        <v>2734</v>
      </c>
      <c r="AB1177" s="15"/>
      <c r="AI1177" s="21"/>
      <c r="AJ1177" s="21"/>
      <c r="AK1177" s="21"/>
    </row>
    <row r="1178" spans="25:37" x14ac:dyDescent="0.3">
      <c r="Y1178" s="20" t="s">
        <v>10</v>
      </c>
      <c r="Z1178" s="21" t="s">
        <v>1572</v>
      </c>
      <c r="AA1178" s="21" t="s">
        <v>2735</v>
      </c>
      <c r="AB1178" s="15"/>
      <c r="AI1178" s="21"/>
      <c r="AJ1178" s="21"/>
      <c r="AK1178" s="21"/>
    </row>
    <row r="1179" spans="25:37" x14ac:dyDescent="0.3">
      <c r="Y1179" s="20" t="s">
        <v>10</v>
      </c>
      <c r="Z1179" s="21" t="s">
        <v>696</v>
      </c>
      <c r="AA1179" s="21" t="s">
        <v>2736</v>
      </c>
      <c r="AB1179" s="15"/>
      <c r="AI1179" s="21"/>
      <c r="AJ1179" s="21"/>
      <c r="AK1179" s="21"/>
    </row>
    <row r="1180" spans="25:37" x14ac:dyDescent="0.3">
      <c r="Y1180" s="20" t="s">
        <v>10</v>
      </c>
      <c r="Z1180" s="21" t="s">
        <v>697</v>
      </c>
      <c r="AA1180" s="21" t="s">
        <v>2737</v>
      </c>
      <c r="AB1180" s="15"/>
      <c r="AI1180" s="21"/>
      <c r="AJ1180" s="21"/>
      <c r="AK1180" s="21"/>
    </row>
    <row r="1181" spans="25:37" x14ac:dyDescent="0.3">
      <c r="Y1181" s="20" t="s">
        <v>247</v>
      </c>
      <c r="Z1181" s="21" t="s">
        <v>698</v>
      </c>
      <c r="AA1181" s="21" t="s">
        <v>2738</v>
      </c>
      <c r="AB1181" s="15"/>
      <c r="AI1181" s="21"/>
      <c r="AJ1181" s="21"/>
      <c r="AK1181" s="21"/>
    </row>
    <row r="1182" spans="25:37" x14ac:dyDescent="0.3">
      <c r="Y1182" s="20" t="s">
        <v>247</v>
      </c>
      <c r="Z1182" s="21" t="s">
        <v>699</v>
      </c>
      <c r="AA1182" s="21" t="s">
        <v>2739</v>
      </c>
      <c r="AB1182" s="15"/>
      <c r="AI1182" s="21"/>
      <c r="AJ1182" s="21"/>
      <c r="AK1182" s="21"/>
    </row>
    <row r="1183" spans="25:37" x14ac:dyDescent="0.3">
      <c r="Y1183" s="20" t="s">
        <v>10</v>
      </c>
      <c r="Z1183" s="21" t="s">
        <v>700</v>
      </c>
      <c r="AA1183" s="21" t="s">
        <v>2740</v>
      </c>
      <c r="AB1183" s="15"/>
      <c r="AI1183" s="21"/>
      <c r="AJ1183" s="21"/>
      <c r="AK1183" s="21"/>
    </row>
    <row r="1184" spans="25:37" x14ac:dyDescent="0.3">
      <c r="Y1184" s="20" t="s">
        <v>247</v>
      </c>
      <c r="Z1184" s="21" t="s">
        <v>701</v>
      </c>
      <c r="AA1184" s="21" t="s">
        <v>2741</v>
      </c>
      <c r="AB1184" s="15"/>
      <c r="AI1184" s="21"/>
      <c r="AJ1184" s="21"/>
      <c r="AK1184" s="21"/>
    </row>
    <row r="1185" spans="25:37" x14ac:dyDescent="0.3">
      <c r="Y1185" s="20" t="s">
        <v>230</v>
      </c>
      <c r="Z1185" s="21" t="s">
        <v>702</v>
      </c>
      <c r="AA1185" s="21" t="s">
        <v>2742</v>
      </c>
      <c r="AB1185" s="15"/>
      <c r="AI1185" s="21"/>
      <c r="AJ1185" s="21"/>
      <c r="AK1185" s="21"/>
    </row>
    <row r="1186" spans="25:37" x14ac:dyDescent="0.3">
      <c r="Y1186" s="20" t="s">
        <v>10</v>
      </c>
      <c r="Z1186" s="21" t="s">
        <v>703</v>
      </c>
      <c r="AA1186" s="21" t="s">
        <v>2743</v>
      </c>
      <c r="AB1186" s="15"/>
      <c r="AI1186" s="21"/>
      <c r="AJ1186" s="21"/>
      <c r="AK1186" s="21"/>
    </row>
    <row r="1187" spans="25:37" x14ac:dyDescent="0.3">
      <c r="Y1187" s="20" t="s">
        <v>249</v>
      </c>
      <c r="Z1187" s="21" t="s">
        <v>704</v>
      </c>
      <c r="AA1187" s="21" t="s">
        <v>2744</v>
      </c>
      <c r="AB1187" s="15"/>
      <c r="AI1187" s="21"/>
      <c r="AJ1187" s="21"/>
      <c r="AK1187" s="21"/>
    </row>
    <row r="1188" spans="25:37" x14ac:dyDescent="0.3">
      <c r="Y1188" s="20" t="s">
        <v>249</v>
      </c>
      <c r="Z1188" s="21" t="s">
        <v>705</v>
      </c>
      <c r="AA1188" s="21" t="s">
        <v>2745</v>
      </c>
      <c r="AB1188" s="15"/>
      <c r="AI1188" s="21"/>
      <c r="AJ1188" s="21"/>
      <c r="AK1188" s="21"/>
    </row>
    <row r="1189" spans="25:37" x14ac:dyDescent="0.3">
      <c r="Y1189" s="20" t="s">
        <v>251</v>
      </c>
      <c r="Z1189" s="21" t="s">
        <v>706</v>
      </c>
      <c r="AA1189" s="21" t="s">
        <v>2746</v>
      </c>
      <c r="AB1189" s="15"/>
      <c r="AI1189" s="21"/>
      <c r="AJ1189" s="21"/>
      <c r="AK1189" s="21"/>
    </row>
    <row r="1190" spans="25:37" x14ac:dyDescent="0.3">
      <c r="Y1190" s="20" t="s">
        <v>247</v>
      </c>
      <c r="Z1190" s="21" t="s">
        <v>707</v>
      </c>
      <c r="AA1190" s="21" t="s">
        <v>2747</v>
      </c>
      <c r="AB1190" s="15"/>
      <c r="AI1190" s="21"/>
      <c r="AJ1190" s="21"/>
      <c r="AK1190" s="21"/>
    </row>
    <row r="1191" spans="25:37" x14ac:dyDescent="0.3">
      <c r="Y1191" s="20" t="s">
        <v>249</v>
      </c>
      <c r="Z1191" s="21" t="s">
        <v>708</v>
      </c>
      <c r="AA1191" s="21" t="s">
        <v>2748</v>
      </c>
      <c r="AB1191" s="15"/>
      <c r="AI1191" s="21"/>
      <c r="AJ1191" s="21"/>
      <c r="AK1191" s="21"/>
    </row>
    <row r="1192" spans="25:37" x14ac:dyDescent="0.3">
      <c r="Y1192" s="20" t="s">
        <v>249</v>
      </c>
      <c r="Z1192" s="21" t="s">
        <v>711</v>
      </c>
      <c r="AA1192" s="21" t="s">
        <v>2749</v>
      </c>
      <c r="AB1192" s="15"/>
      <c r="AI1192" s="21"/>
      <c r="AJ1192" s="21"/>
      <c r="AK1192" s="21"/>
    </row>
    <row r="1193" spans="25:37" x14ac:dyDescent="0.3">
      <c r="Y1193" s="20" t="s">
        <v>10</v>
      </c>
      <c r="Z1193" s="21" t="s">
        <v>712</v>
      </c>
      <c r="AA1193" s="21" t="s">
        <v>2750</v>
      </c>
      <c r="AB1193" s="15"/>
      <c r="AI1193" s="21"/>
      <c r="AJ1193" s="21"/>
      <c r="AK1193" s="21"/>
    </row>
    <row r="1194" spans="25:37" x14ac:dyDescent="0.3">
      <c r="Y1194" s="20" t="s">
        <v>231</v>
      </c>
      <c r="Z1194" s="21" t="s">
        <v>713</v>
      </c>
      <c r="AA1194" s="21" t="s">
        <v>2751</v>
      </c>
      <c r="AB1194" s="15"/>
      <c r="AI1194" s="21"/>
      <c r="AJ1194" s="21"/>
      <c r="AK1194" s="21"/>
    </row>
    <row r="1195" spans="25:37" x14ac:dyDescent="0.3">
      <c r="Y1195" s="20" t="s">
        <v>232</v>
      </c>
      <c r="Z1195" s="21" t="s">
        <v>1589</v>
      </c>
      <c r="AA1195" s="21" t="s">
        <v>2752</v>
      </c>
      <c r="AB1195" s="15"/>
      <c r="AI1195" s="21"/>
      <c r="AJ1195" s="21"/>
      <c r="AK1195" s="21"/>
    </row>
    <row r="1196" spans="25:37" x14ac:dyDescent="0.3">
      <c r="Y1196" s="20" t="s">
        <v>251</v>
      </c>
      <c r="Z1196" s="21" t="s">
        <v>714</v>
      </c>
      <c r="AA1196" s="21" t="s">
        <v>2753</v>
      </c>
      <c r="AB1196" s="15"/>
      <c r="AI1196" s="21"/>
      <c r="AJ1196" s="21"/>
      <c r="AK1196" s="21"/>
    </row>
    <row r="1197" spans="25:37" x14ac:dyDescent="0.3">
      <c r="Y1197" s="20" t="s">
        <v>29</v>
      </c>
      <c r="Z1197" s="21" t="s">
        <v>715</v>
      </c>
      <c r="AA1197" s="21" t="s">
        <v>2754</v>
      </c>
      <c r="AB1197" s="15"/>
      <c r="AI1197" s="21"/>
      <c r="AJ1197" s="21"/>
      <c r="AK1197" s="21"/>
    </row>
    <row r="1198" spans="25:37" x14ac:dyDescent="0.3">
      <c r="Y1198" s="20" t="s">
        <v>249</v>
      </c>
      <c r="Z1198" s="21" t="s">
        <v>719</v>
      </c>
      <c r="AA1198" s="21" t="s">
        <v>2755</v>
      </c>
      <c r="AB1198" s="15"/>
      <c r="AI1198" s="21"/>
      <c r="AJ1198" s="21"/>
      <c r="AK1198" s="21"/>
    </row>
    <row r="1199" spans="25:37" x14ac:dyDescent="0.3">
      <c r="Y1199" s="20" t="s">
        <v>249</v>
      </c>
      <c r="Z1199" s="21" t="s">
        <v>720</v>
      </c>
      <c r="AA1199" s="21" t="s">
        <v>2756</v>
      </c>
      <c r="AB1199" s="15"/>
      <c r="AI1199" s="21"/>
      <c r="AJ1199" s="21"/>
      <c r="AK1199" s="21"/>
    </row>
    <row r="1200" spans="25:37" x14ac:dyDescent="0.3">
      <c r="Y1200" s="20" t="s">
        <v>231</v>
      </c>
      <c r="Z1200" s="21" t="s">
        <v>1607</v>
      </c>
      <c r="AA1200" s="21" t="s">
        <v>2757</v>
      </c>
      <c r="AB1200" s="15"/>
      <c r="AI1200" s="21"/>
      <c r="AJ1200" s="21"/>
      <c r="AK1200" s="21"/>
    </row>
    <row r="1201" spans="25:37" x14ac:dyDescent="0.3">
      <c r="Y1201" s="20" t="s">
        <v>232</v>
      </c>
      <c r="Z1201" s="21" t="s">
        <v>721</v>
      </c>
      <c r="AA1201" s="21" t="s">
        <v>2758</v>
      </c>
      <c r="AB1201" s="15"/>
      <c r="AI1201" s="21"/>
      <c r="AJ1201" s="21"/>
      <c r="AK1201" s="21"/>
    </row>
    <row r="1202" spans="25:37" x14ac:dyDescent="0.3">
      <c r="Y1202" s="20" t="s">
        <v>228</v>
      </c>
      <c r="Z1202" s="21" t="s">
        <v>722</v>
      </c>
      <c r="AA1202" s="21" t="s">
        <v>2759</v>
      </c>
      <c r="AB1202" s="15"/>
      <c r="AI1202" s="21"/>
      <c r="AJ1202" s="21"/>
      <c r="AK1202" s="21"/>
    </row>
    <row r="1203" spans="25:37" x14ac:dyDescent="0.3">
      <c r="Y1203" s="20" t="s">
        <v>231</v>
      </c>
      <c r="Z1203" s="21" t="s">
        <v>723</v>
      </c>
      <c r="AA1203" s="21" t="s">
        <v>2760</v>
      </c>
      <c r="AB1203" s="15"/>
      <c r="AI1203" s="21"/>
      <c r="AJ1203" s="21"/>
      <c r="AK1203" s="21"/>
    </row>
    <row r="1204" spans="25:37" x14ac:dyDescent="0.3">
      <c r="Y1204" s="20" t="s">
        <v>231</v>
      </c>
      <c r="Z1204" s="21" t="s">
        <v>724</v>
      </c>
      <c r="AA1204" s="21" t="s">
        <v>2761</v>
      </c>
      <c r="AB1204" s="15"/>
      <c r="AI1204" s="21"/>
      <c r="AJ1204" s="21"/>
      <c r="AK1204" s="21"/>
    </row>
    <row r="1205" spans="25:37" x14ac:dyDescent="0.3">
      <c r="Y1205" s="20" t="s">
        <v>249</v>
      </c>
      <c r="Z1205" s="21" t="s">
        <v>725</v>
      </c>
      <c r="AA1205" s="21" t="s">
        <v>2762</v>
      </c>
      <c r="AB1205" s="15"/>
      <c r="AI1205" s="21"/>
      <c r="AJ1205" s="21"/>
      <c r="AK1205" s="21"/>
    </row>
    <row r="1206" spans="25:37" x14ac:dyDescent="0.3">
      <c r="Y1206" s="20" t="s">
        <v>249</v>
      </c>
      <c r="Z1206" s="21" t="s">
        <v>726</v>
      </c>
      <c r="AA1206" s="21" t="s">
        <v>2763</v>
      </c>
      <c r="AB1206" s="15"/>
      <c r="AI1206" s="21"/>
      <c r="AJ1206" s="21"/>
      <c r="AK1206" s="21"/>
    </row>
    <row r="1207" spans="25:37" x14ac:dyDescent="0.3">
      <c r="Y1207" s="20" t="s">
        <v>29</v>
      </c>
      <c r="Z1207" s="21" t="s">
        <v>727</v>
      </c>
      <c r="AA1207" s="21" t="s">
        <v>2764</v>
      </c>
      <c r="AB1207" s="15"/>
      <c r="AI1207" s="21"/>
      <c r="AJ1207" s="21"/>
      <c r="AK1207" s="21"/>
    </row>
    <row r="1208" spans="25:37" x14ac:dyDescent="0.3">
      <c r="Y1208" s="20" t="s">
        <v>231</v>
      </c>
      <c r="Z1208" s="21" t="s">
        <v>728</v>
      </c>
      <c r="AA1208" s="21" t="s">
        <v>2765</v>
      </c>
      <c r="AB1208" s="15"/>
      <c r="AI1208" s="21"/>
      <c r="AJ1208" s="21"/>
      <c r="AK1208" s="21"/>
    </row>
    <row r="1209" spans="25:37" x14ac:dyDescent="0.3">
      <c r="Y1209" s="20" t="s">
        <v>231</v>
      </c>
      <c r="Z1209" s="21" t="s">
        <v>729</v>
      </c>
      <c r="AA1209" s="21" t="s">
        <v>2766</v>
      </c>
      <c r="AB1209" s="15"/>
      <c r="AI1209" s="21"/>
      <c r="AJ1209" s="21"/>
      <c r="AK1209" s="21"/>
    </row>
    <row r="1210" spans="25:37" x14ac:dyDescent="0.3">
      <c r="Y1210" s="20" t="s">
        <v>232</v>
      </c>
      <c r="Z1210" s="21" t="s">
        <v>1573</v>
      </c>
      <c r="AA1210" s="21" t="s">
        <v>2767</v>
      </c>
      <c r="AB1210" s="15"/>
      <c r="AI1210" s="21"/>
      <c r="AJ1210" s="21"/>
      <c r="AK1210" s="21"/>
    </row>
    <row r="1211" spans="25:37" x14ac:dyDescent="0.3">
      <c r="Y1211" s="20" t="s">
        <v>29</v>
      </c>
      <c r="Z1211" s="21" t="s">
        <v>1582</v>
      </c>
      <c r="AA1211" s="21" t="s">
        <v>2768</v>
      </c>
      <c r="AB1211" s="15"/>
      <c r="AI1211" s="21"/>
      <c r="AJ1211" s="21"/>
      <c r="AK1211" s="21"/>
    </row>
    <row r="1212" spans="25:37" x14ac:dyDescent="0.3">
      <c r="Y1212" s="20" t="s">
        <v>247</v>
      </c>
      <c r="Z1212" s="21" t="s">
        <v>733</v>
      </c>
      <c r="AA1212" s="21" t="s">
        <v>2769</v>
      </c>
      <c r="AB1212" s="15"/>
      <c r="AI1212" s="21"/>
      <c r="AJ1212" s="21"/>
      <c r="AK1212" s="21"/>
    </row>
    <row r="1213" spans="25:37" x14ac:dyDescent="0.3">
      <c r="Y1213" s="20" t="s">
        <v>231</v>
      </c>
      <c r="Z1213" s="21" t="s">
        <v>735</v>
      </c>
      <c r="AA1213" s="21" t="s">
        <v>2770</v>
      </c>
      <c r="AB1213" s="15"/>
      <c r="AI1213" s="21"/>
      <c r="AJ1213" s="21"/>
      <c r="AK1213" s="21"/>
    </row>
    <row r="1214" spans="25:37" x14ac:dyDescent="0.3">
      <c r="Y1214" s="20" t="s">
        <v>251</v>
      </c>
      <c r="Z1214" s="21" t="s">
        <v>736</v>
      </c>
      <c r="AA1214" s="21" t="s">
        <v>2771</v>
      </c>
      <c r="AB1214" s="15"/>
      <c r="AI1214" s="21"/>
      <c r="AJ1214" s="21"/>
      <c r="AK1214" s="21"/>
    </row>
    <row r="1215" spans="25:37" x14ac:dyDescent="0.3">
      <c r="Y1215" s="20" t="s">
        <v>29</v>
      </c>
      <c r="Z1215" s="21" t="s">
        <v>737</v>
      </c>
      <c r="AA1215" s="21" t="s">
        <v>2772</v>
      </c>
      <c r="AB1215" s="15"/>
      <c r="AI1215" s="21"/>
      <c r="AJ1215" s="21"/>
      <c r="AK1215" s="21"/>
    </row>
    <row r="1216" spans="25:37" x14ac:dyDescent="0.3">
      <c r="Y1216" s="20" t="s">
        <v>29</v>
      </c>
      <c r="Z1216" s="21" t="s">
        <v>738</v>
      </c>
      <c r="AA1216" s="21" t="s">
        <v>2773</v>
      </c>
      <c r="AB1216" s="15"/>
      <c r="AI1216" s="21"/>
      <c r="AJ1216" s="21"/>
      <c r="AK1216" s="21"/>
    </row>
    <row r="1217" spans="25:37" x14ac:dyDescent="0.3">
      <c r="Y1217" s="20" t="s">
        <v>29</v>
      </c>
      <c r="Z1217" s="21" t="s">
        <v>739</v>
      </c>
      <c r="AA1217" s="21" t="s">
        <v>2774</v>
      </c>
      <c r="AB1217" s="15"/>
      <c r="AI1217" s="21"/>
      <c r="AJ1217" s="21"/>
      <c r="AK1217" s="21"/>
    </row>
    <row r="1218" spans="25:37" x14ac:dyDescent="0.3">
      <c r="Y1218" s="20" t="s">
        <v>249</v>
      </c>
      <c r="Z1218" s="21" t="s">
        <v>740</v>
      </c>
      <c r="AA1218" s="21" t="s">
        <v>2775</v>
      </c>
      <c r="AB1218" s="15"/>
      <c r="AI1218" s="21"/>
      <c r="AJ1218" s="21"/>
      <c r="AK1218" s="21"/>
    </row>
    <row r="1219" spans="25:37" x14ac:dyDescent="0.3">
      <c r="Y1219" s="20" t="s">
        <v>247</v>
      </c>
      <c r="Z1219" s="21" t="s">
        <v>741</v>
      </c>
      <c r="AA1219" s="21" t="s">
        <v>2776</v>
      </c>
      <c r="AB1219" s="15"/>
      <c r="AI1219" s="21"/>
      <c r="AJ1219" s="21"/>
      <c r="AK1219" s="21"/>
    </row>
    <row r="1220" spans="25:37" x14ac:dyDescent="0.3">
      <c r="Y1220" s="20" t="s">
        <v>247</v>
      </c>
      <c r="Z1220" s="21" t="s">
        <v>742</v>
      </c>
      <c r="AA1220" s="21" t="s">
        <v>2777</v>
      </c>
      <c r="AB1220" s="15"/>
      <c r="AI1220" s="21"/>
      <c r="AJ1220" s="21"/>
      <c r="AK1220" s="21"/>
    </row>
    <row r="1221" spans="25:37" x14ac:dyDescent="0.3">
      <c r="Y1221" s="20" t="s">
        <v>247</v>
      </c>
      <c r="Z1221" s="21" t="s">
        <v>743</v>
      </c>
      <c r="AA1221" s="21" t="s">
        <v>2778</v>
      </c>
      <c r="AB1221" s="15"/>
      <c r="AI1221" s="21"/>
      <c r="AJ1221" s="21"/>
      <c r="AK1221" s="21"/>
    </row>
    <row r="1222" spans="25:37" x14ac:dyDescent="0.3">
      <c r="Y1222" s="20" t="s">
        <v>247</v>
      </c>
      <c r="Z1222" s="21" t="s">
        <v>744</v>
      </c>
      <c r="AA1222" s="21" t="s">
        <v>2779</v>
      </c>
      <c r="AB1222" s="15"/>
      <c r="AI1222" s="21"/>
      <c r="AJ1222" s="21"/>
      <c r="AK1222" s="21"/>
    </row>
    <row r="1223" spans="25:37" x14ac:dyDescent="0.3">
      <c r="Y1223" s="20" t="s">
        <v>247</v>
      </c>
      <c r="Z1223" s="21" t="s">
        <v>745</v>
      </c>
      <c r="AA1223" s="21" t="s">
        <v>2780</v>
      </c>
      <c r="AB1223" s="15"/>
      <c r="AI1223" s="21"/>
      <c r="AJ1223" s="21"/>
      <c r="AK1223" s="21"/>
    </row>
    <row r="1224" spans="25:37" x14ac:dyDescent="0.3">
      <c r="Y1224" s="20" t="s">
        <v>1389</v>
      </c>
      <c r="Z1224" s="21" t="s">
        <v>746</v>
      </c>
      <c r="AA1224" s="21" t="s">
        <v>2781</v>
      </c>
      <c r="AB1224" s="15"/>
      <c r="AI1224" s="21"/>
      <c r="AJ1224" s="21"/>
      <c r="AK1224" s="21"/>
    </row>
    <row r="1225" spans="25:37" x14ac:dyDescent="0.3">
      <c r="Y1225" s="20" t="s">
        <v>231</v>
      </c>
      <c r="Z1225" s="21" t="s">
        <v>747</v>
      </c>
      <c r="AA1225" s="21" t="s">
        <v>2782</v>
      </c>
      <c r="AB1225" s="15"/>
      <c r="AI1225" s="21"/>
      <c r="AJ1225" s="21"/>
      <c r="AK1225" s="21"/>
    </row>
    <row r="1226" spans="25:37" x14ac:dyDescent="0.3">
      <c r="Y1226" s="20" t="s">
        <v>230</v>
      </c>
      <c r="Z1226" s="21" t="s">
        <v>748</v>
      </c>
      <c r="AA1226" s="21" t="s">
        <v>2783</v>
      </c>
      <c r="AB1226" s="15"/>
      <c r="AI1226" s="21"/>
      <c r="AJ1226" s="21"/>
      <c r="AK1226" s="21"/>
    </row>
    <row r="1227" spans="25:37" x14ac:dyDescent="0.3">
      <c r="Y1227" s="20" t="s">
        <v>230</v>
      </c>
      <c r="Z1227" s="21" t="s">
        <v>749</v>
      </c>
      <c r="AA1227" s="21" t="s">
        <v>2784</v>
      </c>
      <c r="AB1227" s="15"/>
      <c r="AI1227" s="21"/>
      <c r="AJ1227" s="21"/>
      <c r="AK1227" s="21"/>
    </row>
    <row r="1228" spans="25:37" x14ac:dyDescent="0.3">
      <c r="Y1228" s="20" t="s">
        <v>247</v>
      </c>
      <c r="Z1228" s="21" t="s">
        <v>750</v>
      </c>
      <c r="AA1228" s="21" t="s">
        <v>2785</v>
      </c>
      <c r="AB1228" s="15"/>
      <c r="AI1228" s="21"/>
      <c r="AJ1228" s="21"/>
      <c r="AK1228" s="21"/>
    </row>
    <row r="1229" spans="25:37" x14ac:dyDescent="0.3">
      <c r="Y1229" s="20" t="s">
        <v>230</v>
      </c>
      <c r="Z1229" s="21" t="s">
        <v>751</v>
      </c>
      <c r="AA1229" s="21" t="s">
        <v>2786</v>
      </c>
      <c r="AB1229" s="15"/>
      <c r="AI1229" s="21"/>
      <c r="AJ1229" s="21"/>
      <c r="AK1229" s="21"/>
    </row>
    <row r="1230" spans="25:37" x14ac:dyDescent="0.3">
      <c r="Y1230" s="20" t="s">
        <v>249</v>
      </c>
      <c r="Z1230" s="21" t="s">
        <v>752</v>
      </c>
      <c r="AA1230" s="21" t="s">
        <v>2787</v>
      </c>
      <c r="AB1230" s="15"/>
      <c r="AI1230" s="21"/>
      <c r="AJ1230" s="21"/>
      <c r="AK1230" s="21"/>
    </row>
    <row r="1231" spans="25:37" x14ac:dyDescent="0.3">
      <c r="Y1231" s="20" t="s">
        <v>29</v>
      </c>
      <c r="Z1231" s="21" t="s">
        <v>753</v>
      </c>
      <c r="AA1231" s="21" t="s">
        <v>2788</v>
      </c>
      <c r="AB1231" s="15"/>
      <c r="AI1231" s="21"/>
      <c r="AJ1231" s="21"/>
      <c r="AK1231" s="21"/>
    </row>
    <row r="1232" spans="25:37" x14ac:dyDescent="0.3">
      <c r="Y1232" s="20" t="s">
        <v>1389</v>
      </c>
      <c r="Z1232" s="21" t="s">
        <v>754</v>
      </c>
      <c r="AA1232" s="21" t="s">
        <v>2789</v>
      </c>
      <c r="AB1232" s="15"/>
      <c r="AI1232" s="21"/>
      <c r="AJ1232" s="21"/>
      <c r="AK1232" s="21"/>
    </row>
    <row r="1233" spans="25:37" x14ac:dyDescent="0.3">
      <c r="Y1233" s="20" t="s">
        <v>1389</v>
      </c>
      <c r="Z1233" s="21" t="s">
        <v>755</v>
      </c>
      <c r="AA1233" s="21" t="s">
        <v>2790</v>
      </c>
      <c r="AB1233" s="15"/>
      <c r="AI1233" s="21"/>
      <c r="AJ1233" s="21"/>
      <c r="AK1233" s="21"/>
    </row>
    <row r="1234" spans="25:37" x14ac:dyDescent="0.3">
      <c r="Y1234" s="20" t="s">
        <v>1389</v>
      </c>
      <c r="Z1234" s="21" t="s">
        <v>756</v>
      </c>
      <c r="AA1234" s="21" t="s">
        <v>2791</v>
      </c>
      <c r="AB1234" s="15"/>
      <c r="AI1234" s="21"/>
      <c r="AJ1234" s="21"/>
      <c r="AK1234" s="21"/>
    </row>
    <row r="1235" spans="25:37" x14ac:dyDescent="0.3">
      <c r="Y1235" s="20" t="s">
        <v>247</v>
      </c>
      <c r="Z1235" s="21" t="s">
        <v>757</v>
      </c>
      <c r="AA1235" s="21" t="s">
        <v>2792</v>
      </c>
      <c r="AB1235" s="15"/>
      <c r="AI1235" s="21"/>
      <c r="AJ1235" s="21"/>
      <c r="AK1235" s="21"/>
    </row>
    <row r="1236" spans="25:37" x14ac:dyDescent="0.3">
      <c r="Y1236" s="20" t="s">
        <v>247</v>
      </c>
      <c r="Z1236" s="21" t="s">
        <v>758</v>
      </c>
      <c r="AA1236" s="21" t="s">
        <v>2793</v>
      </c>
      <c r="AB1236" s="15"/>
      <c r="AI1236" s="21"/>
      <c r="AJ1236" s="21"/>
      <c r="AK1236" s="21"/>
    </row>
    <row r="1237" spans="25:37" x14ac:dyDescent="0.3">
      <c r="Y1237" s="20" t="s">
        <v>29</v>
      </c>
      <c r="Z1237" s="21" t="s">
        <v>759</v>
      </c>
      <c r="AA1237" s="21" t="s">
        <v>2794</v>
      </c>
      <c r="AB1237" s="15"/>
      <c r="AI1237" s="21"/>
      <c r="AJ1237" s="21"/>
      <c r="AK1237" s="21"/>
    </row>
    <row r="1238" spans="25:37" x14ac:dyDescent="0.3">
      <c r="Y1238" s="20" t="s">
        <v>29</v>
      </c>
      <c r="Z1238" s="21" t="s">
        <v>760</v>
      </c>
      <c r="AA1238" s="21" t="s">
        <v>2795</v>
      </c>
      <c r="AB1238" s="15"/>
      <c r="AI1238" s="21"/>
      <c r="AJ1238" s="21"/>
      <c r="AK1238" s="21"/>
    </row>
    <row r="1239" spans="25:37" x14ac:dyDescent="0.3">
      <c r="Y1239" s="20" t="s">
        <v>29</v>
      </c>
      <c r="Z1239" s="21" t="s">
        <v>761</v>
      </c>
      <c r="AA1239" s="21" t="s">
        <v>2796</v>
      </c>
      <c r="AB1239" s="15"/>
      <c r="AI1239" s="21"/>
      <c r="AJ1239" s="21"/>
      <c r="AK1239" s="21"/>
    </row>
    <row r="1240" spans="25:37" x14ac:dyDescent="0.3">
      <c r="Y1240" s="20" t="s">
        <v>247</v>
      </c>
      <c r="Z1240" s="21" t="s">
        <v>762</v>
      </c>
      <c r="AA1240" s="21" t="s">
        <v>2797</v>
      </c>
      <c r="AB1240" s="15"/>
      <c r="AI1240" s="21"/>
      <c r="AJ1240" s="21"/>
      <c r="AK1240" s="21"/>
    </row>
    <row r="1241" spans="25:37" x14ac:dyDescent="0.3">
      <c r="Y1241" s="20" t="s">
        <v>29</v>
      </c>
      <c r="Z1241" s="21" t="s">
        <v>763</v>
      </c>
      <c r="AA1241" s="21" t="s">
        <v>2798</v>
      </c>
      <c r="AB1241" s="15"/>
      <c r="AI1241" s="21"/>
      <c r="AJ1241" s="21"/>
      <c r="AK1241" s="21"/>
    </row>
    <row r="1242" spans="25:37" x14ac:dyDescent="0.3">
      <c r="Y1242" s="20" t="s">
        <v>29</v>
      </c>
      <c r="Z1242" s="21" t="s">
        <v>764</v>
      </c>
      <c r="AA1242" s="21" t="s">
        <v>2799</v>
      </c>
      <c r="AB1242" s="15"/>
      <c r="AI1242" s="21"/>
      <c r="AJ1242" s="21"/>
      <c r="AK1242" s="21"/>
    </row>
    <row r="1243" spans="25:37" x14ac:dyDescent="0.3">
      <c r="Y1243" s="20" t="s">
        <v>230</v>
      </c>
      <c r="Z1243" s="21" t="s">
        <v>765</v>
      </c>
      <c r="AA1243" s="21" t="s">
        <v>2800</v>
      </c>
      <c r="AB1243" s="15"/>
      <c r="AI1243" s="21"/>
      <c r="AJ1243" s="21"/>
      <c r="AK1243" s="21"/>
    </row>
    <row r="1244" spans="25:37" x14ac:dyDescent="0.3">
      <c r="Y1244" s="20" t="s">
        <v>230</v>
      </c>
      <c r="Z1244" s="21" t="s">
        <v>766</v>
      </c>
      <c r="AA1244" s="21" t="s">
        <v>2801</v>
      </c>
      <c r="AB1244" s="15"/>
      <c r="AI1244" s="21"/>
      <c r="AJ1244" s="21"/>
      <c r="AK1244" s="21"/>
    </row>
    <row r="1245" spans="25:37" x14ac:dyDescent="0.3">
      <c r="Y1245" s="20" t="s">
        <v>230</v>
      </c>
      <c r="Z1245" s="21" t="s">
        <v>767</v>
      </c>
      <c r="AA1245" s="21" t="s">
        <v>2802</v>
      </c>
      <c r="AB1245" s="15"/>
      <c r="AI1245" s="21"/>
      <c r="AJ1245" s="21"/>
      <c r="AK1245" s="21"/>
    </row>
    <row r="1246" spans="25:37" x14ac:dyDescent="0.3">
      <c r="Y1246" s="20" t="s">
        <v>230</v>
      </c>
      <c r="Z1246" s="21" t="s">
        <v>768</v>
      </c>
      <c r="AA1246" s="21" t="s">
        <v>2803</v>
      </c>
      <c r="AB1246" s="15"/>
      <c r="AI1246" s="21"/>
      <c r="AJ1246" s="21"/>
      <c r="AK1246" s="21"/>
    </row>
    <row r="1247" spans="25:37" x14ac:dyDescent="0.3">
      <c r="Y1247" s="20" t="s">
        <v>247</v>
      </c>
      <c r="Z1247" s="21" t="s">
        <v>769</v>
      </c>
      <c r="AA1247" s="21" t="s">
        <v>2804</v>
      </c>
      <c r="AB1247" s="15"/>
      <c r="AI1247" s="21"/>
      <c r="AJ1247" s="21"/>
      <c r="AK1247" s="21"/>
    </row>
    <row r="1248" spans="25:37" x14ac:dyDescent="0.3">
      <c r="Y1248" s="20" t="s">
        <v>249</v>
      </c>
      <c r="Z1248" s="21" t="s">
        <v>770</v>
      </c>
      <c r="AA1248" s="21" t="s">
        <v>2805</v>
      </c>
      <c r="AB1248" s="15"/>
      <c r="AI1248" s="21"/>
      <c r="AJ1248" s="21"/>
      <c r="AK1248" s="21"/>
    </row>
    <row r="1249" spans="25:37" x14ac:dyDescent="0.3">
      <c r="Y1249" s="20" t="s">
        <v>247</v>
      </c>
      <c r="Z1249" s="21" t="s">
        <v>771</v>
      </c>
      <c r="AA1249" s="21" t="s">
        <v>2806</v>
      </c>
      <c r="AB1249" s="15"/>
      <c r="AI1249" s="21"/>
      <c r="AJ1249" s="21"/>
      <c r="AK1249" s="21"/>
    </row>
    <row r="1250" spans="25:37" x14ac:dyDescent="0.3">
      <c r="Y1250" s="20" t="s">
        <v>249</v>
      </c>
      <c r="Z1250" s="21" t="s">
        <v>772</v>
      </c>
      <c r="AA1250" s="21" t="s">
        <v>2807</v>
      </c>
      <c r="AB1250" s="15"/>
      <c r="AI1250" s="21"/>
      <c r="AJ1250" s="21"/>
      <c r="AK1250" s="21"/>
    </row>
    <row r="1251" spans="25:37" x14ac:dyDescent="0.3">
      <c r="Y1251" s="20" t="s">
        <v>231</v>
      </c>
      <c r="Z1251" s="21" t="s">
        <v>773</v>
      </c>
      <c r="AA1251" s="21" t="s">
        <v>2808</v>
      </c>
      <c r="AB1251" s="15"/>
      <c r="AI1251" s="15"/>
    </row>
    <row r="1252" spans="25:37" x14ac:dyDescent="0.3">
      <c r="Y1252" s="20" t="s">
        <v>29</v>
      </c>
      <c r="Z1252" s="21" t="s">
        <v>774</v>
      </c>
      <c r="AA1252" s="21" t="s">
        <v>2809</v>
      </c>
      <c r="AB1252" s="15"/>
      <c r="AI1252" s="15"/>
    </row>
    <row r="1253" spans="25:37" x14ac:dyDescent="0.3">
      <c r="Y1253" s="20" t="s">
        <v>230</v>
      </c>
      <c r="Z1253" s="21" t="s">
        <v>775</v>
      </c>
      <c r="AA1253" s="21" t="s">
        <v>2810</v>
      </c>
      <c r="AB1253" s="15"/>
      <c r="AI1253" s="15"/>
    </row>
    <row r="1254" spans="25:37" x14ac:dyDescent="0.3">
      <c r="Y1254" s="20" t="s">
        <v>29</v>
      </c>
      <c r="Z1254" s="21" t="s">
        <v>776</v>
      </c>
      <c r="AA1254" s="21" t="s">
        <v>2811</v>
      </c>
      <c r="AB1254" s="15"/>
      <c r="AI1254" s="15"/>
    </row>
    <row r="1255" spans="25:37" x14ac:dyDescent="0.3">
      <c r="Y1255" s="20" t="s">
        <v>1389</v>
      </c>
      <c r="Z1255" s="21" t="s">
        <v>777</v>
      </c>
      <c r="AA1255" s="21" t="s">
        <v>2812</v>
      </c>
      <c r="AB1255" s="15"/>
      <c r="AI1255" s="15"/>
    </row>
    <row r="1256" spans="25:37" x14ac:dyDescent="0.3">
      <c r="Y1256" s="20" t="s">
        <v>247</v>
      </c>
      <c r="Z1256" s="21" t="s">
        <v>778</v>
      </c>
      <c r="AA1256" s="21" t="s">
        <v>2813</v>
      </c>
      <c r="AB1256" s="15"/>
      <c r="AI1256" s="15"/>
    </row>
    <row r="1257" spans="25:37" x14ac:dyDescent="0.3">
      <c r="Y1257" s="20" t="s">
        <v>29</v>
      </c>
      <c r="Z1257" s="21" t="s">
        <v>779</v>
      </c>
      <c r="AA1257" s="21" t="s">
        <v>2814</v>
      </c>
      <c r="AB1257" s="15"/>
      <c r="AI1257" s="15"/>
    </row>
    <row r="1258" spans="25:37" x14ac:dyDescent="0.3">
      <c r="Y1258" s="20" t="s">
        <v>1389</v>
      </c>
      <c r="Z1258" s="21" t="s">
        <v>780</v>
      </c>
      <c r="AA1258" s="21" t="s">
        <v>2815</v>
      </c>
      <c r="AB1258" s="15"/>
      <c r="AI1258" s="15"/>
    </row>
    <row r="1259" spans="25:37" x14ac:dyDescent="0.3">
      <c r="Y1259" s="20" t="s">
        <v>29</v>
      </c>
      <c r="Z1259" s="21" t="s">
        <v>781</v>
      </c>
      <c r="AA1259" s="21" t="s">
        <v>2816</v>
      </c>
      <c r="AB1259" s="15"/>
      <c r="AI1259" s="15"/>
    </row>
    <row r="1260" spans="25:37" x14ac:dyDescent="0.3">
      <c r="Y1260" s="20" t="s">
        <v>1389</v>
      </c>
      <c r="Z1260" s="21" t="s">
        <v>782</v>
      </c>
      <c r="AA1260" s="21" t="s">
        <v>2817</v>
      </c>
      <c r="AB1260" s="15"/>
      <c r="AI1260" s="15"/>
    </row>
    <row r="1261" spans="25:37" x14ac:dyDescent="0.3">
      <c r="Y1261" s="20" t="s">
        <v>247</v>
      </c>
      <c r="Z1261" s="21" t="s">
        <v>783</v>
      </c>
      <c r="AA1261" s="21" t="s">
        <v>2818</v>
      </c>
      <c r="AB1261" s="15"/>
      <c r="AI1261" s="15"/>
    </row>
    <row r="1262" spans="25:37" x14ac:dyDescent="0.3">
      <c r="Y1262" s="20" t="s">
        <v>247</v>
      </c>
      <c r="Z1262" s="21" t="s">
        <v>784</v>
      </c>
      <c r="AA1262" s="21" t="s">
        <v>2819</v>
      </c>
      <c r="AB1262" s="15"/>
      <c r="AI1262" s="15"/>
    </row>
    <row r="1263" spans="25:37" x14ac:dyDescent="0.3">
      <c r="Y1263" s="20" t="s">
        <v>249</v>
      </c>
      <c r="Z1263" s="21" t="s">
        <v>785</v>
      </c>
      <c r="AA1263" s="21" t="s">
        <v>2820</v>
      </c>
      <c r="AB1263" s="15"/>
      <c r="AI1263" s="15"/>
    </row>
    <row r="1264" spans="25:37" x14ac:dyDescent="0.3">
      <c r="Y1264" s="20" t="s">
        <v>29</v>
      </c>
      <c r="Z1264" s="21" t="s">
        <v>786</v>
      </c>
      <c r="AA1264" s="21" t="s">
        <v>2821</v>
      </c>
      <c r="AB1264" s="15"/>
      <c r="AI1264" s="15"/>
    </row>
    <row r="1265" spans="25:35" x14ac:dyDescent="0.3">
      <c r="Y1265" s="20" t="s">
        <v>29</v>
      </c>
      <c r="Z1265" s="21" t="s">
        <v>787</v>
      </c>
      <c r="AA1265" s="21" t="s">
        <v>2822</v>
      </c>
      <c r="AB1265" s="15"/>
      <c r="AI1265" s="15"/>
    </row>
    <row r="1266" spans="25:35" x14ac:dyDescent="0.3">
      <c r="Y1266" s="20" t="s">
        <v>249</v>
      </c>
      <c r="Z1266" s="21" t="s">
        <v>788</v>
      </c>
      <c r="AA1266" s="21" t="s">
        <v>2823</v>
      </c>
      <c r="AB1266" s="15"/>
      <c r="AI1266" s="15"/>
    </row>
    <row r="1267" spans="25:35" x14ac:dyDescent="0.3">
      <c r="Y1267" s="20" t="s">
        <v>249</v>
      </c>
      <c r="Z1267" s="21" t="s">
        <v>789</v>
      </c>
      <c r="AA1267" s="21" t="s">
        <v>2824</v>
      </c>
      <c r="AB1267" s="15"/>
      <c r="AI1267" s="15"/>
    </row>
    <row r="1268" spans="25:35" x14ac:dyDescent="0.3">
      <c r="Y1268" s="20" t="s">
        <v>231</v>
      </c>
      <c r="Z1268" s="21" t="s">
        <v>790</v>
      </c>
      <c r="AA1268" s="21" t="s">
        <v>2825</v>
      </c>
      <c r="AB1268" s="15"/>
      <c r="AI1268" s="15"/>
    </row>
    <row r="1269" spans="25:35" x14ac:dyDescent="0.3">
      <c r="Y1269" s="20" t="s">
        <v>249</v>
      </c>
      <c r="Z1269" s="21" t="s">
        <v>791</v>
      </c>
      <c r="AA1269" s="21" t="s">
        <v>2826</v>
      </c>
      <c r="AB1269" s="15"/>
      <c r="AI1269" s="15"/>
    </row>
    <row r="1270" spans="25:35" x14ac:dyDescent="0.3">
      <c r="Y1270" s="20" t="s">
        <v>29</v>
      </c>
      <c r="Z1270" s="21" t="s">
        <v>792</v>
      </c>
      <c r="AA1270" s="21" t="s">
        <v>2827</v>
      </c>
      <c r="AB1270" s="15"/>
      <c r="AI1270" s="15"/>
    </row>
    <row r="1271" spans="25:35" x14ac:dyDescent="0.3">
      <c r="Y1271" s="20" t="s">
        <v>29</v>
      </c>
      <c r="Z1271" s="21" t="s">
        <v>793</v>
      </c>
      <c r="AA1271" s="21" t="s">
        <v>2828</v>
      </c>
      <c r="AB1271" s="15"/>
      <c r="AI1271" s="15"/>
    </row>
    <row r="1272" spans="25:35" x14ac:dyDescent="0.3">
      <c r="Y1272" s="20" t="s">
        <v>230</v>
      </c>
      <c r="Z1272" s="21" t="s">
        <v>794</v>
      </c>
      <c r="AA1272" s="21" t="s">
        <v>2829</v>
      </c>
      <c r="AB1272" s="15"/>
      <c r="AI1272" s="15"/>
    </row>
    <row r="1273" spans="25:35" x14ac:dyDescent="0.3">
      <c r="Y1273" s="20" t="s">
        <v>230</v>
      </c>
      <c r="Z1273" s="21" t="s">
        <v>795</v>
      </c>
      <c r="AA1273" s="21" t="s">
        <v>2830</v>
      </c>
      <c r="AB1273" s="15"/>
      <c r="AI1273" s="15"/>
    </row>
    <row r="1274" spans="25:35" x14ac:dyDescent="0.3">
      <c r="Y1274" s="20" t="s">
        <v>1389</v>
      </c>
      <c r="Z1274" s="21" t="s">
        <v>796</v>
      </c>
      <c r="AA1274" s="21" t="s">
        <v>2831</v>
      </c>
      <c r="AB1274" s="15"/>
      <c r="AI1274" s="15"/>
    </row>
    <row r="1275" spans="25:35" x14ac:dyDescent="0.3">
      <c r="Y1275" s="20" t="s">
        <v>231</v>
      </c>
      <c r="Z1275" s="21" t="s">
        <v>797</v>
      </c>
      <c r="AA1275" s="21" t="s">
        <v>2832</v>
      </c>
      <c r="AB1275" s="15"/>
      <c r="AI1275" s="15"/>
    </row>
    <row r="1276" spans="25:35" x14ac:dyDescent="0.3">
      <c r="Y1276" s="20" t="s">
        <v>247</v>
      </c>
      <c r="Z1276" s="21" t="s">
        <v>798</v>
      </c>
      <c r="AA1276" s="21" t="s">
        <v>2833</v>
      </c>
      <c r="AB1276" s="15"/>
      <c r="AI1276" s="15"/>
    </row>
    <row r="1277" spans="25:35" x14ac:dyDescent="0.3">
      <c r="Y1277" s="20" t="s">
        <v>29</v>
      </c>
      <c r="Z1277" s="21" t="s">
        <v>799</v>
      </c>
      <c r="AA1277" s="21" t="s">
        <v>2834</v>
      </c>
      <c r="AB1277" s="15"/>
      <c r="AI1277" s="15"/>
    </row>
    <row r="1278" spans="25:35" x14ac:dyDescent="0.3">
      <c r="Y1278" s="20" t="s">
        <v>1389</v>
      </c>
      <c r="Z1278" s="21" t="s">
        <v>800</v>
      </c>
      <c r="AA1278" s="21" t="s">
        <v>2835</v>
      </c>
      <c r="AB1278" s="15"/>
      <c r="AI1278" s="15"/>
    </row>
    <row r="1279" spans="25:35" x14ac:dyDescent="0.3">
      <c r="Y1279" s="20" t="s">
        <v>1389</v>
      </c>
      <c r="Z1279" s="21" t="s">
        <v>801</v>
      </c>
      <c r="AA1279" s="21" t="s">
        <v>2836</v>
      </c>
      <c r="AB1279" s="15"/>
      <c r="AI1279" s="15"/>
    </row>
    <row r="1280" spans="25:35" x14ac:dyDescent="0.3">
      <c r="Y1280" s="20" t="s">
        <v>247</v>
      </c>
      <c r="Z1280" s="21" t="s">
        <v>802</v>
      </c>
      <c r="AA1280" s="21" t="s">
        <v>2837</v>
      </c>
      <c r="AB1280" s="15"/>
      <c r="AI1280" s="15"/>
    </row>
    <row r="1281" spans="25:35" x14ac:dyDescent="0.3">
      <c r="Y1281" s="20" t="s">
        <v>29</v>
      </c>
      <c r="Z1281" s="21" t="s">
        <v>803</v>
      </c>
      <c r="AA1281" s="21" t="s">
        <v>2838</v>
      </c>
      <c r="AB1281" s="15"/>
      <c r="AI1281" s="15"/>
    </row>
    <row r="1282" spans="25:35" x14ac:dyDescent="0.3">
      <c r="Y1282" s="20" t="s">
        <v>249</v>
      </c>
      <c r="Z1282" s="21" t="s">
        <v>804</v>
      </c>
      <c r="AA1282" s="21" t="s">
        <v>2839</v>
      </c>
      <c r="AB1282" s="15"/>
      <c r="AI1282" s="15"/>
    </row>
    <row r="1283" spans="25:35" x14ac:dyDescent="0.3">
      <c r="Y1283" s="20" t="s">
        <v>230</v>
      </c>
      <c r="Z1283" s="21" t="s">
        <v>805</v>
      </c>
      <c r="AA1283" s="21" t="s">
        <v>2840</v>
      </c>
      <c r="AB1283" s="15"/>
      <c r="AI1283" s="15"/>
    </row>
    <row r="1284" spans="25:35" x14ac:dyDescent="0.3">
      <c r="Y1284" s="20" t="s">
        <v>249</v>
      </c>
      <c r="Z1284" s="21" t="s">
        <v>806</v>
      </c>
      <c r="AA1284" s="21" t="s">
        <v>2841</v>
      </c>
      <c r="AB1284" s="15"/>
      <c r="AI1284" s="15"/>
    </row>
    <row r="1285" spans="25:35" x14ac:dyDescent="0.3">
      <c r="Y1285" s="20" t="s">
        <v>247</v>
      </c>
      <c r="Z1285" s="21" t="s">
        <v>807</v>
      </c>
      <c r="AA1285" s="21" t="s">
        <v>2842</v>
      </c>
      <c r="AB1285" s="15"/>
      <c r="AI1285" s="15"/>
    </row>
    <row r="1286" spans="25:35" x14ac:dyDescent="0.3">
      <c r="Y1286" s="20" t="s">
        <v>247</v>
      </c>
      <c r="Z1286" s="21" t="s">
        <v>808</v>
      </c>
      <c r="AA1286" s="21" t="s">
        <v>2843</v>
      </c>
      <c r="AB1286" s="15"/>
      <c r="AI1286" s="15"/>
    </row>
    <row r="1287" spans="25:35" x14ac:dyDescent="0.3">
      <c r="Y1287" s="20" t="s">
        <v>247</v>
      </c>
      <c r="Z1287" s="21" t="s">
        <v>809</v>
      </c>
      <c r="AA1287" s="21" t="s">
        <v>2844</v>
      </c>
      <c r="AB1287" s="15"/>
      <c r="AI1287" s="15"/>
    </row>
    <row r="1288" spans="25:35" x14ac:dyDescent="0.3">
      <c r="Y1288" s="20" t="s">
        <v>247</v>
      </c>
      <c r="Z1288" s="21" t="s">
        <v>810</v>
      </c>
      <c r="AA1288" s="21" t="s">
        <v>2845</v>
      </c>
      <c r="AB1288" s="15"/>
      <c r="AI1288" s="15"/>
    </row>
    <row r="1289" spans="25:35" x14ac:dyDescent="0.3">
      <c r="Y1289" s="20" t="s">
        <v>29</v>
      </c>
      <c r="Z1289" s="21" t="s">
        <v>811</v>
      </c>
      <c r="AA1289" s="21" t="s">
        <v>2846</v>
      </c>
      <c r="AB1289" s="15"/>
      <c r="AI1289" s="15"/>
    </row>
    <row r="1290" spans="25:35" x14ac:dyDescent="0.3">
      <c r="Y1290" s="20" t="s">
        <v>231</v>
      </c>
      <c r="Z1290" s="21" t="s">
        <v>812</v>
      </c>
      <c r="AA1290" s="21" t="s">
        <v>2847</v>
      </c>
      <c r="AB1290" s="15"/>
      <c r="AI1290" s="15"/>
    </row>
    <row r="1291" spans="25:35" x14ac:dyDescent="0.3">
      <c r="Y1291" s="20" t="s">
        <v>247</v>
      </c>
      <c r="Z1291" s="21" t="s">
        <v>813</v>
      </c>
      <c r="AA1291" s="21" t="s">
        <v>2848</v>
      </c>
      <c r="AB1291" s="15"/>
      <c r="AI1291" s="15"/>
    </row>
    <row r="1292" spans="25:35" x14ac:dyDescent="0.3">
      <c r="Y1292" s="20" t="s">
        <v>231</v>
      </c>
      <c r="Z1292" s="21" t="s">
        <v>814</v>
      </c>
      <c r="AA1292" s="21" t="s">
        <v>2849</v>
      </c>
      <c r="AB1292" s="15"/>
      <c r="AI1292" s="15"/>
    </row>
    <row r="1293" spans="25:35" x14ac:dyDescent="0.3">
      <c r="Y1293" s="20" t="s">
        <v>247</v>
      </c>
      <c r="Z1293" s="21" t="s">
        <v>815</v>
      </c>
      <c r="AA1293" s="21" t="s">
        <v>2850</v>
      </c>
      <c r="AB1293" s="15"/>
      <c r="AI1293" s="15"/>
    </row>
    <row r="1294" spans="25:35" x14ac:dyDescent="0.3">
      <c r="Y1294" s="20" t="s">
        <v>247</v>
      </c>
      <c r="Z1294" s="21" t="s">
        <v>816</v>
      </c>
      <c r="AA1294" s="21" t="s">
        <v>2851</v>
      </c>
      <c r="AB1294" s="15"/>
      <c r="AI1294" s="15"/>
    </row>
    <row r="1295" spans="25:35" x14ac:dyDescent="0.3">
      <c r="Y1295" s="20" t="s">
        <v>29</v>
      </c>
      <c r="Z1295" s="21" t="s">
        <v>817</v>
      </c>
      <c r="AA1295" s="21" t="s">
        <v>2852</v>
      </c>
      <c r="AB1295" s="15"/>
      <c r="AI1295" s="15"/>
    </row>
    <row r="1296" spans="25:35" x14ac:dyDescent="0.3">
      <c r="Y1296" s="20" t="s">
        <v>231</v>
      </c>
      <c r="Z1296" s="21" t="s">
        <v>818</v>
      </c>
      <c r="AA1296" s="21" t="s">
        <v>2853</v>
      </c>
      <c r="AB1296" s="15"/>
      <c r="AI1296" s="15"/>
    </row>
    <row r="1297" spans="25:35" x14ac:dyDescent="0.3">
      <c r="Y1297" s="20" t="s">
        <v>230</v>
      </c>
      <c r="Z1297" s="21" t="s">
        <v>819</v>
      </c>
      <c r="AA1297" s="21" t="s">
        <v>2854</v>
      </c>
      <c r="AB1297" s="15"/>
      <c r="AI1297" s="15"/>
    </row>
    <row r="1298" spans="25:35" x14ac:dyDescent="0.3">
      <c r="Y1298" s="20" t="s">
        <v>1389</v>
      </c>
      <c r="Z1298" s="21" t="s">
        <v>820</v>
      </c>
      <c r="AA1298" s="21" t="s">
        <v>2855</v>
      </c>
      <c r="AB1298" s="15"/>
      <c r="AI1298" s="15"/>
    </row>
    <row r="1299" spans="25:35" x14ac:dyDescent="0.3">
      <c r="Y1299" s="20" t="s">
        <v>247</v>
      </c>
      <c r="Z1299" s="21" t="s">
        <v>821</v>
      </c>
      <c r="AA1299" s="21" t="s">
        <v>2856</v>
      </c>
      <c r="AB1299" s="15"/>
      <c r="AI1299" s="15"/>
    </row>
    <row r="1300" spans="25:35" x14ac:dyDescent="0.3">
      <c r="Y1300" s="20" t="s">
        <v>230</v>
      </c>
      <c r="Z1300" s="21" t="s">
        <v>822</v>
      </c>
      <c r="AA1300" s="21" t="s">
        <v>2857</v>
      </c>
      <c r="AB1300" s="15"/>
      <c r="AI1300" s="15"/>
    </row>
    <row r="1301" spans="25:35" x14ac:dyDescent="0.3">
      <c r="Y1301" s="20" t="s">
        <v>247</v>
      </c>
      <c r="Z1301" s="21" t="s">
        <v>823</v>
      </c>
      <c r="AA1301" s="21" t="s">
        <v>2858</v>
      </c>
      <c r="AB1301" s="15"/>
      <c r="AI1301" s="15"/>
    </row>
    <row r="1302" spans="25:35" x14ac:dyDescent="0.3">
      <c r="Y1302" s="20" t="s">
        <v>231</v>
      </c>
      <c r="Z1302" s="21" t="s">
        <v>824</v>
      </c>
      <c r="AA1302" s="21" t="s">
        <v>2859</v>
      </c>
      <c r="AB1302" s="15"/>
      <c r="AI1302" s="15"/>
    </row>
    <row r="1303" spans="25:35" x14ac:dyDescent="0.3">
      <c r="Y1303" s="20" t="s">
        <v>231</v>
      </c>
      <c r="Z1303" s="21" t="s">
        <v>825</v>
      </c>
      <c r="AA1303" s="21" t="s">
        <v>2860</v>
      </c>
      <c r="AB1303" s="15"/>
      <c r="AI1303" s="15"/>
    </row>
    <row r="1304" spans="25:35" x14ac:dyDescent="0.3">
      <c r="Y1304" s="20" t="s">
        <v>231</v>
      </c>
      <c r="Z1304" s="21" t="s">
        <v>826</v>
      </c>
      <c r="AA1304" s="21" t="s">
        <v>2861</v>
      </c>
      <c r="AB1304" s="15"/>
      <c r="AI1304" s="15"/>
    </row>
    <row r="1305" spans="25:35" x14ac:dyDescent="0.3">
      <c r="Y1305" s="20" t="s">
        <v>231</v>
      </c>
      <c r="Z1305" s="21" t="s">
        <v>827</v>
      </c>
      <c r="AA1305" s="21" t="s">
        <v>2862</v>
      </c>
      <c r="AB1305" s="15"/>
      <c r="AI1305" s="15"/>
    </row>
    <row r="1306" spans="25:35" x14ac:dyDescent="0.3">
      <c r="Y1306" s="20" t="s">
        <v>231</v>
      </c>
      <c r="Z1306" s="21" t="s">
        <v>828</v>
      </c>
      <c r="AA1306" s="21" t="s">
        <v>2863</v>
      </c>
      <c r="AB1306" s="15"/>
      <c r="AI1306" s="15"/>
    </row>
    <row r="1307" spans="25:35" x14ac:dyDescent="0.3">
      <c r="Y1307" s="20" t="s">
        <v>232</v>
      </c>
      <c r="Z1307" s="21" t="s">
        <v>829</v>
      </c>
      <c r="AA1307" s="21" t="s">
        <v>2864</v>
      </c>
      <c r="AB1307" s="15"/>
      <c r="AI1307" s="15"/>
    </row>
    <row r="1308" spans="25:35" x14ac:dyDescent="0.3">
      <c r="Y1308" s="20" t="s">
        <v>247</v>
      </c>
      <c r="Z1308" s="21" t="s">
        <v>830</v>
      </c>
      <c r="AA1308" s="21" t="s">
        <v>2865</v>
      </c>
      <c r="AB1308" s="15"/>
      <c r="AI1308" s="15"/>
    </row>
    <row r="1309" spans="25:35" x14ac:dyDescent="0.3">
      <c r="Y1309" s="20" t="s">
        <v>247</v>
      </c>
      <c r="Z1309" s="21" t="s">
        <v>831</v>
      </c>
      <c r="AA1309" s="21" t="s">
        <v>2866</v>
      </c>
      <c r="AB1309" s="15"/>
      <c r="AI1309" s="15"/>
    </row>
    <row r="1310" spans="25:35" x14ac:dyDescent="0.3">
      <c r="Y1310" s="20" t="s">
        <v>232</v>
      </c>
      <c r="Z1310" s="21" t="s">
        <v>832</v>
      </c>
      <c r="AA1310" s="21" t="s">
        <v>2867</v>
      </c>
      <c r="AB1310" s="15"/>
      <c r="AI1310" s="15"/>
    </row>
    <row r="1311" spans="25:35" x14ac:dyDescent="0.3">
      <c r="Y1311" s="20" t="s">
        <v>249</v>
      </c>
      <c r="Z1311" s="21" t="s">
        <v>833</v>
      </c>
      <c r="AA1311" s="21" t="s">
        <v>2868</v>
      </c>
      <c r="AB1311" s="15"/>
      <c r="AI1311" s="15"/>
    </row>
    <row r="1312" spans="25:35" x14ac:dyDescent="0.3">
      <c r="Y1312" s="20" t="s">
        <v>232</v>
      </c>
      <c r="Z1312" s="21" t="s">
        <v>834</v>
      </c>
      <c r="AA1312" s="21" t="s">
        <v>2869</v>
      </c>
      <c r="AB1312" s="15"/>
      <c r="AI1312" s="15"/>
    </row>
    <row r="1313" spans="25:35" x14ac:dyDescent="0.3">
      <c r="Y1313" s="20" t="s">
        <v>249</v>
      </c>
      <c r="Z1313" s="21" t="s">
        <v>835</v>
      </c>
      <c r="AA1313" s="21" t="s">
        <v>2870</v>
      </c>
      <c r="AB1313" s="15"/>
      <c r="AI1313" s="15"/>
    </row>
    <row r="1314" spans="25:35" x14ac:dyDescent="0.3">
      <c r="Y1314" s="20" t="s">
        <v>247</v>
      </c>
      <c r="Z1314" s="21" t="s">
        <v>836</v>
      </c>
      <c r="AA1314" s="21" t="s">
        <v>2871</v>
      </c>
      <c r="AB1314" s="15"/>
      <c r="AI1314" s="15"/>
    </row>
    <row r="1315" spans="25:35" x14ac:dyDescent="0.3">
      <c r="Y1315" s="20" t="s">
        <v>247</v>
      </c>
      <c r="Z1315" s="21" t="s">
        <v>837</v>
      </c>
      <c r="AA1315" s="21" t="s">
        <v>2872</v>
      </c>
      <c r="AB1315" s="15"/>
      <c r="AI1315" s="15"/>
    </row>
    <row r="1316" spans="25:35" x14ac:dyDescent="0.3">
      <c r="Y1316" s="20" t="s">
        <v>231</v>
      </c>
      <c r="Z1316" s="21" t="s">
        <v>838</v>
      </c>
      <c r="AA1316" s="21" t="s">
        <v>2873</v>
      </c>
      <c r="AB1316" s="15"/>
      <c r="AI1316" s="15"/>
    </row>
    <row r="1317" spans="25:35" x14ac:dyDescent="0.3">
      <c r="Y1317" s="20" t="s">
        <v>1389</v>
      </c>
      <c r="Z1317" s="21" t="s">
        <v>839</v>
      </c>
      <c r="AA1317" s="21" t="s">
        <v>2874</v>
      </c>
      <c r="AB1317" s="15"/>
      <c r="AI1317" s="15"/>
    </row>
    <row r="1318" spans="25:35" x14ac:dyDescent="0.3">
      <c r="Y1318" s="20" t="s">
        <v>231</v>
      </c>
      <c r="Z1318" s="21" t="s">
        <v>840</v>
      </c>
      <c r="AA1318" s="21" t="s">
        <v>2875</v>
      </c>
      <c r="AB1318" s="15"/>
      <c r="AI1318" s="15"/>
    </row>
    <row r="1319" spans="25:35" x14ac:dyDescent="0.3">
      <c r="Y1319" s="20" t="s">
        <v>247</v>
      </c>
      <c r="Z1319" s="21" t="s">
        <v>841</v>
      </c>
      <c r="AA1319" s="21" t="s">
        <v>2876</v>
      </c>
      <c r="AB1319" s="15"/>
      <c r="AI1319" s="15"/>
    </row>
    <row r="1320" spans="25:35" x14ac:dyDescent="0.3">
      <c r="Y1320" s="20" t="s">
        <v>29</v>
      </c>
      <c r="Z1320" s="21" t="s">
        <v>842</v>
      </c>
      <c r="AA1320" s="21" t="s">
        <v>2877</v>
      </c>
      <c r="AB1320" s="15"/>
      <c r="AI1320" s="15"/>
    </row>
    <row r="1321" spans="25:35" x14ac:dyDescent="0.3">
      <c r="Y1321" s="20" t="s">
        <v>231</v>
      </c>
      <c r="Z1321" s="21" t="s">
        <v>843</v>
      </c>
      <c r="AA1321" s="21" t="s">
        <v>2878</v>
      </c>
      <c r="AB1321" s="15"/>
      <c r="AI1321" s="15"/>
    </row>
    <row r="1322" spans="25:35" x14ac:dyDescent="0.3">
      <c r="Y1322" s="20" t="s">
        <v>251</v>
      </c>
      <c r="Z1322" s="21" t="s">
        <v>844</v>
      </c>
      <c r="AA1322" s="21" t="s">
        <v>2879</v>
      </c>
      <c r="AB1322" s="15"/>
      <c r="AI1322" s="15"/>
    </row>
    <row r="1323" spans="25:35" x14ac:dyDescent="0.3">
      <c r="Y1323" s="20" t="s">
        <v>231</v>
      </c>
      <c r="Z1323" s="21" t="s">
        <v>845</v>
      </c>
      <c r="AA1323" s="21" t="s">
        <v>2880</v>
      </c>
      <c r="AB1323" s="15"/>
      <c r="AI1323" s="15"/>
    </row>
    <row r="1324" spans="25:35" x14ac:dyDescent="0.3">
      <c r="Y1324" s="20" t="s">
        <v>231</v>
      </c>
      <c r="Z1324" s="21" t="s">
        <v>846</v>
      </c>
      <c r="AA1324" s="21" t="s">
        <v>2881</v>
      </c>
      <c r="AB1324" s="15"/>
      <c r="AI1324" s="15"/>
    </row>
    <row r="1325" spans="25:35" x14ac:dyDescent="0.3">
      <c r="Y1325" s="20" t="s">
        <v>29</v>
      </c>
      <c r="Z1325" s="21" t="s">
        <v>847</v>
      </c>
      <c r="AA1325" s="21" t="s">
        <v>2882</v>
      </c>
      <c r="AB1325" s="15"/>
      <c r="AI1325" s="15"/>
    </row>
    <row r="1326" spans="25:35" x14ac:dyDescent="0.3">
      <c r="Y1326" s="20" t="s">
        <v>249</v>
      </c>
      <c r="Z1326" s="21" t="s">
        <v>848</v>
      </c>
      <c r="AA1326" s="21" t="s">
        <v>2883</v>
      </c>
      <c r="AB1326" s="15"/>
      <c r="AI1326" s="15"/>
    </row>
    <row r="1327" spans="25:35" x14ac:dyDescent="0.3">
      <c r="Y1327" s="20" t="s">
        <v>29</v>
      </c>
      <c r="Z1327" s="21" t="s">
        <v>849</v>
      </c>
      <c r="AA1327" s="21" t="s">
        <v>2884</v>
      </c>
      <c r="AB1327" s="15"/>
      <c r="AI1327" s="15"/>
    </row>
    <row r="1328" spans="25:35" x14ac:dyDescent="0.3">
      <c r="Y1328" s="20" t="s">
        <v>1389</v>
      </c>
      <c r="Z1328" s="21" t="s">
        <v>850</v>
      </c>
      <c r="AA1328" s="21" t="s">
        <v>2885</v>
      </c>
      <c r="AB1328" s="15"/>
      <c r="AI1328" s="15"/>
    </row>
    <row r="1329" spans="25:35" x14ac:dyDescent="0.3">
      <c r="Y1329" s="20" t="s">
        <v>247</v>
      </c>
      <c r="Z1329" s="21" t="s">
        <v>851</v>
      </c>
      <c r="AA1329" s="21" t="s">
        <v>2886</v>
      </c>
      <c r="AB1329" s="15"/>
      <c r="AI1329" s="15"/>
    </row>
    <row r="1330" spans="25:35" x14ac:dyDescent="0.3">
      <c r="Y1330" s="20" t="s">
        <v>228</v>
      </c>
      <c r="Z1330" s="21" t="s">
        <v>852</v>
      </c>
      <c r="AA1330" s="21" t="s">
        <v>2887</v>
      </c>
      <c r="AB1330" s="15"/>
      <c r="AI1330" s="15"/>
    </row>
    <row r="1331" spans="25:35" x14ac:dyDescent="0.3">
      <c r="Y1331" s="20" t="s">
        <v>247</v>
      </c>
      <c r="Z1331" s="21" t="s">
        <v>853</v>
      </c>
      <c r="AA1331" s="21" t="s">
        <v>2888</v>
      </c>
      <c r="AB1331" s="15"/>
      <c r="AI1331" s="15"/>
    </row>
    <row r="1332" spans="25:35" x14ac:dyDescent="0.3">
      <c r="Y1332" s="20" t="s">
        <v>232</v>
      </c>
      <c r="Z1332" s="21" t="s">
        <v>854</v>
      </c>
      <c r="AA1332" s="21" t="s">
        <v>2889</v>
      </c>
      <c r="AB1332" s="15"/>
      <c r="AI1332" s="15"/>
    </row>
    <row r="1333" spans="25:35" x14ac:dyDescent="0.3">
      <c r="Y1333" s="20" t="s">
        <v>231</v>
      </c>
      <c r="Z1333" s="21" t="s">
        <v>855</v>
      </c>
      <c r="AA1333" s="21" t="s">
        <v>2890</v>
      </c>
      <c r="AB1333" s="15"/>
      <c r="AI1333" s="15"/>
    </row>
    <row r="1334" spans="25:35" x14ac:dyDescent="0.3">
      <c r="Y1334" s="20" t="s">
        <v>231</v>
      </c>
      <c r="Z1334" s="21" t="s">
        <v>856</v>
      </c>
      <c r="AA1334" s="21" t="s">
        <v>2891</v>
      </c>
      <c r="AB1334" s="15"/>
      <c r="AI1334" s="15"/>
    </row>
    <row r="1335" spans="25:35" x14ac:dyDescent="0.3">
      <c r="Y1335" s="20" t="s">
        <v>29</v>
      </c>
      <c r="Z1335" s="21" t="s">
        <v>857</v>
      </c>
      <c r="AA1335" s="21" t="s">
        <v>2892</v>
      </c>
      <c r="AB1335" s="15"/>
      <c r="AI1335" s="15"/>
    </row>
    <row r="1336" spans="25:35" x14ac:dyDescent="0.3">
      <c r="Y1336" s="20" t="s">
        <v>247</v>
      </c>
      <c r="Z1336" s="21" t="s">
        <v>858</v>
      </c>
      <c r="AA1336" s="21" t="s">
        <v>2893</v>
      </c>
      <c r="AB1336" s="15"/>
      <c r="AI1336" s="15"/>
    </row>
    <row r="1337" spans="25:35" x14ac:dyDescent="0.3">
      <c r="Y1337" s="20" t="s">
        <v>232</v>
      </c>
      <c r="Z1337" s="21" t="s">
        <v>859</v>
      </c>
      <c r="AA1337" s="21" t="s">
        <v>2894</v>
      </c>
      <c r="AB1337" s="15"/>
      <c r="AI1337" s="15"/>
    </row>
    <row r="1338" spans="25:35" x14ac:dyDescent="0.3">
      <c r="Y1338" s="20" t="s">
        <v>1389</v>
      </c>
      <c r="Z1338" s="21" t="s">
        <v>860</v>
      </c>
      <c r="AA1338" s="21" t="s">
        <v>2895</v>
      </c>
      <c r="AB1338" s="15"/>
      <c r="AI1338" s="15"/>
    </row>
    <row r="1339" spans="25:35" x14ac:dyDescent="0.3">
      <c r="Y1339" s="20" t="s">
        <v>29</v>
      </c>
      <c r="Z1339" s="21" t="s">
        <v>861</v>
      </c>
      <c r="AA1339" s="21" t="s">
        <v>2896</v>
      </c>
      <c r="AB1339" s="15"/>
      <c r="AI1339" s="15"/>
    </row>
    <row r="1340" spans="25:35" x14ac:dyDescent="0.3">
      <c r="Y1340" s="20" t="s">
        <v>29</v>
      </c>
      <c r="Z1340" s="21" t="s">
        <v>862</v>
      </c>
      <c r="AA1340" s="21" t="s">
        <v>2897</v>
      </c>
      <c r="AB1340" s="15"/>
      <c r="AI1340" s="15"/>
    </row>
    <row r="1341" spans="25:35" x14ac:dyDescent="0.3">
      <c r="Y1341" s="20" t="s">
        <v>231</v>
      </c>
      <c r="Z1341" s="21" t="s">
        <v>863</v>
      </c>
      <c r="AA1341" s="21" t="s">
        <v>2898</v>
      </c>
      <c r="AB1341" s="15"/>
      <c r="AI1341" s="15"/>
    </row>
    <row r="1342" spans="25:35" x14ac:dyDescent="0.3">
      <c r="Y1342" s="20" t="s">
        <v>29</v>
      </c>
      <c r="Z1342" s="21" t="s">
        <v>864</v>
      </c>
      <c r="AA1342" s="21" t="s">
        <v>2899</v>
      </c>
      <c r="AB1342" s="15"/>
      <c r="AI1342" s="15"/>
    </row>
    <row r="1343" spans="25:35" x14ac:dyDescent="0.3">
      <c r="Y1343" s="20" t="s">
        <v>231</v>
      </c>
      <c r="Z1343" s="21" t="s">
        <v>865</v>
      </c>
      <c r="AA1343" s="21" t="s">
        <v>2900</v>
      </c>
      <c r="AB1343" s="15"/>
      <c r="AI1343" s="15"/>
    </row>
    <row r="1344" spans="25:35" x14ac:dyDescent="0.3">
      <c r="Y1344" s="20" t="s">
        <v>29</v>
      </c>
      <c r="Z1344" s="21" t="s">
        <v>866</v>
      </c>
      <c r="AA1344" s="21" t="s">
        <v>2901</v>
      </c>
      <c r="AB1344" s="15"/>
      <c r="AI1344" s="15"/>
    </row>
    <row r="1345" spans="25:35" x14ac:dyDescent="0.3">
      <c r="Y1345" s="20" t="s">
        <v>231</v>
      </c>
      <c r="Z1345" s="21" t="s">
        <v>867</v>
      </c>
      <c r="AA1345" s="21" t="s">
        <v>2902</v>
      </c>
      <c r="AB1345" s="15"/>
      <c r="AI1345" s="15"/>
    </row>
    <row r="1346" spans="25:35" x14ac:dyDescent="0.3">
      <c r="Y1346" s="20" t="s">
        <v>231</v>
      </c>
      <c r="Z1346" s="21" t="s">
        <v>868</v>
      </c>
      <c r="AA1346" s="21" t="s">
        <v>2903</v>
      </c>
      <c r="AB1346" s="15"/>
      <c r="AI1346" s="15"/>
    </row>
    <row r="1347" spans="25:35" x14ac:dyDescent="0.3">
      <c r="Y1347" s="20" t="s">
        <v>249</v>
      </c>
      <c r="Z1347" s="21" t="s">
        <v>869</v>
      </c>
      <c r="AA1347" s="21" t="s">
        <v>2904</v>
      </c>
      <c r="AB1347" s="15"/>
      <c r="AI1347" s="15"/>
    </row>
    <row r="1348" spans="25:35" x14ac:dyDescent="0.3">
      <c r="Y1348" s="20" t="s">
        <v>231</v>
      </c>
      <c r="Z1348" s="21" t="s">
        <v>870</v>
      </c>
      <c r="AA1348" s="21" t="s">
        <v>2905</v>
      </c>
      <c r="AB1348" s="15"/>
      <c r="AI1348" s="15"/>
    </row>
    <row r="1349" spans="25:35" x14ac:dyDescent="0.3">
      <c r="Y1349" s="20" t="s">
        <v>230</v>
      </c>
      <c r="Z1349" s="21" t="s">
        <v>871</v>
      </c>
      <c r="AA1349" s="21" t="s">
        <v>2906</v>
      </c>
      <c r="AB1349" s="15"/>
      <c r="AI1349" s="15"/>
    </row>
    <row r="1350" spans="25:35" x14ac:dyDescent="0.3">
      <c r="Y1350" s="20" t="s">
        <v>29</v>
      </c>
      <c r="Z1350" s="21" t="s">
        <v>872</v>
      </c>
      <c r="AA1350" s="21" t="s">
        <v>2907</v>
      </c>
      <c r="AB1350" s="15"/>
      <c r="AI1350" s="15"/>
    </row>
    <row r="1351" spans="25:35" x14ac:dyDescent="0.3">
      <c r="Y1351" s="20" t="s">
        <v>29</v>
      </c>
      <c r="Z1351" s="21" t="s">
        <v>237</v>
      </c>
      <c r="AA1351" s="21" t="s">
        <v>2908</v>
      </c>
      <c r="AB1351" s="15"/>
      <c r="AI1351" s="15"/>
    </row>
    <row r="1352" spans="25:35" x14ac:dyDescent="0.3">
      <c r="Y1352" s="20" t="s">
        <v>231</v>
      </c>
      <c r="Z1352" s="21" t="s">
        <v>873</v>
      </c>
      <c r="AA1352" s="21" t="s">
        <v>2909</v>
      </c>
      <c r="AB1352" s="15"/>
      <c r="AI1352" s="15"/>
    </row>
    <row r="1353" spans="25:35" x14ac:dyDescent="0.3">
      <c r="Y1353" s="20" t="s">
        <v>231</v>
      </c>
      <c r="Z1353" s="21" t="s">
        <v>874</v>
      </c>
      <c r="AA1353" s="21" t="s">
        <v>2910</v>
      </c>
      <c r="AB1353" s="15"/>
      <c r="AI1353" s="15"/>
    </row>
    <row r="1354" spans="25:35" x14ac:dyDescent="0.3">
      <c r="Y1354" s="20" t="s">
        <v>231</v>
      </c>
      <c r="Z1354" s="21" t="s">
        <v>875</v>
      </c>
      <c r="AA1354" s="21" t="s">
        <v>2911</v>
      </c>
      <c r="AB1354" s="15"/>
      <c r="AI1354" s="15"/>
    </row>
    <row r="1355" spans="25:35" x14ac:dyDescent="0.3">
      <c r="Y1355" s="20" t="s">
        <v>231</v>
      </c>
      <c r="Z1355" s="21" t="s">
        <v>876</v>
      </c>
      <c r="AA1355" s="21" t="s">
        <v>2912</v>
      </c>
      <c r="AB1355" s="15"/>
      <c r="AI1355" s="15"/>
    </row>
    <row r="1356" spans="25:35" x14ac:dyDescent="0.3">
      <c r="Y1356" s="20" t="s">
        <v>231</v>
      </c>
      <c r="Z1356" s="21" t="s">
        <v>877</v>
      </c>
      <c r="AA1356" s="21" t="s">
        <v>2913</v>
      </c>
      <c r="AB1356" s="15"/>
      <c r="AI1356" s="15"/>
    </row>
    <row r="1357" spans="25:35" x14ac:dyDescent="0.3">
      <c r="Y1357" s="20" t="s">
        <v>249</v>
      </c>
      <c r="Z1357" s="21" t="s">
        <v>878</v>
      </c>
      <c r="AA1357" s="21" t="s">
        <v>2914</v>
      </c>
      <c r="AB1357" s="15"/>
      <c r="AI1357" s="15"/>
    </row>
    <row r="1358" spans="25:35" x14ac:dyDescent="0.3">
      <c r="Y1358" s="20" t="s">
        <v>251</v>
      </c>
      <c r="Z1358" s="21" t="s">
        <v>879</v>
      </c>
      <c r="AA1358" s="21" t="s">
        <v>2915</v>
      </c>
      <c r="AB1358" s="15"/>
      <c r="AI1358" s="15"/>
    </row>
    <row r="1359" spans="25:35" x14ac:dyDescent="0.3">
      <c r="Y1359" s="20" t="s">
        <v>249</v>
      </c>
      <c r="Z1359" s="21" t="s">
        <v>880</v>
      </c>
      <c r="AA1359" s="21" t="s">
        <v>2916</v>
      </c>
      <c r="AB1359" s="15"/>
      <c r="AI1359" s="15"/>
    </row>
    <row r="1360" spans="25:35" x14ac:dyDescent="0.3">
      <c r="Y1360" s="20" t="s">
        <v>247</v>
      </c>
      <c r="Z1360" s="21" t="s">
        <v>881</v>
      </c>
      <c r="AA1360" s="21" t="s">
        <v>2917</v>
      </c>
      <c r="AB1360" s="15"/>
      <c r="AI1360" s="15"/>
    </row>
    <row r="1361" spans="25:35" x14ac:dyDescent="0.3">
      <c r="Y1361" s="20" t="s">
        <v>231</v>
      </c>
      <c r="Z1361" s="21" t="s">
        <v>882</v>
      </c>
      <c r="AA1361" s="21" t="s">
        <v>2918</v>
      </c>
      <c r="AB1361" s="15"/>
      <c r="AI1361" s="15"/>
    </row>
    <row r="1362" spans="25:35" x14ac:dyDescent="0.3">
      <c r="Y1362" s="20" t="s">
        <v>1389</v>
      </c>
      <c r="Z1362" s="21" t="s">
        <v>883</v>
      </c>
      <c r="AA1362" s="21" t="s">
        <v>2919</v>
      </c>
      <c r="AB1362" s="15"/>
      <c r="AI1362" s="15"/>
    </row>
    <row r="1363" spans="25:35" x14ac:dyDescent="0.3">
      <c r="Y1363" s="20" t="s">
        <v>231</v>
      </c>
      <c r="Z1363" s="21" t="s">
        <v>884</v>
      </c>
      <c r="AA1363" s="21" t="s">
        <v>2920</v>
      </c>
      <c r="AB1363" s="15"/>
      <c r="AI1363" s="15"/>
    </row>
    <row r="1364" spans="25:35" x14ac:dyDescent="0.3">
      <c r="Y1364" s="20" t="s">
        <v>251</v>
      </c>
      <c r="Z1364" s="21" t="s">
        <v>885</v>
      </c>
      <c r="AA1364" s="21" t="s">
        <v>2921</v>
      </c>
      <c r="AB1364" s="15"/>
      <c r="AI1364" s="15"/>
    </row>
    <row r="1365" spans="25:35" x14ac:dyDescent="0.3">
      <c r="Y1365" s="20" t="s">
        <v>249</v>
      </c>
      <c r="Z1365" s="21" t="s">
        <v>886</v>
      </c>
      <c r="AA1365" s="21" t="s">
        <v>2922</v>
      </c>
      <c r="AB1365" s="15"/>
      <c r="AI1365" s="15"/>
    </row>
    <row r="1366" spans="25:35" x14ac:dyDescent="0.3">
      <c r="Y1366" s="20" t="s">
        <v>251</v>
      </c>
      <c r="Z1366" s="21" t="s">
        <v>887</v>
      </c>
      <c r="AA1366" s="21" t="s">
        <v>2923</v>
      </c>
      <c r="AB1366" s="15"/>
      <c r="AI1366" s="15"/>
    </row>
    <row r="1367" spans="25:35" x14ac:dyDescent="0.3">
      <c r="Y1367" s="20" t="s">
        <v>231</v>
      </c>
      <c r="Z1367" s="21" t="s">
        <v>888</v>
      </c>
      <c r="AA1367" s="21" t="s">
        <v>2924</v>
      </c>
      <c r="AB1367" s="15"/>
      <c r="AI1367" s="15"/>
    </row>
    <row r="1368" spans="25:35" x14ac:dyDescent="0.3">
      <c r="Y1368" s="20" t="s">
        <v>231</v>
      </c>
      <c r="Z1368" s="21" t="s">
        <v>889</v>
      </c>
      <c r="AA1368" s="21" t="s">
        <v>2925</v>
      </c>
      <c r="AB1368" s="15"/>
      <c r="AI1368" s="15"/>
    </row>
    <row r="1369" spans="25:35" x14ac:dyDescent="0.3">
      <c r="Y1369" s="20" t="s">
        <v>231</v>
      </c>
      <c r="Z1369" s="21" t="s">
        <v>890</v>
      </c>
      <c r="AA1369" s="21" t="s">
        <v>2926</v>
      </c>
      <c r="AB1369" s="15"/>
      <c r="AI1369" s="15"/>
    </row>
    <row r="1370" spans="25:35" x14ac:dyDescent="0.3">
      <c r="Y1370" s="20" t="s">
        <v>231</v>
      </c>
      <c r="Z1370" s="21" t="s">
        <v>891</v>
      </c>
      <c r="AA1370" s="21" t="s">
        <v>2927</v>
      </c>
      <c r="AB1370" s="15"/>
      <c r="AI1370" s="15"/>
    </row>
    <row r="1371" spans="25:35" x14ac:dyDescent="0.3">
      <c r="Y1371" s="20" t="s">
        <v>230</v>
      </c>
      <c r="Z1371" s="21" t="s">
        <v>900</v>
      </c>
      <c r="AA1371" s="21" t="s">
        <v>2928</v>
      </c>
      <c r="AB1371" s="15"/>
      <c r="AI1371" s="15"/>
    </row>
    <row r="1372" spans="25:35" x14ac:dyDescent="0.3">
      <c r="Y1372" s="20" t="s">
        <v>249</v>
      </c>
      <c r="Z1372" s="21" t="s">
        <v>901</v>
      </c>
      <c r="AA1372" s="21" t="s">
        <v>2929</v>
      </c>
      <c r="AB1372" s="15"/>
      <c r="AI1372" s="15"/>
    </row>
    <row r="1373" spans="25:35" x14ac:dyDescent="0.3">
      <c r="Y1373" s="20" t="s">
        <v>1389</v>
      </c>
      <c r="Z1373" s="21" t="s">
        <v>902</v>
      </c>
      <c r="AA1373" s="21" t="s">
        <v>2930</v>
      </c>
      <c r="AB1373" s="15"/>
      <c r="AI1373" s="15"/>
    </row>
    <row r="1374" spans="25:35" x14ac:dyDescent="0.3">
      <c r="Y1374" s="20" t="s">
        <v>1389</v>
      </c>
      <c r="Z1374" s="21" t="s">
        <v>903</v>
      </c>
      <c r="AA1374" s="21" t="s">
        <v>2931</v>
      </c>
      <c r="AB1374" s="15"/>
      <c r="AI1374" s="15"/>
    </row>
    <row r="1375" spans="25:35" x14ac:dyDescent="0.3">
      <c r="Y1375" s="20" t="s">
        <v>249</v>
      </c>
      <c r="Z1375" s="21" t="s">
        <v>904</v>
      </c>
      <c r="AA1375" s="21" t="s">
        <v>2932</v>
      </c>
      <c r="AB1375" s="15"/>
      <c r="AI1375" s="15"/>
    </row>
    <row r="1376" spans="25:35" x14ac:dyDescent="0.3">
      <c r="Y1376" s="20" t="s">
        <v>231</v>
      </c>
      <c r="Z1376" s="21" t="s">
        <v>905</v>
      </c>
      <c r="AA1376" s="21" t="s">
        <v>2933</v>
      </c>
      <c r="AB1376" s="15"/>
      <c r="AI1376" s="15"/>
    </row>
    <row r="1377" spans="25:35" x14ac:dyDescent="0.3">
      <c r="Y1377" s="20" t="s">
        <v>231</v>
      </c>
      <c r="Z1377" s="21" t="s">
        <v>906</v>
      </c>
      <c r="AA1377" s="21" t="s">
        <v>2934</v>
      </c>
      <c r="AB1377" s="15"/>
      <c r="AI1377" s="15"/>
    </row>
    <row r="1378" spans="25:35" x14ac:dyDescent="0.3">
      <c r="Y1378" s="20" t="s">
        <v>1389</v>
      </c>
      <c r="Z1378" s="21" t="s">
        <v>907</v>
      </c>
      <c r="AA1378" s="21" t="s">
        <v>2935</v>
      </c>
      <c r="AB1378" s="15"/>
      <c r="AI1378" s="15"/>
    </row>
    <row r="1379" spans="25:35" x14ac:dyDescent="0.3">
      <c r="Y1379" s="20" t="s">
        <v>231</v>
      </c>
      <c r="Z1379" s="21" t="s">
        <v>908</v>
      </c>
      <c r="AA1379" s="21" t="s">
        <v>2936</v>
      </c>
      <c r="AB1379" s="15"/>
      <c r="AI1379" s="15"/>
    </row>
    <row r="1380" spans="25:35" x14ac:dyDescent="0.3">
      <c r="Y1380" s="20" t="s">
        <v>29</v>
      </c>
      <c r="Z1380" s="21" t="s">
        <v>909</v>
      </c>
      <c r="AA1380" s="21" t="s">
        <v>2937</v>
      </c>
      <c r="AB1380" s="15"/>
      <c r="AI1380" s="15"/>
    </row>
    <row r="1381" spans="25:35" x14ac:dyDescent="0.3">
      <c r="Y1381" s="20" t="s">
        <v>29</v>
      </c>
      <c r="Z1381" s="21" t="s">
        <v>910</v>
      </c>
      <c r="AA1381" s="21" t="s">
        <v>2938</v>
      </c>
      <c r="AB1381" s="15"/>
      <c r="AI1381" s="15"/>
    </row>
    <row r="1382" spans="25:35" x14ac:dyDescent="0.3">
      <c r="Y1382" s="20" t="s">
        <v>231</v>
      </c>
      <c r="Z1382" s="21" t="s">
        <v>1609</v>
      </c>
      <c r="AA1382" s="21" t="s">
        <v>2939</v>
      </c>
      <c r="AB1382" s="15"/>
      <c r="AI1382" s="15"/>
    </row>
    <row r="1383" spans="25:35" x14ac:dyDescent="0.3">
      <c r="Y1383" s="20" t="s">
        <v>247</v>
      </c>
      <c r="Z1383" s="21" t="s">
        <v>911</v>
      </c>
      <c r="AA1383" s="21" t="s">
        <v>2940</v>
      </c>
      <c r="AB1383" s="15"/>
      <c r="AI1383" s="15"/>
    </row>
    <row r="1384" spans="25:35" x14ac:dyDescent="0.3">
      <c r="Y1384" s="20" t="s">
        <v>247</v>
      </c>
      <c r="Z1384" s="21" t="s">
        <v>912</v>
      </c>
      <c r="AA1384" s="21" t="s">
        <v>2941</v>
      </c>
      <c r="AB1384" s="15"/>
      <c r="AI1384" s="15"/>
    </row>
    <row r="1385" spans="25:35" x14ac:dyDescent="0.3">
      <c r="Y1385" s="20" t="s">
        <v>231</v>
      </c>
      <c r="Z1385" s="21" t="s">
        <v>913</v>
      </c>
      <c r="AA1385" s="21" t="s">
        <v>2942</v>
      </c>
      <c r="AB1385" s="15"/>
      <c r="AI1385" s="15"/>
    </row>
    <row r="1386" spans="25:35" x14ac:dyDescent="0.3">
      <c r="Y1386" s="20" t="s">
        <v>247</v>
      </c>
      <c r="Z1386" s="21" t="s">
        <v>1682</v>
      </c>
      <c r="AA1386" s="21" t="s">
        <v>2943</v>
      </c>
      <c r="AB1386" s="15"/>
      <c r="AI1386" s="15"/>
    </row>
    <row r="1387" spans="25:35" x14ac:dyDescent="0.3">
      <c r="Y1387" s="20" t="s">
        <v>247</v>
      </c>
      <c r="Z1387" s="21" t="s">
        <v>914</v>
      </c>
      <c r="AA1387" s="21" t="s">
        <v>2944</v>
      </c>
      <c r="AB1387" s="15"/>
      <c r="AI1387" s="15"/>
    </row>
    <row r="1388" spans="25:35" x14ac:dyDescent="0.3">
      <c r="Y1388" s="20" t="s">
        <v>230</v>
      </c>
      <c r="Z1388" s="21" t="s">
        <v>915</v>
      </c>
      <c r="AA1388" s="21" t="s">
        <v>2945</v>
      </c>
      <c r="AB1388" s="15"/>
      <c r="AI1388" s="15"/>
    </row>
    <row r="1389" spans="25:35" x14ac:dyDescent="0.3">
      <c r="Y1389" s="20" t="s">
        <v>29</v>
      </c>
      <c r="Z1389" s="21" t="s">
        <v>916</v>
      </c>
      <c r="AA1389" s="21" t="s">
        <v>2946</v>
      </c>
      <c r="AB1389" s="15"/>
      <c r="AI1389" s="15"/>
    </row>
    <row r="1390" spans="25:35" x14ac:dyDescent="0.3">
      <c r="Y1390" s="20" t="s">
        <v>1389</v>
      </c>
      <c r="Z1390" s="21" t="s">
        <v>917</v>
      </c>
      <c r="AA1390" s="21" t="s">
        <v>2947</v>
      </c>
      <c r="AB1390" s="15"/>
      <c r="AI1390" s="15"/>
    </row>
    <row r="1391" spans="25:35" x14ac:dyDescent="0.3">
      <c r="Y1391" s="20" t="s">
        <v>247</v>
      </c>
      <c r="Z1391" s="21" t="s">
        <v>1670</v>
      </c>
      <c r="AA1391" s="21" t="s">
        <v>2948</v>
      </c>
      <c r="AB1391" s="15"/>
      <c r="AI1391" s="15"/>
    </row>
    <row r="1392" spans="25:35" x14ac:dyDescent="0.3">
      <c r="Y1392" s="20" t="s">
        <v>231</v>
      </c>
      <c r="Z1392" s="21" t="s">
        <v>1663</v>
      </c>
      <c r="AA1392" s="21" t="s">
        <v>2949</v>
      </c>
      <c r="AB1392" s="15"/>
      <c r="AI1392" s="15"/>
    </row>
    <row r="1393" spans="25:35" x14ac:dyDescent="0.3">
      <c r="Y1393" s="20" t="s">
        <v>230</v>
      </c>
      <c r="Z1393" s="21" t="s">
        <v>1621</v>
      </c>
      <c r="AA1393" s="21" t="s">
        <v>2950</v>
      </c>
      <c r="AB1393" s="15"/>
      <c r="AI1393" s="15"/>
    </row>
    <row r="1394" spans="25:35" x14ac:dyDescent="0.3">
      <c r="Y1394" s="20" t="s">
        <v>228</v>
      </c>
      <c r="Z1394" s="21" t="s">
        <v>1662</v>
      </c>
      <c r="AA1394" s="21" t="s">
        <v>2951</v>
      </c>
      <c r="AB1394" s="15"/>
      <c r="AI1394" s="15"/>
    </row>
    <row r="1395" spans="25:35" x14ac:dyDescent="0.3">
      <c r="Y1395" s="20" t="s">
        <v>247</v>
      </c>
      <c r="Z1395" s="21" t="s">
        <v>1654</v>
      </c>
      <c r="AA1395" s="21" t="s">
        <v>2952</v>
      </c>
      <c r="AB1395" s="15"/>
      <c r="AI1395" s="15"/>
    </row>
    <row r="1396" spans="25:35" x14ac:dyDescent="0.3">
      <c r="Y1396" s="20" t="s">
        <v>231</v>
      </c>
      <c r="Z1396" s="21" t="s">
        <v>1647</v>
      </c>
      <c r="AA1396" s="21" t="s">
        <v>2953</v>
      </c>
      <c r="AB1396" s="15"/>
      <c r="AI1396" s="15"/>
    </row>
    <row r="1397" spans="25:35" x14ac:dyDescent="0.3">
      <c r="Y1397" s="20" t="s">
        <v>231</v>
      </c>
      <c r="Z1397" s="21" t="s">
        <v>1602</v>
      </c>
      <c r="AA1397" s="21" t="s">
        <v>2954</v>
      </c>
      <c r="AB1397" s="15"/>
      <c r="AI1397" s="15"/>
    </row>
    <row r="1398" spans="25:35" x14ac:dyDescent="0.3">
      <c r="Y1398" s="20" t="s">
        <v>249</v>
      </c>
      <c r="Z1398" s="21" t="s">
        <v>1686</v>
      </c>
      <c r="AA1398" s="21" t="s">
        <v>2955</v>
      </c>
      <c r="AB1398" s="15"/>
      <c r="AI1398" s="15"/>
    </row>
    <row r="1399" spans="25:35" x14ac:dyDescent="0.3">
      <c r="Y1399" s="20" t="s">
        <v>1389</v>
      </c>
      <c r="Z1399" s="21" t="s">
        <v>1685</v>
      </c>
      <c r="AA1399" s="21" t="s">
        <v>2956</v>
      </c>
      <c r="AB1399" s="15"/>
      <c r="AI1399" s="15"/>
    </row>
    <row r="1400" spans="25:35" x14ac:dyDescent="0.3">
      <c r="Y1400" s="20" t="s">
        <v>1389</v>
      </c>
      <c r="Z1400" s="21" t="s">
        <v>918</v>
      </c>
      <c r="AA1400" s="21" t="s">
        <v>2957</v>
      </c>
      <c r="AB1400" s="15"/>
      <c r="AI1400" s="15"/>
    </row>
    <row r="1401" spans="25:35" x14ac:dyDescent="0.3">
      <c r="Y1401" s="20" t="s">
        <v>1389</v>
      </c>
      <c r="Z1401" s="21" t="s">
        <v>1675</v>
      </c>
      <c r="AA1401" s="21" t="s">
        <v>2958</v>
      </c>
      <c r="AB1401" s="15"/>
      <c r="AI1401" s="15"/>
    </row>
    <row r="1402" spans="25:35" x14ac:dyDescent="0.3">
      <c r="Y1402" s="20" t="s">
        <v>29</v>
      </c>
      <c r="Z1402" s="21" t="s">
        <v>919</v>
      </c>
      <c r="AA1402" s="21" t="s">
        <v>2961</v>
      </c>
      <c r="AB1402" s="15"/>
      <c r="AI1402" s="15"/>
    </row>
    <row r="1403" spans="25:35" x14ac:dyDescent="0.3">
      <c r="Y1403" s="20" t="s">
        <v>231</v>
      </c>
      <c r="Z1403" s="21" t="s">
        <v>920</v>
      </c>
      <c r="AA1403" s="21" t="s">
        <v>2962</v>
      </c>
      <c r="AB1403" s="15"/>
      <c r="AI1403" s="15"/>
    </row>
    <row r="1404" spans="25:35" x14ac:dyDescent="0.3">
      <c r="Y1404" s="20" t="s">
        <v>249</v>
      </c>
      <c r="Z1404" s="21" t="s">
        <v>1688</v>
      </c>
      <c r="AA1404" s="21" t="s">
        <v>2963</v>
      </c>
      <c r="AB1404" s="15"/>
      <c r="AI1404" s="15"/>
    </row>
    <row r="1405" spans="25:35" x14ac:dyDescent="0.3">
      <c r="Y1405" s="20" t="s">
        <v>247</v>
      </c>
      <c r="Z1405" s="21" t="s">
        <v>921</v>
      </c>
      <c r="AA1405" s="21" t="s">
        <v>2964</v>
      </c>
      <c r="AB1405" s="15"/>
      <c r="AI1405" s="15"/>
    </row>
    <row r="1406" spans="25:35" x14ac:dyDescent="0.3">
      <c r="Y1406" s="20" t="s">
        <v>230</v>
      </c>
      <c r="Z1406" s="21" t="s">
        <v>922</v>
      </c>
      <c r="AA1406" s="21" t="s">
        <v>2965</v>
      </c>
      <c r="AB1406" s="15"/>
      <c r="AI1406" s="15"/>
    </row>
    <row r="1407" spans="25:35" x14ac:dyDescent="0.3">
      <c r="Y1407" s="20" t="s">
        <v>247</v>
      </c>
      <c r="Z1407" s="21" t="s">
        <v>923</v>
      </c>
      <c r="AA1407" s="21" t="s">
        <v>2966</v>
      </c>
      <c r="AB1407" s="15"/>
      <c r="AI1407" s="15"/>
    </row>
    <row r="1408" spans="25:35" x14ac:dyDescent="0.3">
      <c r="Y1408" s="20" t="s">
        <v>230</v>
      </c>
      <c r="Z1408" s="21" t="s">
        <v>924</v>
      </c>
      <c r="AA1408" s="21" t="s">
        <v>2967</v>
      </c>
      <c r="AB1408" s="15"/>
      <c r="AI1408" s="15"/>
    </row>
    <row r="1409" spans="25:35" x14ac:dyDescent="0.3">
      <c r="Y1409" s="20" t="s">
        <v>247</v>
      </c>
      <c r="Z1409" s="21" t="s">
        <v>925</v>
      </c>
      <c r="AA1409" s="21" t="s">
        <v>2968</v>
      </c>
      <c r="AB1409" s="15"/>
      <c r="AI1409" s="15"/>
    </row>
    <row r="1410" spans="25:35" x14ac:dyDescent="0.3">
      <c r="Y1410" s="20" t="s">
        <v>1389</v>
      </c>
      <c r="Z1410" s="21" t="s">
        <v>926</v>
      </c>
      <c r="AA1410" s="21" t="s">
        <v>2969</v>
      </c>
      <c r="AB1410" s="15"/>
      <c r="AI1410" s="15"/>
    </row>
    <row r="1411" spans="25:35" x14ac:dyDescent="0.3">
      <c r="Y1411" s="20" t="s">
        <v>231</v>
      </c>
      <c r="Z1411" s="21" t="s">
        <v>1656</v>
      </c>
      <c r="AA1411" s="21" t="s">
        <v>2970</v>
      </c>
      <c r="AB1411" s="15"/>
      <c r="AI1411" s="15"/>
    </row>
    <row r="1412" spans="25:35" x14ac:dyDescent="0.3">
      <c r="Y1412" s="20" t="s">
        <v>231</v>
      </c>
      <c r="Z1412" s="21" t="s">
        <v>927</v>
      </c>
      <c r="AA1412" s="21" t="s">
        <v>2971</v>
      </c>
      <c r="AB1412" s="15"/>
      <c r="AI1412" s="15"/>
    </row>
    <row r="1413" spans="25:35" x14ac:dyDescent="0.3">
      <c r="Y1413" s="20" t="s">
        <v>232</v>
      </c>
      <c r="Z1413" s="21" t="s">
        <v>928</v>
      </c>
      <c r="AA1413" s="21" t="s">
        <v>2972</v>
      </c>
      <c r="AB1413" s="15"/>
      <c r="AI1413" s="15"/>
    </row>
    <row r="1414" spans="25:35" x14ac:dyDescent="0.3">
      <c r="Y1414" s="20" t="s">
        <v>231</v>
      </c>
      <c r="Z1414" s="21" t="s">
        <v>1612</v>
      </c>
      <c r="AA1414" s="21" t="s">
        <v>2973</v>
      </c>
      <c r="AB1414" s="15"/>
      <c r="AI1414" s="15"/>
    </row>
    <row r="1415" spans="25:35" x14ac:dyDescent="0.3">
      <c r="Y1415" s="20" t="s">
        <v>231</v>
      </c>
      <c r="Z1415" s="21" t="s">
        <v>1611</v>
      </c>
      <c r="AA1415" s="21" t="s">
        <v>2974</v>
      </c>
      <c r="AB1415" s="15"/>
      <c r="AI1415" s="15"/>
    </row>
    <row r="1416" spans="25:35" x14ac:dyDescent="0.3">
      <c r="Y1416" s="20" t="s">
        <v>247</v>
      </c>
      <c r="Z1416" s="21" t="s">
        <v>929</v>
      </c>
      <c r="AA1416" s="21" t="s">
        <v>2975</v>
      </c>
      <c r="AB1416" s="15"/>
      <c r="AI1416" s="15"/>
    </row>
    <row r="1417" spans="25:35" x14ac:dyDescent="0.3">
      <c r="Y1417" s="20" t="s">
        <v>249</v>
      </c>
      <c r="Z1417" s="21" t="s">
        <v>930</v>
      </c>
      <c r="AA1417" s="21" t="s">
        <v>2976</v>
      </c>
      <c r="AB1417" s="15"/>
      <c r="AI1417" s="15"/>
    </row>
    <row r="1418" spans="25:35" x14ac:dyDescent="0.3">
      <c r="Y1418" s="20" t="s">
        <v>29</v>
      </c>
      <c r="Z1418" s="21" t="s">
        <v>931</v>
      </c>
      <c r="AA1418" s="21" t="s">
        <v>2977</v>
      </c>
      <c r="AB1418" s="15"/>
      <c r="AI1418" s="15"/>
    </row>
    <row r="1419" spans="25:35" x14ac:dyDescent="0.3">
      <c r="Y1419" s="20" t="s">
        <v>29</v>
      </c>
      <c r="Z1419" s="21" t="s">
        <v>932</v>
      </c>
      <c r="AA1419" s="21" t="s">
        <v>2978</v>
      </c>
      <c r="AB1419" s="15"/>
      <c r="AI1419" s="15"/>
    </row>
    <row r="1420" spans="25:35" x14ac:dyDescent="0.3">
      <c r="Y1420" s="20" t="s">
        <v>247</v>
      </c>
      <c r="Z1420" s="21" t="s">
        <v>933</v>
      </c>
      <c r="AA1420" s="21" t="s">
        <v>2979</v>
      </c>
      <c r="AB1420" s="15"/>
      <c r="AI1420" s="15"/>
    </row>
    <row r="1421" spans="25:35" x14ac:dyDescent="0.3">
      <c r="Y1421" s="20" t="s">
        <v>247</v>
      </c>
      <c r="Z1421" s="21" t="s">
        <v>934</v>
      </c>
      <c r="AA1421" s="21" t="s">
        <v>2980</v>
      </c>
      <c r="AB1421" s="15"/>
      <c r="AI1421" s="15"/>
    </row>
    <row r="1422" spans="25:35" x14ac:dyDescent="0.3">
      <c r="Y1422" s="20" t="s">
        <v>232</v>
      </c>
      <c r="Z1422" s="21" t="s">
        <v>935</v>
      </c>
      <c r="AA1422" s="21" t="s">
        <v>2981</v>
      </c>
      <c r="AB1422" s="15"/>
      <c r="AI1422" s="15"/>
    </row>
    <row r="1423" spans="25:35" x14ac:dyDescent="0.3">
      <c r="Y1423" s="20" t="s">
        <v>1389</v>
      </c>
      <c r="Z1423" s="21" t="s">
        <v>936</v>
      </c>
      <c r="AA1423" s="21" t="s">
        <v>2982</v>
      </c>
      <c r="AB1423" s="15"/>
      <c r="AI1423" s="15"/>
    </row>
    <row r="1424" spans="25:35" x14ac:dyDescent="0.3">
      <c r="Y1424" s="20" t="s">
        <v>231</v>
      </c>
      <c r="Z1424" s="21" t="s">
        <v>937</v>
      </c>
      <c r="AA1424" s="21" t="s">
        <v>2983</v>
      </c>
      <c r="AB1424" s="15"/>
      <c r="AI1424" s="15"/>
    </row>
    <row r="1425" spans="25:35" x14ac:dyDescent="0.3">
      <c r="Y1425" s="20" t="s">
        <v>247</v>
      </c>
      <c r="Z1425" s="21" t="s">
        <v>938</v>
      </c>
      <c r="AA1425" s="21" t="s">
        <v>2984</v>
      </c>
      <c r="AB1425" s="15"/>
      <c r="AI1425" s="15"/>
    </row>
    <row r="1426" spans="25:35" x14ac:dyDescent="0.3">
      <c r="Y1426" s="20" t="s">
        <v>230</v>
      </c>
      <c r="Z1426" s="21" t="s">
        <v>939</v>
      </c>
      <c r="AA1426" s="21" t="s">
        <v>2985</v>
      </c>
      <c r="AB1426" s="15"/>
      <c r="AI1426" s="15"/>
    </row>
    <row r="1427" spans="25:35" x14ac:dyDescent="0.3">
      <c r="Y1427" s="20" t="s">
        <v>231</v>
      </c>
      <c r="Z1427" s="21" t="s">
        <v>1637</v>
      </c>
      <c r="AA1427" s="21" t="s">
        <v>2986</v>
      </c>
      <c r="AB1427" s="15"/>
      <c r="AI1427" s="15"/>
    </row>
    <row r="1428" spans="25:35" x14ac:dyDescent="0.3">
      <c r="Y1428" s="20" t="s">
        <v>249</v>
      </c>
      <c r="Z1428" s="21" t="s">
        <v>940</v>
      </c>
      <c r="AA1428" s="21" t="s">
        <v>2987</v>
      </c>
      <c r="AB1428" s="15"/>
      <c r="AI1428" s="15"/>
    </row>
    <row r="1429" spans="25:35" x14ac:dyDescent="0.3">
      <c r="Y1429" s="20" t="s">
        <v>230</v>
      </c>
      <c r="Z1429" s="21" t="s">
        <v>1613</v>
      </c>
      <c r="AA1429" s="21" t="s">
        <v>2988</v>
      </c>
      <c r="AB1429" s="15"/>
      <c r="AI1429" s="15"/>
    </row>
    <row r="1430" spans="25:35" x14ac:dyDescent="0.3">
      <c r="Y1430" s="20" t="s">
        <v>29</v>
      </c>
      <c r="Z1430" s="21" t="s">
        <v>941</v>
      </c>
      <c r="AA1430" s="21" t="s">
        <v>2989</v>
      </c>
      <c r="AB1430" s="15"/>
      <c r="AI1430" s="15"/>
    </row>
    <row r="1431" spans="25:35" x14ac:dyDescent="0.3">
      <c r="Y1431" s="20" t="s">
        <v>231</v>
      </c>
      <c r="Z1431" s="21" t="s">
        <v>942</v>
      </c>
      <c r="AA1431" s="21" t="s">
        <v>2990</v>
      </c>
      <c r="AB1431" s="15"/>
      <c r="AI1431" s="15"/>
    </row>
    <row r="1432" spans="25:35" x14ac:dyDescent="0.3">
      <c r="Y1432" s="20" t="s">
        <v>251</v>
      </c>
      <c r="Z1432" s="21" t="s">
        <v>1590</v>
      </c>
      <c r="AA1432" s="21" t="s">
        <v>2991</v>
      </c>
      <c r="AB1432" s="15"/>
      <c r="AI1432" s="15"/>
    </row>
    <row r="1433" spans="25:35" x14ac:dyDescent="0.3">
      <c r="Y1433" s="20" t="s">
        <v>230</v>
      </c>
      <c r="Z1433" s="21" t="s">
        <v>943</v>
      </c>
      <c r="AA1433" s="21" t="s">
        <v>2992</v>
      </c>
      <c r="AB1433" s="15"/>
      <c r="AI1433" s="15"/>
    </row>
    <row r="1434" spans="25:35" x14ac:dyDescent="0.3">
      <c r="Y1434" s="20" t="s">
        <v>29</v>
      </c>
      <c r="Z1434" s="21" t="s">
        <v>817</v>
      </c>
      <c r="AA1434" s="21" t="s">
        <v>2993</v>
      </c>
      <c r="AB1434" s="15"/>
      <c r="AI1434" s="15"/>
    </row>
    <row r="1435" spans="25:35" x14ac:dyDescent="0.3">
      <c r="Y1435" s="20" t="s">
        <v>230</v>
      </c>
      <c r="Z1435" s="21" t="s">
        <v>1650</v>
      </c>
      <c r="AA1435" s="21" t="s">
        <v>2994</v>
      </c>
      <c r="AB1435" s="15"/>
      <c r="AI1435" s="15"/>
    </row>
    <row r="1436" spans="25:35" x14ac:dyDescent="0.3">
      <c r="Y1436" s="20" t="s">
        <v>1389</v>
      </c>
      <c r="Z1436" s="21" t="s">
        <v>944</v>
      </c>
      <c r="AA1436" s="21" t="s">
        <v>2995</v>
      </c>
      <c r="AB1436" s="15"/>
      <c r="AI1436" s="15"/>
    </row>
    <row r="1437" spans="25:35" x14ac:dyDescent="0.3">
      <c r="Y1437" s="20" t="s">
        <v>29</v>
      </c>
      <c r="Z1437" s="21" t="s">
        <v>945</v>
      </c>
      <c r="AA1437" s="21" t="s">
        <v>2996</v>
      </c>
      <c r="AB1437" s="15"/>
      <c r="AI1437" s="15"/>
    </row>
    <row r="1438" spans="25:35" x14ac:dyDescent="0.3">
      <c r="Y1438" s="20" t="s">
        <v>247</v>
      </c>
      <c r="Z1438" s="21" t="s">
        <v>946</v>
      </c>
      <c r="AA1438" s="21" t="s">
        <v>2997</v>
      </c>
      <c r="AB1438" s="15"/>
      <c r="AI1438" s="15"/>
    </row>
    <row r="1439" spans="25:35" x14ac:dyDescent="0.3">
      <c r="Y1439" s="20" t="s">
        <v>231</v>
      </c>
      <c r="Z1439" s="21" t="s">
        <v>947</v>
      </c>
      <c r="AA1439" s="21" t="s">
        <v>2998</v>
      </c>
      <c r="AB1439" s="15"/>
      <c r="AI1439" s="15"/>
    </row>
    <row r="1440" spans="25:35" x14ac:dyDescent="0.3">
      <c r="Y1440" s="20" t="s">
        <v>230</v>
      </c>
      <c r="Z1440" s="21" t="s">
        <v>948</v>
      </c>
      <c r="AA1440" s="21" t="s">
        <v>2999</v>
      </c>
      <c r="AB1440" s="15"/>
      <c r="AI1440" s="15"/>
    </row>
    <row r="1441" spans="25:35" x14ac:dyDescent="0.3">
      <c r="Y1441" s="20" t="s">
        <v>231</v>
      </c>
      <c r="Z1441" s="21" t="s">
        <v>1615</v>
      </c>
      <c r="AA1441" s="21" t="s">
        <v>3000</v>
      </c>
      <c r="AB1441" s="15"/>
      <c r="AI1441" s="15"/>
    </row>
    <row r="1442" spans="25:35" x14ac:dyDescent="0.3">
      <c r="Y1442" s="20" t="s">
        <v>247</v>
      </c>
      <c r="Z1442" s="21" t="s">
        <v>1684</v>
      </c>
      <c r="AA1442" s="21" t="s">
        <v>3001</v>
      </c>
      <c r="AB1442" s="15"/>
      <c r="AI1442" s="15"/>
    </row>
    <row r="1443" spans="25:35" x14ac:dyDescent="0.3">
      <c r="Y1443" s="20" t="s">
        <v>230</v>
      </c>
      <c r="Z1443" s="21" t="s">
        <v>1638</v>
      </c>
      <c r="AA1443" s="21" t="s">
        <v>3002</v>
      </c>
      <c r="AB1443" s="15"/>
      <c r="AI1443" s="15"/>
    </row>
    <row r="1444" spans="25:35" x14ac:dyDescent="0.3">
      <c r="Y1444" s="20" t="s">
        <v>231</v>
      </c>
      <c r="Z1444" s="21" t="s">
        <v>1683</v>
      </c>
      <c r="AA1444" s="21" t="s">
        <v>3003</v>
      </c>
      <c r="AB1444" s="15"/>
      <c r="AI1444" s="15"/>
    </row>
    <row r="1445" spans="25:35" x14ac:dyDescent="0.3">
      <c r="Y1445" s="20" t="s">
        <v>247</v>
      </c>
      <c r="Z1445" s="21" t="s">
        <v>1681</v>
      </c>
      <c r="AA1445" s="21" t="s">
        <v>3004</v>
      </c>
      <c r="AB1445" s="15"/>
      <c r="AI1445" s="15"/>
    </row>
    <row r="1446" spans="25:35" x14ac:dyDescent="0.3">
      <c r="Y1446" s="20" t="s">
        <v>247</v>
      </c>
      <c r="Z1446" s="21" t="s">
        <v>949</v>
      </c>
      <c r="AA1446" s="21" t="s">
        <v>3005</v>
      </c>
      <c r="AB1446" s="15"/>
      <c r="AI1446" s="15"/>
    </row>
    <row r="1447" spans="25:35" x14ac:dyDescent="0.3">
      <c r="Y1447" s="20" t="s">
        <v>247</v>
      </c>
      <c r="Z1447" s="21" t="s">
        <v>950</v>
      </c>
      <c r="AA1447" s="21" t="s">
        <v>3006</v>
      </c>
      <c r="AB1447" s="15"/>
      <c r="AI1447" s="15"/>
    </row>
    <row r="1448" spans="25:35" x14ac:dyDescent="0.3">
      <c r="Y1448" s="20" t="s">
        <v>29</v>
      </c>
      <c r="Z1448" s="21" t="s">
        <v>951</v>
      </c>
      <c r="AA1448" s="21" t="s">
        <v>3007</v>
      </c>
      <c r="AB1448" s="15"/>
      <c r="AI1448" s="15"/>
    </row>
    <row r="1449" spans="25:35" x14ac:dyDescent="0.3">
      <c r="Y1449" s="20" t="s">
        <v>231</v>
      </c>
      <c r="Z1449" s="21" t="s">
        <v>952</v>
      </c>
      <c r="AA1449" s="21" t="s">
        <v>3008</v>
      </c>
      <c r="AB1449" s="15"/>
      <c r="AI1449" s="15"/>
    </row>
    <row r="1450" spans="25:35" x14ac:dyDescent="0.3">
      <c r="Y1450" s="20" t="s">
        <v>231</v>
      </c>
      <c r="Z1450" s="21" t="s">
        <v>1655</v>
      </c>
      <c r="AA1450" s="21" t="s">
        <v>3009</v>
      </c>
      <c r="AB1450" s="15"/>
      <c r="AI1450" s="15"/>
    </row>
    <row r="1451" spans="25:35" x14ac:dyDescent="0.3">
      <c r="Y1451" s="20" t="s">
        <v>231</v>
      </c>
      <c r="Z1451" s="21" t="s">
        <v>1649</v>
      </c>
      <c r="AA1451" s="21" t="s">
        <v>3010</v>
      </c>
      <c r="AB1451" s="15"/>
      <c r="AI1451" s="15"/>
    </row>
    <row r="1452" spans="25:35" x14ac:dyDescent="0.3">
      <c r="Y1452" s="20" t="s">
        <v>230</v>
      </c>
      <c r="Z1452" s="21" t="s">
        <v>1648</v>
      </c>
      <c r="AA1452" s="21" t="s">
        <v>3011</v>
      </c>
      <c r="AB1452" s="15"/>
      <c r="AI1452" s="15"/>
    </row>
    <row r="1453" spans="25:35" x14ac:dyDescent="0.3">
      <c r="Y1453" s="20" t="s">
        <v>29</v>
      </c>
      <c r="Z1453" s="21" t="s">
        <v>953</v>
      </c>
      <c r="AA1453" s="21" t="s">
        <v>3012</v>
      </c>
      <c r="AB1453" s="15"/>
      <c r="AI1453" s="15"/>
    </row>
    <row r="1454" spans="25:35" x14ac:dyDescent="0.3">
      <c r="Y1454" s="20" t="s">
        <v>247</v>
      </c>
      <c r="Z1454" s="21" t="s">
        <v>954</v>
      </c>
      <c r="AA1454" s="21" t="s">
        <v>3013</v>
      </c>
      <c r="AB1454" s="15"/>
      <c r="AI1454" s="15"/>
    </row>
    <row r="1455" spans="25:35" x14ac:dyDescent="0.3">
      <c r="Y1455" s="20" t="s">
        <v>247</v>
      </c>
      <c r="Z1455" s="21" t="s">
        <v>955</v>
      </c>
      <c r="AA1455" s="21" t="s">
        <v>3014</v>
      </c>
      <c r="AB1455" s="15"/>
      <c r="AI1455" s="15"/>
    </row>
    <row r="1456" spans="25:35" x14ac:dyDescent="0.3">
      <c r="Y1456" s="20" t="s">
        <v>29</v>
      </c>
      <c r="Z1456" s="21" t="s">
        <v>956</v>
      </c>
      <c r="AA1456" s="21" t="s">
        <v>3015</v>
      </c>
      <c r="AB1456" s="15"/>
      <c r="AI1456" s="15"/>
    </row>
    <row r="1457" spans="25:35" x14ac:dyDescent="0.3">
      <c r="Y1457" s="20" t="s">
        <v>231</v>
      </c>
      <c r="Z1457" s="21" t="s">
        <v>957</v>
      </c>
      <c r="AA1457" s="21" t="s">
        <v>3016</v>
      </c>
      <c r="AB1457" s="15"/>
      <c r="AI1457" s="15"/>
    </row>
    <row r="1458" spans="25:35" x14ac:dyDescent="0.3">
      <c r="Y1458" s="20" t="s">
        <v>249</v>
      </c>
      <c r="Z1458" s="21" t="s">
        <v>958</v>
      </c>
      <c r="AA1458" s="21" t="s">
        <v>3017</v>
      </c>
      <c r="AB1458" s="15"/>
      <c r="AI1458" s="15"/>
    </row>
    <row r="1459" spans="25:35" x14ac:dyDescent="0.3">
      <c r="Y1459" s="20" t="s">
        <v>1389</v>
      </c>
      <c r="Z1459" s="21" t="s">
        <v>959</v>
      </c>
      <c r="AA1459" s="21" t="s">
        <v>3019</v>
      </c>
      <c r="AB1459" s="15"/>
      <c r="AI1459" s="15"/>
    </row>
    <row r="1460" spans="25:35" x14ac:dyDescent="0.3">
      <c r="Y1460" s="20" t="s">
        <v>1389</v>
      </c>
      <c r="Z1460" s="21" t="s">
        <v>960</v>
      </c>
      <c r="AA1460" s="21" t="s">
        <v>3020</v>
      </c>
      <c r="AB1460" s="15"/>
      <c r="AI1460" s="15"/>
    </row>
    <row r="1461" spans="25:35" x14ac:dyDescent="0.3">
      <c r="Y1461" s="20" t="s">
        <v>1389</v>
      </c>
      <c r="Z1461" s="21" t="s">
        <v>961</v>
      </c>
      <c r="AA1461" s="21" t="s">
        <v>3021</v>
      </c>
      <c r="AB1461" s="15"/>
      <c r="AI1461" s="15"/>
    </row>
    <row r="1462" spans="25:35" x14ac:dyDescent="0.3">
      <c r="Y1462" s="20" t="s">
        <v>29</v>
      </c>
      <c r="Z1462" s="21" t="s">
        <v>962</v>
      </c>
      <c r="AA1462" s="21" t="s">
        <v>3022</v>
      </c>
      <c r="AB1462" s="15"/>
      <c r="AI1462" s="15"/>
    </row>
    <row r="1463" spans="25:35" x14ac:dyDescent="0.3">
      <c r="Y1463" s="20" t="s">
        <v>230</v>
      </c>
      <c r="Z1463" s="21" t="s">
        <v>963</v>
      </c>
      <c r="AA1463" s="21" t="s">
        <v>3023</v>
      </c>
      <c r="AB1463" s="15"/>
      <c r="AI1463" s="15"/>
    </row>
    <row r="1464" spans="25:35" x14ac:dyDescent="0.3">
      <c r="Y1464" s="20" t="s">
        <v>247</v>
      </c>
      <c r="Z1464" s="21" t="s">
        <v>964</v>
      </c>
      <c r="AA1464" s="21" t="s">
        <v>3024</v>
      </c>
      <c r="AB1464" s="15"/>
      <c r="AI1464" s="15"/>
    </row>
    <row r="1465" spans="25:35" x14ac:dyDescent="0.3">
      <c r="Y1465" s="20" t="s">
        <v>29</v>
      </c>
      <c r="Z1465" s="21" t="s">
        <v>1643</v>
      </c>
      <c r="AA1465" s="21" t="s">
        <v>3025</v>
      </c>
      <c r="AB1465" s="15"/>
      <c r="AI1465" s="15"/>
    </row>
    <row r="1466" spans="25:35" x14ac:dyDescent="0.3">
      <c r="Y1466" s="20" t="s">
        <v>247</v>
      </c>
      <c r="Z1466" s="21" t="s">
        <v>965</v>
      </c>
      <c r="AA1466" s="21" t="s">
        <v>3026</v>
      </c>
      <c r="AB1466" s="15"/>
      <c r="AI1466" s="15"/>
    </row>
    <row r="1467" spans="25:35" x14ac:dyDescent="0.3">
      <c r="Y1467" s="20" t="s">
        <v>249</v>
      </c>
      <c r="Z1467" s="21" t="s">
        <v>966</v>
      </c>
      <c r="AA1467" s="21" t="s">
        <v>3027</v>
      </c>
      <c r="AB1467" s="15"/>
      <c r="AI1467" s="15"/>
    </row>
    <row r="1468" spans="25:35" x14ac:dyDescent="0.3">
      <c r="Y1468" s="20" t="s">
        <v>29</v>
      </c>
      <c r="Z1468" s="21" t="s">
        <v>967</v>
      </c>
      <c r="AA1468" s="21" t="s">
        <v>3028</v>
      </c>
      <c r="AB1468" s="15"/>
      <c r="AI1468" s="15"/>
    </row>
    <row r="1469" spans="25:35" x14ac:dyDescent="0.3">
      <c r="Y1469" s="20" t="s">
        <v>29</v>
      </c>
      <c r="Z1469" s="21" t="s">
        <v>968</v>
      </c>
      <c r="AA1469" s="21" t="s">
        <v>3029</v>
      </c>
      <c r="AB1469" s="15"/>
      <c r="AI1469" s="15"/>
    </row>
    <row r="1470" spans="25:35" x14ac:dyDescent="0.3">
      <c r="Y1470" s="20" t="s">
        <v>247</v>
      </c>
      <c r="Z1470" s="21" t="s">
        <v>969</v>
      </c>
      <c r="AA1470" s="21" t="s">
        <v>3030</v>
      </c>
      <c r="AB1470" s="15"/>
      <c r="AI1470" s="15"/>
    </row>
    <row r="1471" spans="25:35" x14ac:dyDescent="0.3">
      <c r="Y1471" s="20" t="s">
        <v>231</v>
      </c>
      <c r="Z1471" s="21" t="s">
        <v>1642</v>
      </c>
      <c r="AA1471" s="21" t="s">
        <v>3031</v>
      </c>
      <c r="AB1471" s="15"/>
      <c r="AI1471" s="15"/>
    </row>
    <row r="1472" spans="25:35" x14ac:dyDescent="0.3">
      <c r="Y1472" s="20" t="s">
        <v>251</v>
      </c>
      <c r="Z1472" s="21" t="s">
        <v>970</v>
      </c>
      <c r="AA1472" s="21" t="s">
        <v>3032</v>
      </c>
      <c r="AB1472" s="15"/>
      <c r="AI1472" s="15"/>
    </row>
    <row r="1473" spans="25:35" x14ac:dyDescent="0.3">
      <c r="Y1473" s="20" t="s">
        <v>247</v>
      </c>
      <c r="Z1473" s="21" t="s">
        <v>971</v>
      </c>
      <c r="AA1473" s="21" t="s">
        <v>3033</v>
      </c>
      <c r="AB1473" s="15"/>
      <c r="AI1473" s="15"/>
    </row>
    <row r="1474" spans="25:35" x14ac:dyDescent="0.3">
      <c r="Y1474" s="20" t="s">
        <v>29</v>
      </c>
      <c r="Z1474" s="21" t="s">
        <v>972</v>
      </c>
      <c r="AA1474" s="21" t="s">
        <v>3034</v>
      </c>
      <c r="AB1474" s="15"/>
      <c r="AI1474" s="15"/>
    </row>
    <row r="1475" spans="25:35" x14ac:dyDescent="0.3">
      <c r="Y1475" s="20" t="s">
        <v>249</v>
      </c>
      <c r="Z1475" s="21" t="s">
        <v>973</v>
      </c>
      <c r="AA1475" s="21" t="s">
        <v>3035</v>
      </c>
      <c r="AB1475" s="15"/>
      <c r="AI1475" s="15"/>
    </row>
    <row r="1476" spans="25:35" x14ac:dyDescent="0.3">
      <c r="Y1476" s="20" t="s">
        <v>247</v>
      </c>
      <c r="Z1476" s="21" t="s">
        <v>974</v>
      </c>
      <c r="AA1476" s="21" t="s">
        <v>3036</v>
      </c>
      <c r="AB1476" s="15"/>
      <c r="AI1476" s="15"/>
    </row>
    <row r="1477" spans="25:35" x14ac:dyDescent="0.3">
      <c r="Y1477" s="20" t="s">
        <v>251</v>
      </c>
      <c r="Z1477" s="21" t="s">
        <v>975</v>
      </c>
      <c r="AA1477" s="21" t="s">
        <v>3037</v>
      </c>
      <c r="AB1477" s="15"/>
      <c r="AI1477" s="15"/>
    </row>
    <row r="1478" spans="25:35" x14ac:dyDescent="0.3">
      <c r="Y1478" s="20" t="s">
        <v>1389</v>
      </c>
      <c r="Z1478" s="21" t="s">
        <v>1679</v>
      </c>
      <c r="AA1478" s="21" t="s">
        <v>3038</v>
      </c>
      <c r="AB1478" s="15"/>
      <c r="AI1478" s="15"/>
    </row>
    <row r="1479" spans="25:35" x14ac:dyDescent="0.3">
      <c r="Y1479" s="20" t="s">
        <v>231</v>
      </c>
      <c r="Z1479" s="21" t="s">
        <v>1668</v>
      </c>
      <c r="AA1479" s="21" t="s">
        <v>3039</v>
      </c>
      <c r="AB1479" s="15"/>
      <c r="AI1479" s="15"/>
    </row>
    <row r="1480" spans="25:35" x14ac:dyDescent="0.3">
      <c r="Y1480" s="20" t="s">
        <v>249</v>
      </c>
      <c r="Z1480" s="21" t="s">
        <v>1666</v>
      </c>
      <c r="AA1480" s="21" t="s">
        <v>3040</v>
      </c>
      <c r="AB1480" s="15"/>
      <c r="AI1480" s="15"/>
    </row>
    <row r="1481" spans="25:35" x14ac:dyDescent="0.3">
      <c r="Y1481" s="20" t="s">
        <v>247</v>
      </c>
      <c r="Z1481" s="21" t="s">
        <v>1659</v>
      </c>
      <c r="AA1481" s="21" t="s">
        <v>3041</v>
      </c>
      <c r="AB1481" s="15"/>
      <c r="AI1481" s="15"/>
    </row>
    <row r="1482" spans="25:35" x14ac:dyDescent="0.3">
      <c r="Y1482" s="20" t="s">
        <v>231</v>
      </c>
      <c r="Z1482" s="21" t="s">
        <v>1673</v>
      </c>
      <c r="AA1482" s="21" t="s">
        <v>3042</v>
      </c>
      <c r="AB1482" s="15"/>
      <c r="AI1482" s="15"/>
    </row>
    <row r="1483" spans="25:35" x14ac:dyDescent="0.3">
      <c r="Y1483" s="20" t="s">
        <v>1389</v>
      </c>
      <c r="Z1483" s="21" t="s">
        <v>1640</v>
      </c>
      <c r="AA1483" s="21" t="s">
        <v>3043</v>
      </c>
      <c r="AB1483" s="15"/>
      <c r="AI1483" s="15"/>
    </row>
    <row r="1484" spans="25:35" x14ac:dyDescent="0.3">
      <c r="Y1484" s="20" t="s">
        <v>247</v>
      </c>
      <c r="Z1484" s="21" t="s">
        <v>1634</v>
      </c>
      <c r="AA1484" s="21" t="s">
        <v>3044</v>
      </c>
      <c r="AB1484" s="15"/>
      <c r="AI1484" s="15"/>
    </row>
    <row r="1485" spans="25:35" x14ac:dyDescent="0.3">
      <c r="Y1485" s="20" t="s">
        <v>232</v>
      </c>
      <c r="Z1485" s="21" t="s">
        <v>1587</v>
      </c>
      <c r="AA1485" s="21" t="s">
        <v>3045</v>
      </c>
      <c r="AB1485" s="15"/>
      <c r="AI1485" s="15"/>
    </row>
    <row r="1486" spans="25:35" x14ac:dyDescent="0.3">
      <c r="Y1486" s="20" t="s">
        <v>247</v>
      </c>
      <c r="Z1486" s="21" t="s">
        <v>1680</v>
      </c>
      <c r="AA1486" s="21" t="s">
        <v>3046</v>
      </c>
      <c r="AB1486" s="15"/>
      <c r="AI1486" s="15"/>
    </row>
    <row r="1487" spans="25:35" x14ac:dyDescent="0.3">
      <c r="Y1487" s="20" t="s">
        <v>230</v>
      </c>
      <c r="Z1487" s="21" t="s">
        <v>1652</v>
      </c>
      <c r="AA1487" s="21" t="s">
        <v>3047</v>
      </c>
      <c r="AB1487" s="15"/>
      <c r="AI1487" s="15"/>
    </row>
    <row r="1488" spans="25:35" x14ac:dyDescent="0.3">
      <c r="Y1488" s="20" t="s">
        <v>29</v>
      </c>
      <c r="Z1488" s="21" t="s">
        <v>976</v>
      </c>
      <c r="AA1488" s="21" t="s">
        <v>3048</v>
      </c>
      <c r="AB1488" s="15"/>
      <c r="AI1488" s="15"/>
    </row>
    <row r="1489" spans="25:35" x14ac:dyDescent="0.3">
      <c r="Y1489" s="20" t="s">
        <v>231</v>
      </c>
      <c r="Z1489" s="21" t="s">
        <v>977</v>
      </c>
      <c r="AA1489" s="21" t="s">
        <v>3049</v>
      </c>
      <c r="AB1489" s="15"/>
      <c r="AI1489" s="15"/>
    </row>
    <row r="1490" spans="25:35" x14ac:dyDescent="0.3">
      <c r="Y1490" s="20" t="s">
        <v>231</v>
      </c>
      <c r="Z1490" s="21" t="s">
        <v>1585</v>
      </c>
      <c r="AA1490" s="21" t="s">
        <v>3050</v>
      </c>
      <c r="AB1490" s="15"/>
      <c r="AI1490" s="15"/>
    </row>
    <row r="1491" spans="25:35" x14ac:dyDescent="0.3">
      <c r="Y1491" s="20" t="s">
        <v>249</v>
      </c>
      <c r="Z1491" s="21" t="s">
        <v>1599</v>
      </c>
      <c r="AA1491" s="21" t="s">
        <v>3051</v>
      </c>
      <c r="AB1491" s="15"/>
      <c r="AI1491" s="15"/>
    </row>
    <row r="1492" spans="25:35" x14ac:dyDescent="0.3">
      <c r="Y1492" s="20" t="s">
        <v>231</v>
      </c>
      <c r="Z1492" s="21" t="s">
        <v>1598</v>
      </c>
      <c r="AA1492" s="21" t="s">
        <v>3052</v>
      </c>
      <c r="AB1492" s="15"/>
      <c r="AI1492" s="15"/>
    </row>
    <row r="1493" spans="25:35" x14ac:dyDescent="0.3">
      <c r="Y1493" s="20" t="s">
        <v>232</v>
      </c>
      <c r="Z1493" s="21" t="s">
        <v>1597</v>
      </c>
      <c r="AA1493" s="21" t="s">
        <v>3053</v>
      </c>
      <c r="AB1493" s="15"/>
      <c r="AI1493" s="15"/>
    </row>
    <row r="1494" spans="25:35" x14ac:dyDescent="0.3">
      <c r="Y1494" s="20" t="s">
        <v>29</v>
      </c>
      <c r="Z1494" s="21" t="s">
        <v>1594</v>
      </c>
      <c r="AA1494" s="21" t="s">
        <v>3054</v>
      </c>
      <c r="AB1494" s="15"/>
      <c r="AI1494" s="15"/>
    </row>
    <row r="1495" spans="25:35" x14ac:dyDescent="0.3">
      <c r="Y1495" s="20" t="s">
        <v>251</v>
      </c>
      <c r="Z1495" s="21" t="s">
        <v>1588</v>
      </c>
      <c r="AA1495" s="21" t="s">
        <v>3055</v>
      </c>
      <c r="AB1495" s="15"/>
      <c r="AI1495" s="15"/>
    </row>
    <row r="1496" spans="25:35" x14ac:dyDescent="0.3">
      <c r="Y1496" s="20" t="s">
        <v>230</v>
      </c>
      <c r="Z1496" s="21" t="s">
        <v>1592</v>
      </c>
      <c r="AA1496" s="21" t="s">
        <v>3056</v>
      </c>
      <c r="AB1496" s="15"/>
      <c r="AI1496" s="15"/>
    </row>
    <row r="1497" spans="25:35" x14ac:dyDescent="0.3">
      <c r="Y1497" s="20" t="s">
        <v>10</v>
      </c>
      <c r="Z1497" s="21" t="s">
        <v>978</v>
      </c>
      <c r="AA1497" s="21" t="s">
        <v>3057</v>
      </c>
      <c r="AB1497" s="15"/>
      <c r="AI1497" s="15"/>
    </row>
    <row r="1498" spans="25:35" x14ac:dyDescent="0.3">
      <c r="Y1498" s="20" t="s">
        <v>10</v>
      </c>
      <c r="Z1498" s="21" t="s">
        <v>979</v>
      </c>
      <c r="AA1498" s="21" t="s">
        <v>3058</v>
      </c>
      <c r="AB1498" s="15"/>
      <c r="AI1498" s="15"/>
    </row>
    <row r="1499" spans="25:35" x14ac:dyDescent="0.3">
      <c r="Y1499" s="20" t="s">
        <v>10</v>
      </c>
      <c r="Z1499" s="21" t="s">
        <v>1627</v>
      </c>
      <c r="AA1499" s="21" t="s">
        <v>3059</v>
      </c>
      <c r="AB1499" s="15"/>
      <c r="AI1499" s="15"/>
    </row>
    <row r="1500" spans="25:35" x14ac:dyDescent="0.3">
      <c r="Y1500" s="20" t="s">
        <v>10</v>
      </c>
      <c r="Z1500" s="21" t="s">
        <v>1610</v>
      </c>
      <c r="AA1500" s="21" t="s">
        <v>3060</v>
      </c>
      <c r="AB1500" s="15"/>
      <c r="AI1500" s="15"/>
    </row>
    <row r="1501" spans="25:35" x14ac:dyDescent="0.3">
      <c r="Y1501" s="20" t="s">
        <v>10</v>
      </c>
      <c r="Z1501" s="21" t="s">
        <v>1632</v>
      </c>
      <c r="AA1501" s="21" t="s">
        <v>3061</v>
      </c>
      <c r="AB1501" s="15"/>
      <c r="AI1501" s="15"/>
    </row>
    <row r="1502" spans="25:35" x14ac:dyDescent="0.3">
      <c r="Y1502" s="20" t="s">
        <v>10</v>
      </c>
      <c r="Z1502" s="21" t="s">
        <v>1591</v>
      </c>
      <c r="AA1502" s="21" t="s">
        <v>3062</v>
      </c>
      <c r="AB1502" s="15"/>
      <c r="AI1502" s="15"/>
    </row>
    <row r="1503" spans="25:35" x14ac:dyDescent="0.3">
      <c r="Y1503" s="20" t="s">
        <v>10</v>
      </c>
      <c r="Z1503" s="21" t="s">
        <v>980</v>
      </c>
      <c r="AA1503" s="21" t="s">
        <v>3063</v>
      </c>
      <c r="AB1503" s="15"/>
      <c r="AI1503" s="15"/>
    </row>
    <row r="1504" spans="25:35" x14ac:dyDescent="0.3">
      <c r="Y1504" s="20" t="s">
        <v>10</v>
      </c>
      <c r="Z1504" s="21" t="s">
        <v>981</v>
      </c>
      <c r="AA1504" s="21" t="s">
        <v>3064</v>
      </c>
      <c r="AB1504" s="15"/>
      <c r="AI1504" s="15"/>
    </row>
    <row r="1505" spans="25:35" x14ac:dyDescent="0.3">
      <c r="Y1505" s="20" t="s">
        <v>10</v>
      </c>
      <c r="Z1505" s="21" t="s">
        <v>982</v>
      </c>
      <c r="AA1505" s="21" t="s">
        <v>3065</v>
      </c>
      <c r="AB1505" s="15"/>
      <c r="AI1505" s="15"/>
    </row>
    <row r="1506" spans="25:35" x14ac:dyDescent="0.3">
      <c r="Y1506" s="20" t="s">
        <v>10</v>
      </c>
      <c r="Z1506" s="21" t="s">
        <v>1631</v>
      </c>
      <c r="AA1506" s="21" t="s">
        <v>3066</v>
      </c>
      <c r="AB1506" s="15"/>
      <c r="AI1506" s="15"/>
    </row>
    <row r="1507" spans="25:35" x14ac:dyDescent="0.3">
      <c r="Y1507" s="20" t="s">
        <v>10</v>
      </c>
      <c r="Z1507" s="21" t="s">
        <v>983</v>
      </c>
      <c r="AA1507" s="21" t="s">
        <v>3067</v>
      </c>
      <c r="AB1507" s="15"/>
      <c r="AI1507" s="15"/>
    </row>
    <row r="1508" spans="25:35" x14ac:dyDescent="0.3">
      <c r="Y1508" s="20" t="s">
        <v>10</v>
      </c>
      <c r="Z1508" s="21" t="s">
        <v>984</v>
      </c>
      <c r="AA1508" s="21" t="s">
        <v>3068</v>
      </c>
      <c r="AB1508" s="15"/>
      <c r="AI1508" s="15"/>
    </row>
    <row r="1509" spans="25:35" x14ac:dyDescent="0.3">
      <c r="Y1509" s="20" t="s">
        <v>10</v>
      </c>
      <c r="Z1509" s="21" t="s">
        <v>985</v>
      </c>
      <c r="AA1509" s="21" t="s">
        <v>3069</v>
      </c>
      <c r="AB1509" s="15"/>
      <c r="AI1509" s="15"/>
    </row>
    <row r="1510" spans="25:35" x14ac:dyDescent="0.3">
      <c r="Y1510" s="20" t="s">
        <v>10</v>
      </c>
      <c r="Z1510" s="21" t="s">
        <v>986</v>
      </c>
      <c r="AA1510" s="21" t="s">
        <v>3070</v>
      </c>
      <c r="AB1510" s="15"/>
      <c r="AI1510" s="15"/>
    </row>
    <row r="1511" spans="25:35" x14ac:dyDescent="0.3">
      <c r="Y1511" s="20" t="s">
        <v>10</v>
      </c>
      <c r="Z1511" s="21" t="s">
        <v>987</v>
      </c>
      <c r="AA1511" s="21" t="s">
        <v>3071</v>
      </c>
      <c r="AB1511" s="15"/>
      <c r="AI1511" s="15"/>
    </row>
    <row r="1512" spans="25:35" x14ac:dyDescent="0.3">
      <c r="Y1512" s="20" t="s">
        <v>10</v>
      </c>
      <c r="Z1512" s="21" t="s">
        <v>988</v>
      </c>
      <c r="AA1512" s="21" t="s">
        <v>3072</v>
      </c>
      <c r="AB1512" s="15"/>
      <c r="AI1512" s="15"/>
    </row>
    <row r="1513" spans="25:35" x14ac:dyDescent="0.3">
      <c r="Y1513" s="20" t="s">
        <v>10</v>
      </c>
      <c r="Z1513" s="21" t="s">
        <v>1667</v>
      </c>
      <c r="AA1513" s="21" t="s">
        <v>3073</v>
      </c>
      <c r="AB1513" s="15"/>
      <c r="AI1513" s="15"/>
    </row>
    <row r="1514" spans="25:35" x14ac:dyDescent="0.3">
      <c r="Y1514" s="20" t="s">
        <v>10</v>
      </c>
      <c r="Z1514" s="21" t="s">
        <v>1678</v>
      </c>
      <c r="AA1514" s="21" t="s">
        <v>3074</v>
      </c>
      <c r="AB1514" s="15"/>
      <c r="AI1514" s="15"/>
    </row>
    <row r="1515" spans="25:35" x14ac:dyDescent="0.3">
      <c r="Y1515" s="20" t="s">
        <v>10</v>
      </c>
      <c r="Z1515" s="21" t="s">
        <v>1624</v>
      </c>
      <c r="AA1515" s="21" t="s">
        <v>3075</v>
      </c>
      <c r="AB1515" s="15"/>
      <c r="AI1515" s="15"/>
    </row>
    <row r="1516" spans="25:35" x14ac:dyDescent="0.3">
      <c r="Y1516" s="20" t="s">
        <v>10</v>
      </c>
      <c r="Z1516" s="21" t="s">
        <v>989</v>
      </c>
      <c r="AA1516" s="21" t="s">
        <v>3076</v>
      </c>
      <c r="AB1516" s="15"/>
      <c r="AI1516" s="15"/>
    </row>
    <row r="1517" spans="25:35" x14ac:dyDescent="0.3">
      <c r="Y1517" s="20" t="s">
        <v>10</v>
      </c>
      <c r="Z1517" s="21" t="s">
        <v>1644</v>
      </c>
      <c r="AA1517" s="21" t="s">
        <v>3077</v>
      </c>
      <c r="AB1517" s="15"/>
      <c r="AI1517" s="15"/>
    </row>
    <row r="1518" spans="25:35" x14ac:dyDescent="0.3">
      <c r="Y1518" s="20" t="s">
        <v>10</v>
      </c>
      <c r="Z1518" s="21" t="s">
        <v>1601</v>
      </c>
      <c r="AA1518" s="21" t="s">
        <v>3078</v>
      </c>
      <c r="AB1518" s="15"/>
      <c r="AI1518" s="15"/>
    </row>
    <row r="1519" spans="25:35" x14ac:dyDescent="0.3">
      <c r="Y1519" s="20" t="s">
        <v>10</v>
      </c>
      <c r="Z1519" s="21" t="s">
        <v>990</v>
      </c>
      <c r="AA1519" s="21" t="s">
        <v>3079</v>
      </c>
      <c r="AB1519" s="15"/>
      <c r="AI1519" s="15"/>
    </row>
    <row r="1520" spans="25:35" x14ac:dyDescent="0.3">
      <c r="Y1520" s="20" t="s">
        <v>10</v>
      </c>
      <c r="Z1520" s="21" t="s">
        <v>1641</v>
      </c>
      <c r="AA1520" s="21" t="s">
        <v>3080</v>
      </c>
      <c r="AB1520" s="15"/>
      <c r="AI1520" s="15"/>
    </row>
    <row r="1521" spans="25:35" x14ac:dyDescent="0.3">
      <c r="Y1521" s="20" t="s">
        <v>10</v>
      </c>
      <c r="Z1521" s="21" t="s">
        <v>1641</v>
      </c>
      <c r="AA1521" s="21" t="s">
        <v>3081</v>
      </c>
      <c r="AB1521" s="15"/>
      <c r="AI1521" s="15"/>
    </row>
    <row r="1522" spans="25:35" x14ac:dyDescent="0.3">
      <c r="Y1522" s="20" t="s">
        <v>10</v>
      </c>
      <c r="Z1522" s="21" t="s">
        <v>1636</v>
      </c>
      <c r="AA1522" s="21" t="s">
        <v>3082</v>
      </c>
      <c r="AB1522" s="15"/>
      <c r="AI1522" s="15"/>
    </row>
    <row r="1523" spans="25:35" x14ac:dyDescent="0.3">
      <c r="Y1523" s="20" t="s">
        <v>10</v>
      </c>
      <c r="Z1523" s="21" t="s">
        <v>1620</v>
      </c>
      <c r="AA1523" s="21" t="s">
        <v>3083</v>
      </c>
      <c r="AB1523" s="15"/>
      <c r="AI1523" s="15"/>
    </row>
    <row r="1524" spans="25:35" x14ac:dyDescent="0.3">
      <c r="Y1524" s="20" t="s">
        <v>10</v>
      </c>
      <c r="Z1524" s="21" t="s">
        <v>991</v>
      </c>
      <c r="AA1524" s="21" t="s">
        <v>3084</v>
      </c>
      <c r="AB1524" s="15"/>
      <c r="AI1524" s="15"/>
    </row>
    <row r="1525" spans="25:35" x14ac:dyDescent="0.3">
      <c r="Y1525" s="20" t="s">
        <v>10</v>
      </c>
      <c r="Z1525" s="21" t="s">
        <v>992</v>
      </c>
      <c r="AA1525" s="21" t="s">
        <v>3085</v>
      </c>
      <c r="AB1525" s="15"/>
      <c r="AI1525" s="15"/>
    </row>
    <row r="1526" spans="25:35" x14ac:dyDescent="0.3">
      <c r="Y1526" s="20" t="s">
        <v>10</v>
      </c>
      <c r="Z1526" s="21" t="s">
        <v>1639</v>
      </c>
      <c r="AA1526" s="21" t="s">
        <v>3086</v>
      </c>
      <c r="AB1526" s="15"/>
      <c r="AI1526" s="15"/>
    </row>
    <row r="1527" spans="25:35" x14ac:dyDescent="0.3">
      <c r="Y1527" s="20" t="s">
        <v>10</v>
      </c>
      <c r="Z1527" s="21" t="s">
        <v>1608</v>
      </c>
      <c r="AA1527" s="21" t="s">
        <v>3087</v>
      </c>
      <c r="AB1527" s="15"/>
      <c r="AI1527" s="15"/>
    </row>
    <row r="1528" spans="25:35" x14ac:dyDescent="0.3">
      <c r="Y1528" s="20" t="s">
        <v>10</v>
      </c>
      <c r="Z1528" s="21" t="s">
        <v>1660</v>
      </c>
      <c r="AA1528" s="21" t="s">
        <v>3088</v>
      </c>
      <c r="AB1528" s="15"/>
      <c r="AI1528" s="15"/>
    </row>
    <row r="1529" spans="25:35" x14ac:dyDescent="0.3">
      <c r="Y1529" s="20" t="s">
        <v>10</v>
      </c>
      <c r="Z1529" s="21" t="s">
        <v>1633</v>
      </c>
      <c r="AA1529" s="21" t="s">
        <v>3090</v>
      </c>
      <c r="AB1529" s="15"/>
      <c r="AI1529" s="15"/>
    </row>
    <row r="1530" spans="25:35" x14ac:dyDescent="0.3">
      <c r="Y1530" s="20" t="s">
        <v>10</v>
      </c>
      <c r="Z1530" s="21" t="s">
        <v>1623</v>
      </c>
      <c r="AA1530" s="21" t="s">
        <v>3091</v>
      </c>
      <c r="AB1530" s="15"/>
      <c r="AI1530" s="15"/>
    </row>
    <row r="1531" spans="25:35" x14ac:dyDescent="0.3">
      <c r="Y1531" s="20" t="s">
        <v>10</v>
      </c>
      <c r="Z1531" s="21" t="s">
        <v>1622</v>
      </c>
      <c r="AA1531" s="21" t="s">
        <v>3092</v>
      </c>
      <c r="AB1531" s="15"/>
      <c r="AI1531" s="15"/>
    </row>
    <row r="1532" spans="25:35" x14ac:dyDescent="0.3">
      <c r="Y1532" s="20" t="s">
        <v>10</v>
      </c>
      <c r="Z1532" s="21" t="s">
        <v>993</v>
      </c>
      <c r="AA1532" s="21" t="s">
        <v>3093</v>
      </c>
      <c r="AB1532" s="15"/>
      <c r="AI1532" s="15"/>
    </row>
    <row r="1533" spans="25:35" x14ac:dyDescent="0.3">
      <c r="Y1533" s="20" t="s">
        <v>10</v>
      </c>
      <c r="Z1533" s="21" t="s">
        <v>994</v>
      </c>
      <c r="AA1533" s="21" t="s">
        <v>3094</v>
      </c>
      <c r="AB1533" s="15"/>
      <c r="AI1533" s="15"/>
    </row>
    <row r="1534" spans="25:35" x14ac:dyDescent="0.3">
      <c r="Y1534" s="20" t="s">
        <v>10</v>
      </c>
      <c r="Z1534" s="21" t="s">
        <v>995</v>
      </c>
      <c r="AA1534" s="21" t="s">
        <v>3095</v>
      </c>
      <c r="AB1534" s="15"/>
      <c r="AI1534" s="15"/>
    </row>
    <row r="1535" spans="25:35" x14ac:dyDescent="0.3">
      <c r="Y1535" s="20" t="s">
        <v>10</v>
      </c>
      <c r="Z1535" s="21" t="s">
        <v>1653</v>
      </c>
      <c r="AA1535" s="21" t="s">
        <v>3096</v>
      </c>
      <c r="AB1535" s="15"/>
      <c r="AI1535" s="15"/>
    </row>
    <row r="1536" spans="25:35" x14ac:dyDescent="0.3">
      <c r="Y1536" s="20" t="s">
        <v>10</v>
      </c>
      <c r="Z1536" s="21" t="s">
        <v>1635</v>
      </c>
      <c r="AA1536" s="21" t="s">
        <v>3097</v>
      </c>
      <c r="AB1536" s="15"/>
      <c r="AI1536" s="15"/>
    </row>
    <row r="1537" spans="25:35" x14ac:dyDescent="0.3">
      <c r="Y1537" s="20" t="s">
        <v>10</v>
      </c>
      <c r="Z1537" s="21" t="s">
        <v>996</v>
      </c>
      <c r="AA1537" s="21" t="s">
        <v>3098</v>
      </c>
      <c r="AB1537" s="15"/>
      <c r="AI1537" s="15"/>
    </row>
    <row r="1538" spans="25:35" x14ac:dyDescent="0.3">
      <c r="Y1538" s="20" t="s">
        <v>10</v>
      </c>
      <c r="Z1538" s="21" t="s">
        <v>1616</v>
      </c>
      <c r="AA1538" s="21" t="s">
        <v>3099</v>
      </c>
      <c r="AB1538" s="15"/>
      <c r="AI1538" s="15"/>
    </row>
    <row r="1539" spans="25:35" x14ac:dyDescent="0.3">
      <c r="Y1539" s="20" t="s">
        <v>10</v>
      </c>
      <c r="Z1539" s="21" t="s">
        <v>1614</v>
      </c>
      <c r="AA1539" s="21" t="s">
        <v>3100</v>
      </c>
      <c r="AB1539" s="15"/>
      <c r="AI1539" s="15"/>
    </row>
    <row r="1540" spans="25:35" x14ac:dyDescent="0.3">
      <c r="Y1540" s="20" t="s">
        <v>10</v>
      </c>
      <c r="Z1540" s="21" t="s">
        <v>1629</v>
      </c>
      <c r="AA1540" s="21" t="s">
        <v>3101</v>
      </c>
      <c r="AB1540" s="15"/>
      <c r="AI1540" s="15"/>
    </row>
    <row r="1541" spans="25:35" x14ac:dyDescent="0.3">
      <c r="Y1541" s="20" t="s">
        <v>10</v>
      </c>
      <c r="Z1541" s="21" t="s">
        <v>997</v>
      </c>
      <c r="AA1541" s="21" t="s">
        <v>3102</v>
      </c>
      <c r="AB1541" s="15"/>
      <c r="AI1541" s="15"/>
    </row>
    <row r="1542" spans="25:35" x14ac:dyDescent="0.3">
      <c r="Y1542" s="20" t="s">
        <v>10</v>
      </c>
      <c r="Z1542" s="21" t="s">
        <v>1677</v>
      </c>
      <c r="AA1542" s="21" t="s">
        <v>3103</v>
      </c>
      <c r="AB1542" s="15"/>
      <c r="AI1542" s="15"/>
    </row>
    <row r="1543" spans="25:35" x14ac:dyDescent="0.3">
      <c r="Y1543" s="20" t="s">
        <v>10</v>
      </c>
      <c r="Z1543" s="21" t="s">
        <v>998</v>
      </c>
      <c r="AA1543" s="21" t="s">
        <v>3104</v>
      </c>
      <c r="AB1543" s="15"/>
      <c r="AI1543" s="15"/>
    </row>
    <row r="1544" spans="25:35" x14ac:dyDescent="0.3">
      <c r="Y1544" s="20" t="s">
        <v>10</v>
      </c>
      <c r="Z1544" s="21" t="s">
        <v>999</v>
      </c>
      <c r="AA1544" s="21" t="s">
        <v>3105</v>
      </c>
      <c r="AB1544" s="15"/>
      <c r="AI1544" s="15"/>
    </row>
    <row r="1545" spans="25:35" x14ac:dyDescent="0.3">
      <c r="Y1545" s="20" t="s">
        <v>10</v>
      </c>
      <c r="Z1545" s="21" t="s">
        <v>1687</v>
      </c>
      <c r="AA1545" s="21" t="s">
        <v>3106</v>
      </c>
      <c r="AB1545" s="15"/>
      <c r="AI1545" s="15"/>
    </row>
    <row r="1546" spans="25:35" x14ac:dyDescent="0.3">
      <c r="Y1546" s="20" t="s">
        <v>10</v>
      </c>
      <c r="Z1546" s="21" t="s">
        <v>1000</v>
      </c>
      <c r="AA1546" s="21" t="s">
        <v>3107</v>
      </c>
      <c r="AB1546" s="15"/>
      <c r="AI1546" s="15"/>
    </row>
    <row r="1547" spans="25:35" x14ac:dyDescent="0.3">
      <c r="Y1547" s="20" t="s">
        <v>10</v>
      </c>
      <c r="Z1547" s="21" t="s">
        <v>1001</v>
      </c>
      <c r="AA1547" s="21" t="s">
        <v>3108</v>
      </c>
      <c r="AB1547" s="15"/>
      <c r="AI1547" s="15"/>
    </row>
    <row r="1548" spans="25:35" x14ac:dyDescent="0.3">
      <c r="Y1548" s="20" t="s">
        <v>10</v>
      </c>
      <c r="Z1548" s="21" t="s">
        <v>1002</v>
      </c>
      <c r="AA1548" s="21" t="s">
        <v>3109</v>
      </c>
      <c r="AB1548" s="15"/>
      <c r="AI1548" s="15"/>
    </row>
    <row r="1549" spans="25:35" x14ac:dyDescent="0.3">
      <c r="Y1549" s="20" t="s">
        <v>10</v>
      </c>
      <c r="Z1549" s="21" t="s">
        <v>1657</v>
      </c>
      <c r="AA1549" s="21" t="s">
        <v>3110</v>
      </c>
      <c r="AB1549" s="15"/>
      <c r="AI1549" s="15"/>
    </row>
    <row r="1550" spans="25:35" x14ac:dyDescent="0.3">
      <c r="Y1550" s="20" t="s">
        <v>10</v>
      </c>
      <c r="Z1550" s="21" t="s">
        <v>1003</v>
      </c>
      <c r="AA1550" s="21" t="s">
        <v>3111</v>
      </c>
      <c r="AB1550" s="15"/>
      <c r="AI1550" s="15"/>
    </row>
    <row r="1551" spans="25:35" x14ac:dyDescent="0.3">
      <c r="Y1551" s="20" t="s">
        <v>10</v>
      </c>
      <c r="Z1551" s="21" t="s">
        <v>1004</v>
      </c>
      <c r="AA1551" s="21" t="s">
        <v>3112</v>
      </c>
      <c r="AB1551" s="15"/>
      <c r="AI1551" s="15"/>
    </row>
    <row r="1552" spans="25:35" x14ac:dyDescent="0.3">
      <c r="Y1552" s="20" t="s">
        <v>10</v>
      </c>
      <c r="Z1552" s="21" t="s">
        <v>1661</v>
      </c>
      <c r="AA1552" s="21" t="s">
        <v>3113</v>
      </c>
      <c r="AB1552" s="15"/>
      <c r="AI1552" s="15"/>
    </row>
    <row r="1553" spans="25:35" x14ac:dyDescent="0.3">
      <c r="Y1553" s="20" t="s">
        <v>10</v>
      </c>
      <c r="Z1553" s="21" t="s">
        <v>1005</v>
      </c>
      <c r="AA1553" s="21" t="s">
        <v>3114</v>
      </c>
      <c r="AB1553" s="15"/>
      <c r="AI1553" s="15"/>
    </row>
    <row r="1554" spans="25:35" x14ac:dyDescent="0.3">
      <c r="Y1554" s="20" t="s">
        <v>10</v>
      </c>
      <c r="Z1554" s="21" t="s">
        <v>1006</v>
      </c>
      <c r="AA1554" s="21" t="s">
        <v>3115</v>
      </c>
      <c r="AB1554" s="15"/>
      <c r="AI1554" s="15"/>
    </row>
    <row r="1555" spans="25:35" x14ac:dyDescent="0.3">
      <c r="Y1555" s="20" t="s">
        <v>10</v>
      </c>
      <c r="Z1555" s="21" t="s">
        <v>1007</v>
      </c>
      <c r="AA1555" s="21" t="s">
        <v>3116</v>
      </c>
      <c r="AB1555" s="15"/>
      <c r="AI1555" s="15"/>
    </row>
    <row r="1556" spans="25:35" x14ac:dyDescent="0.3">
      <c r="Y1556" s="20" t="s">
        <v>10</v>
      </c>
      <c r="Z1556" s="21" t="s">
        <v>1669</v>
      </c>
      <c r="AA1556" s="21" t="s">
        <v>3117</v>
      </c>
      <c r="AB1556" s="15"/>
      <c r="AI1556" s="15"/>
    </row>
    <row r="1557" spans="25:35" x14ac:dyDescent="0.3">
      <c r="Y1557" s="20" t="s">
        <v>10</v>
      </c>
      <c r="Z1557" s="21" t="s">
        <v>1008</v>
      </c>
      <c r="AA1557" s="21" t="s">
        <v>3118</v>
      </c>
      <c r="AB1557" s="15"/>
      <c r="AI1557" s="15"/>
    </row>
    <row r="1558" spans="25:35" x14ac:dyDescent="0.3">
      <c r="Y1558" s="20" t="s">
        <v>10</v>
      </c>
      <c r="Z1558" s="21" t="s">
        <v>1009</v>
      </c>
      <c r="AA1558" s="21" t="s">
        <v>3119</v>
      </c>
      <c r="AB1558" s="15"/>
      <c r="AI1558" s="15"/>
    </row>
    <row r="1559" spans="25:35" x14ac:dyDescent="0.3">
      <c r="Y1559" s="20" t="s">
        <v>10</v>
      </c>
      <c r="Z1559" s="21" t="s">
        <v>1010</v>
      </c>
      <c r="AA1559" s="21" t="s">
        <v>3120</v>
      </c>
      <c r="AB1559" s="15"/>
      <c r="AI1559" s="15"/>
    </row>
    <row r="1560" spans="25:35" x14ac:dyDescent="0.3">
      <c r="Y1560" s="20" t="s">
        <v>10</v>
      </c>
      <c r="Z1560" s="21" t="s">
        <v>1011</v>
      </c>
      <c r="AA1560" s="21" t="s">
        <v>3121</v>
      </c>
      <c r="AB1560" s="15"/>
      <c r="AI1560" s="15"/>
    </row>
    <row r="1561" spans="25:35" x14ac:dyDescent="0.3">
      <c r="Y1561" s="20" t="s">
        <v>10</v>
      </c>
      <c r="Z1561" s="21" t="s">
        <v>1012</v>
      </c>
      <c r="AA1561" s="21" t="s">
        <v>3122</v>
      </c>
      <c r="AB1561" s="15"/>
      <c r="AI1561" s="15"/>
    </row>
    <row r="1562" spans="25:35" x14ac:dyDescent="0.3">
      <c r="Y1562" s="20" t="s">
        <v>10</v>
      </c>
      <c r="Z1562" s="21" t="s">
        <v>1013</v>
      </c>
      <c r="AA1562" s="21" t="s">
        <v>3123</v>
      </c>
      <c r="AB1562" s="15"/>
      <c r="AI1562" s="15"/>
    </row>
    <row r="1563" spans="25:35" x14ac:dyDescent="0.3">
      <c r="Y1563" s="20" t="s">
        <v>10</v>
      </c>
      <c r="Z1563" s="21" t="s">
        <v>1014</v>
      </c>
      <c r="AA1563" s="21" t="s">
        <v>3124</v>
      </c>
      <c r="AB1563" s="15"/>
      <c r="AI1563" s="15"/>
    </row>
    <row r="1564" spans="25:35" x14ac:dyDescent="0.3">
      <c r="Y1564" s="20" t="s">
        <v>10</v>
      </c>
      <c r="Z1564" s="21" t="s">
        <v>1015</v>
      </c>
      <c r="AA1564" s="21" t="s">
        <v>3125</v>
      </c>
      <c r="AB1564" s="15"/>
      <c r="AI1564" s="15"/>
    </row>
    <row r="1565" spans="25:35" x14ac:dyDescent="0.3">
      <c r="Y1565" s="20" t="s">
        <v>10</v>
      </c>
      <c r="Z1565" s="21" t="s">
        <v>1016</v>
      </c>
      <c r="AA1565" s="21" t="s">
        <v>3126</v>
      </c>
      <c r="AB1565" s="15"/>
      <c r="AI1565" s="15"/>
    </row>
    <row r="1566" spans="25:35" x14ac:dyDescent="0.3">
      <c r="Y1566" s="20" t="s">
        <v>10</v>
      </c>
      <c r="Z1566" s="21" t="s">
        <v>1676</v>
      </c>
      <c r="AA1566" s="21" t="s">
        <v>3127</v>
      </c>
      <c r="AB1566" s="15"/>
      <c r="AI1566" s="15"/>
    </row>
    <row r="1567" spans="25:35" x14ac:dyDescent="0.3">
      <c r="Y1567" s="20" t="s">
        <v>10</v>
      </c>
      <c r="Z1567" s="21" t="s">
        <v>1017</v>
      </c>
      <c r="AA1567" s="21" t="s">
        <v>3128</v>
      </c>
      <c r="AB1567" s="15"/>
      <c r="AI1567" s="15"/>
    </row>
    <row r="1568" spans="25:35" x14ac:dyDescent="0.3">
      <c r="Y1568" s="20" t="s">
        <v>10</v>
      </c>
      <c r="Z1568" s="21" t="s">
        <v>1018</v>
      </c>
      <c r="AA1568" s="21" t="s">
        <v>3129</v>
      </c>
      <c r="AB1568" s="15"/>
      <c r="AI1568" s="15"/>
    </row>
    <row r="1569" spans="25:35" x14ac:dyDescent="0.3">
      <c r="Y1569" s="20" t="s">
        <v>10</v>
      </c>
      <c r="Z1569" s="21" t="s">
        <v>1019</v>
      </c>
      <c r="AA1569" s="21" t="s">
        <v>3130</v>
      </c>
      <c r="AB1569" s="15"/>
      <c r="AI1569" s="15"/>
    </row>
    <row r="1570" spans="25:35" x14ac:dyDescent="0.3">
      <c r="Y1570" s="20" t="s">
        <v>10</v>
      </c>
      <c r="Z1570" s="21" t="s">
        <v>1020</v>
      </c>
      <c r="AA1570" s="21" t="s">
        <v>3131</v>
      </c>
      <c r="AB1570" s="15"/>
      <c r="AI1570" s="15"/>
    </row>
    <row r="1571" spans="25:35" x14ac:dyDescent="0.3">
      <c r="Y1571" s="20" t="s">
        <v>10</v>
      </c>
      <c r="Z1571" s="21" t="s">
        <v>1021</v>
      </c>
      <c r="AA1571" s="21" t="s">
        <v>3132</v>
      </c>
      <c r="AB1571" s="15"/>
      <c r="AI1571" s="15"/>
    </row>
    <row r="1572" spans="25:35" x14ac:dyDescent="0.3">
      <c r="Y1572" s="20" t="s">
        <v>10</v>
      </c>
      <c r="Z1572" s="21" t="s">
        <v>1022</v>
      </c>
      <c r="AA1572" s="21" t="s">
        <v>3133</v>
      </c>
      <c r="AB1572" s="15"/>
      <c r="AI1572" s="15"/>
    </row>
    <row r="1573" spans="25:35" x14ac:dyDescent="0.3">
      <c r="Y1573" s="20" t="s">
        <v>10</v>
      </c>
      <c r="Z1573" s="21" t="s">
        <v>1023</v>
      </c>
      <c r="AA1573" s="21" t="s">
        <v>3134</v>
      </c>
      <c r="AB1573" s="15"/>
      <c r="AI1573" s="15"/>
    </row>
    <row r="1574" spans="25:35" x14ac:dyDescent="0.3">
      <c r="Y1574" s="20" t="s">
        <v>10</v>
      </c>
      <c r="Z1574" s="21" t="s">
        <v>1024</v>
      </c>
      <c r="AA1574" s="21" t="s">
        <v>3135</v>
      </c>
      <c r="AB1574" s="15"/>
      <c r="AI1574" s="15"/>
    </row>
    <row r="1575" spans="25:35" x14ac:dyDescent="0.3">
      <c r="Y1575" s="20" t="s">
        <v>10</v>
      </c>
      <c r="Z1575" s="21" t="s">
        <v>1025</v>
      </c>
      <c r="AA1575" s="21" t="s">
        <v>3136</v>
      </c>
      <c r="AB1575" s="15"/>
      <c r="AI1575" s="15"/>
    </row>
    <row r="1576" spans="25:35" x14ac:dyDescent="0.3">
      <c r="Y1576" s="20" t="s">
        <v>10</v>
      </c>
      <c r="Z1576" s="21" t="s">
        <v>1026</v>
      </c>
      <c r="AA1576" s="21" t="s">
        <v>3137</v>
      </c>
      <c r="AB1576" s="15"/>
      <c r="AI1576" s="15"/>
    </row>
    <row r="1577" spans="25:35" x14ac:dyDescent="0.3">
      <c r="Y1577" s="20" t="s">
        <v>10</v>
      </c>
      <c r="Z1577" s="21" t="s">
        <v>1027</v>
      </c>
      <c r="AA1577" s="21" t="s">
        <v>3138</v>
      </c>
      <c r="AB1577" s="15"/>
      <c r="AI1577" s="15"/>
    </row>
    <row r="1578" spans="25:35" x14ac:dyDescent="0.3">
      <c r="Y1578" s="20" t="s">
        <v>10</v>
      </c>
      <c r="Z1578" s="21" t="s">
        <v>1028</v>
      </c>
      <c r="AA1578" s="21" t="s">
        <v>3139</v>
      </c>
      <c r="AB1578" s="15"/>
      <c r="AI1578" s="15"/>
    </row>
    <row r="1579" spans="25:35" x14ac:dyDescent="0.3">
      <c r="Y1579" s="20" t="s">
        <v>10</v>
      </c>
      <c r="Z1579" s="21" t="s">
        <v>1029</v>
      </c>
      <c r="AA1579" s="21" t="s">
        <v>3140</v>
      </c>
      <c r="AB1579" s="15"/>
      <c r="AI1579" s="15"/>
    </row>
    <row r="1580" spans="25:35" x14ac:dyDescent="0.3">
      <c r="Y1580" s="20" t="s">
        <v>10</v>
      </c>
      <c r="Z1580" s="21" t="s">
        <v>1030</v>
      </c>
      <c r="AA1580" s="21" t="s">
        <v>3141</v>
      </c>
      <c r="AB1580" s="15"/>
      <c r="AI1580" s="15"/>
    </row>
    <row r="1581" spans="25:35" x14ac:dyDescent="0.3">
      <c r="Y1581" s="20" t="s">
        <v>10</v>
      </c>
      <c r="Z1581" s="21" t="s">
        <v>1031</v>
      </c>
      <c r="AA1581" s="21" t="s">
        <v>3142</v>
      </c>
      <c r="AB1581" s="15"/>
      <c r="AI1581" s="15"/>
    </row>
    <row r="1582" spans="25:35" x14ac:dyDescent="0.3">
      <c r="Y1582" s="20" t="s">
        <v>10</v>
      </c>
      <c r="Z1582" s="21" t="s">
        <v>1032</v>
      </c>
      <c r="AA1582" s="21" t="s">
        <v>3143</v>
      </c>
      <c r="AB1582" s="15"/>
      <c r="AI1582" s="15"/>
    </row>
    <row r="1583" spans="25:35" x14ac:dyDescent="0.3">
      <c r="Y1583" s="20" t="s">
        <v>10</v>
      </c>
      <c r="Z1583" s="21" t="s">
        <v>1033</v>
      </c>
      <c r="AA1583" s="21" t="s">
        <v>3144</v>
      </c>
      <c r="AB1583" s="15"/>
      <c r="AI1583" s="15"/>
    </row>
    <row r="1584" spans="25:35" x14ac:dyDescent="0.3">
      <c r="Y1584" s="20" t="s">
        <v>10</v>
      </c>
      <c r="Z1584" s="21" t="s">
        <v>1034</v>
      </c>
      <c r="AA1584" s="21" t="s">
        <v>3145</v>
      </c>
      <c r="AB1584" s="15"/>
      <c r="AI1584" s="15"/>
    </row>
    <row r="1585" spans="25:35" x14ac:dyDescent="0.3">
      <c r="Y1585" s="20" t="s">
        <v>10</v>
      </c>
      <c r="Z1585" s="21" t="s">
        <v>1035</v>
      </c>
      <c r="AA1585" s="21" t="s">
        <v>3146</v>
      </c>
      <c r="AB1585" s="15"/>
      <c r="AI1585" s="15"/>
    </row>
    <row r="1586" spans="25:35" x14ac:dyDescent="0.3">
      <c r="Y1586" s="20" t="s">
        <v>10</v>
      </c>
      <c r="Z1586" s="21" t="s">
        <v>1036</v>
      </c>
      <c r="AA1586" s="21" t="s">
        <v>3147</v>
      </c>
      <c r="AB1586" s="15"/>
      <c r="AI1586" s="15"/>
    </row>
    <row r="1587" spans="25:35" x14ac:dyDescent="0.3">
      <c r="Y1587" s="20" t="s">
        <v>10</v>
      </c>
      <c r="Z1587" s="21" t="s">
        <v>1037</v>
      </c>
      <c r="AA1587" s="21" t="s">
        <v>3148</v>
      </c>
      <c r="AB1587" s="15"/>
      <c r="AI1587" s="15"/>
    </row>
    <row r="1588" spans="25:35" x14ac:dyDescent="0.3">
      <c r="Y1588" s="20" t="s">
        <v>10</v>
      </c>
      <c r="Z1588" s="21" t="s">
        <v>1038</v>
      </c>
      <c r="AA1588" s="21" t="s">
        <v>3149</v>
      </c>
      <c r="AB1588" s="15"/>
      <c r="AI1588" s="15"/>
    </row>
    <row r="1589" spans="25:35" x14ac:dyDescent="0.3">
      <c r="Y1589" s="20" t="s">
        <v>10</v>
      </c>
      <c r="Z1589" s="21" t="s">
        <v>1039</v>
      </c>
      <c r="AA1589" s="21" t="s">
        <v>3150</v>
      </c>
      <c r="AB1589" s="15"/>
      <c r="AI1589" s="15"/>
    </row>
    <row r="1590" spans="25:35" x14ac:dyDescent="0.3">
      <c r="Y1590" s="20" t="s">
        <v>10</v>
      </c>
      <c r="Z1590" s="21" t="s">
        <v>1040</v>
      </c>
      <c r="AA1590" s="21" t="s">
        <v>3151</v>
      </c>
      <c r="AB1590" s="15"/>
      <c r="AI1590" s="15"/>
    </row>
    <row r="1591" spans="25:35" x14ac:dyDescent="0.3">
      <c r="Y1591" s="20" t="s">
        <v>10</v>
      </c>
      <c r="Z1591" s="21" t="s">
        <v>1041</v>
      </c>
      <c r="AA1591" s="21" t="s">
        <v>3152</v>
      </c>
      <c r="AB1591" s="15"/>
      <c r="AI1591" s="15"/>
    </row>
    <row r="1592" spans="25:35" x14ac:dyDescent="0.3">
      <c r="Y1592" s="20" t="s">
        <v>10</v>
      </c>
      <c r="Z1592" s="21" t="s">
        <v>1042</v>
      </c>
      <c r="AA1592" s="21" t="s">
        <v>3153</v>
      </c>
      <c r="AB1592" s="15"/>
      <c r="AI1592" s="15"/>
    </row>
    <row r="1593" spans="25:35" x14ac:dyDescent="0.3">
      <c r="Y1593" s="20"/>
      <c r="Z1593" s="21"/>
      <c r="AA1593" s="21"/>
      <c r="AB1593" s="15"/>
      <c r="AI1593" s="15"/>
    </row>
    <row r="1594" spans="25:35" x14ac:dyDescent="0.3">
      <c r="Y1594" s="20"/>
      <c r="Z1594" s="21"/>
      <c r="AA1594" s="21"/>
      <c r="AB1594" s="15"/>
      <c r="AI1594" s="15"/>
    </row>
    <row r="1595" spans="25:35" x14ac:dyDescent="0.3">
      <c r="Y1595" s="20"/>
      <c r="Z1595" s="21"/>
      <c r="AA1595" s="21"/>
      <c r="AB1595" s="15"/>
      <c r="AI1595" s="15"/>
    </row>
    <row r="1596" spans="25:35" x14ac:dyDescent="0.3">
      <c r="Y1596" s="20"/>
      <c r="Z1596" s="21"/>
      <c r="AA1596" s="21"/>
      <c r="AB1596" s="15"/>
      <c r="AI1596" s="15"/>
    </row>
    <row r="1597" spans="25:35" x14ac:dyDescent="0.3">
      <c r="Y1597" s="20"/>
      <c r="Z1597" s="21"/>
      <c r="AA1597" s="21"/>
      <c r="AB1597" s="15"/>
      <c r="AI1597" s="15"/>
    </row>
    <row r="1598" spans="25:35" x14ac:dyDescent="0.3">
      <c r="Y1598" s="20"/>
      <c r="Z1598" s="21"/>
      <c r="AA1598" s="21"/>
      <c r="AB1598" s="15"/>
      <c r="AI1598" s="15"/>
    </row>
    <row r="1599" spans="25:35" x14ac:dyDescent="0.3">
      <c r="Y1599" s="20"/>
      <c r="Z1599" s="21"/>
      <c r="AA1599" s="21"/>
      <c r="AB1599" s="15"/>
      <c r="AI1599" s="15"/>
    </row>
    <row r="1600" spans="25:35" x14ac:dyDescent="0.3">
      <c r="Y1600" s="20"/>
      <c r="Z1600" s="21"/>
      <c r="AA1600" s="21"/>
      <c r="AB1600" s="15"/>
      <c r="AI1600" s="15"/>
    </row>
    <row r="1601" spans="25:35" x14ac:dyDescent="0.3">
      <c r="Y1601" s="20"/>
      <c r="Z1601" s="21"/>
      <c r="AA1601" s="21"/>
      <c r="AB1601" s="15"/>
      <c r="AI1601" s="15"/>
    </row>
    <row r="1602" spans="25:35" x14ac:dyDescent="0.3">
      <c r="Y1602" s="20"/>
      <c r="Z1602" s="21"/>
      <c r="AA1602" s="21"/>
      <c r="AB1602" s="15"/>
      <c r="AI1602" s="15"/>
    </row>
    <row r="1603" spans="25:35" x14ac:dyDescent="0.3">
      <c r="Y1603" s="20"/>
      <c r="Z1603" s="21"/>
      <c r="AA1603" s="21"/>
      <c r="AB1603" s="15"/>
      <c r="AI1603" s="15"/>
    </row>
    <row r="1604" spans="25:35" x14ac:dyDescent="0.3">
      <c r="Y1604" s="20"/>
      <c r="Z1604" s="21"/>
      <c r="AA1604" s="21"/>
      <c r="AB1604" s="15"/>
      <c r="AI1604" s="15"/>
    </row>
    <row r="1605" spans="25:35" x14ac:dyDescent="0.3">
      <c r="Y1605" s="20"/>
      <c r="Z1605" s="21"/>
      <c r="AA1605" s="21"/>
      <c r="AB1605" s="15"/>
      <c r="AI1605" s="15"/>
    </row>
    <row r="1606" spans="25:35" x14ac:dyDescent="0.3">
      <c r="Y1606" s="20"/>
      <c r="Z1606" s="21"/>
      <c r="AA1606" s="21"/>
      <c r="AB1606" s="15"/>
      <c r="AI1606" s="15"/>
    </row>
    <row r="1607" spans="25:35" x14ac:dyDescent="0.3">
      <c r="Y1607" s="14"/>
      <c r="Z1607" s="15"/>
      <c r="AA1607" s="15"/>
      <c r="AB1607" s="15"/>
      <c r="AI1607" s="15"/>
    </row>
    <row r="1608" spans="25:35" x14ac:dyDescent="0.3">
      <c r="Y1608" s="14"/>
      <c r="Z1608" s="15"/>
      <c r="AA1608" s="15"/>
      <c r="AB1608" s="15"/>
      <c r="AI1608" s="15"/>
    </row>
    <row r="1609" spans="25:35" x14ac:dyDescent="0.3">
      <c r="Y1609" s="14"/>
      <c r="Z1609" s="15"/>
      <c r="AA1609" s="19"/>
      <c r="AB1609" s="15"/>
      <c r="AI1609" s="15"/>
    </row>
    <row r="1610" spans="25:35" x14ac:dyDescent="0.3">
      <c r="Y1610" s="14"/>
      <c r="Z1610" s="15"/>
      <c r="AA1610" s="19"/>
      <c r="AB1610" s="15"/>
      <c r="AI1610" s="15"/>
    </row>
    <row r="1611" spans="25:35" x14ac:dyDescent="0.3">
      <c r="Y1611" s="14"/>
      <c r="Z1611" s="15"/>
      <c r="AA1611" s="15"/>
      <c r="AB1611" s="15"/>
      <c r="AI1611" s="15"/>
    </row>
    <row r="1612" spans="25:35" x14ac:dyDescent="0.3">
      <c r="Y1612" s="14"/>
      <c r="Z1612" s="15"/>
      <c r="AA1612" s="19"/>
      <c r="AB1612" s="15"/>
      <c r="AI1612" s="15"/>
    </row>
    <row r="1613" spans="25:35" x14ac:dyDescent="0.3">
      <c r="Y1613" s="14"/>
      <c r="Z1613" s="15"/>
      <c r="AA1613" s="15"/>
      <c r="AB1613" s="15"/>
      <c r="AI1613" s="15"/>
    </row>
    <row r="1614" spans="25:35" x14ac:dyDescent="0.3">
      <c r="Y1614" s="14"/>
      <c r="Z1614" s="15"/>
      <c r="AA1614" s="19"/>
      <c r="AB1614" s="15"/>
      <c r="AI1614" s="15"/>
    </row>
    <row r="1615" spans="25:35" x14ac:dyDescent="0.3">
      <c r="Y1615" s="14"/>
      <c r="Z1615" s="15"/>
      <c r="AA1615" s="19"/>
      <c r="AB1615" s="15"/>
      <c r="AI1615" s="15"/>
    </row>
    <row r="1616" spans="25:35" x14ac:dyDescent="0.3">
      <c r="Y1616" s="14"/>
      <c r="Z1616" s="15"/>
      <c r="AA1616" s="15"/>
      <c r="AB1616" s="15"/>
      <c r="AI1616" s="15"/>
    </row>
    <row r="1617" spans="25:35" x14ac:dyDescent="0.3">
      <c r="Y1617" s="14"/>
      <c r="Z1617" s="15"/>
      <c r="AA1617" s="19"/>
      <c r="AB1617" s="15"/>
      <c r="AI1617" s="15"/>
    </row>
    <row r="1618" spans="25:35" x14ac:dyDescent="0.3">
      <c r="Y1618" s="14"/>
      <c r="Z1618" s="15"/>
      <c r="AA1618" s="15"/>
      <c r="AB1618" s="15"/>
      <c r="AI1618" s="15"/>
    </row>
    <row r="1619" spans="25:35" x14ac:dyDescent="0.3">
      <c r="Y1619" s="14"/>
      <c r="Z1619" s="15"/>
      <c r="AA1619" s="15"/>
      <c r="AB1619" s="15"/>
      <c r="AI1619" s="15"/>
    </row>
    <row r="1620" spans="25:35" x14ac:dyDescent="0.3">
      <c r="Y1620" s="14"/>
      <c r="Z1620" s="15"/>
      <c r="AA1620" s="15"/>
      <c r="AB1620" s="15"/>
      <c r="AI1620" s="15"/>
    </row>
    <row r="1621" spans="25:35" x14ac:dyDescent="0.3">
      <c r="Y1621" s="14"/>
      <c r="Z1621" s="15"/>
      <c r="AA1621" s="15"/>
      <c r="AB1621" s="15"/>
      <c r="AI1621" s="15"/>
    </row>
    <row r="1622" spans="25:35" x14ac:dyDescent="0.3">
      <c r="Y1622" s="14"/>
      <c r="Z1622" s="15"/>
      <c r="AA1622" s="15"/>
      <c r="AB1622" s="15"/>
      <c r="AI1622" s="15"/>
    </row>
    <row r="1623" spans="25:35" x14ac:dyDescent="0.3">
      <c r="Y1623" s="14"/>
      <c r="Z1623" s="15"/>
      <c r="AA1623" s="15"/>
      <c r="AB1623" s="15"/>
      <c r="AI1623" s="15"/>
    </row>
    <row r="1624" spans="25:35" x14ac:dyDescent="0.3">
      <c r="Y1624" s="14"/>
      <c r="Z1624" s="15"/>
      <c r="AA1624" s="15"/>
      <c r="AB1624" s="15"/>
      <c r="AI1624" s="15"/>
    </row>
    <row r="1625" spans="25:35" x14ac:dyDescent="0.3">
      <c r="Y1625" s="14"/>
      <c r="Z1625" s="15"/>
      <c r="AA1625" s="15"/>
      <c r="AB1625" s="15"/>
      <c r="AI1625" s="15"/>
    </row>
    <row r="1626" spans="25:35" x14ac:dyDescent="0.3">
      <c r="Y1626" s="14"/>
      <c r="Z1626" s="15"/>
      <c r="AA1626" s="15"/>
      <c r="AB1626" s="15"/>
      <c r="AI1626" s="15"/>
    </row>
    <row r="1627" spans="25:35" x14ac:dyDescent="0.3">
      <c r="Y1627" s="14"/>
      <c r="Z1627" s="15"/>
      <c r="AA1627" s="19"/>
      <c r="AB1627" s="15"/>
      <c r="AI1627" s="15"/>
    </row>
    <row r="1628" spans="25:35" x14ac:dyDescent="0.3">
      <c r="Y1628" s="14"/>
      <c r="Z1628" s="15"/>
      <c r="AA1628" s="15"/>
      <c r="AB1628" s="15"/>
      <c r="AI1628" s="15"/>
    </row>
    <row r="1629" spans="25:35" x14ac:dyDescent="0.3">
      <c r="Y1629" s="14"/>
      <c r="Z1629" s="15"/>
      <c r="AA1629" s="15"/>
      <c r="AB1629" s="15"/>
      <c r="AI1629" s="15"/>
    </row>
    <row r="1630" spans="25:35" x14ac:dyDescent="0.3">
      <c r="Y1630" s="14"/>
      <c r="Z1630" s="15"/>
      <c r="AA1630" s="15"/>
      <c r="AB1630" s="15"/>
      <c r="AI1630" s="15"/>
    </row>
    <row r="1631" spans="25:35" x14ac:dyDescent="0.3">
      <c r="Y1631" s="14"/>
      <c r="Z1631" s="15"/>
      <c r="AA1631" s="15"/>
      <c r="AB1631" s="15"/>
      <c r="AI1631" s="15"/>
    </row>
    <row r="1632" spans="25:35" x14ac:dyDescent="0.3">
      <c r="Y1632" s="14"/>
      <c r="Z1632" s="15"/>
      <c r="AA1632" s="15"/>
      <c r="AB1632" s="15"/>
      <c r="AI1632" s="15"/>
    </row>
    <row r="1633" spans="25:35" x14ac:dyDescent="0.3">
      <c r="Y1633" s="14"/>
      <c r="Z1633" s="15"/>
      <c r="AA1633" s="15"/>
      <c r="AB1633" s="15"/>
      <c r="AI1633" s="15"/>
    </row>
    <row r="1634" spans="25:35" x14ac:dyDescent="0.3">
      <c r="Y1634" s="14"/>
      <c r="Z1634" s="15"/>
      <c r="AA1634" s="19"/>
      <c r="AB1634" s="15"/>
      <c r="AI1634" s="15"/>
    </row>
    <row r="1635" spans="25:35" x14ac:dyDescent="0.3">
      <c r="Y1635" s="14"/>
      <c r="Z1635" s="15"/>
      <c r="AA1635" s="15"/>
      <c r="AB1635" s="15"/>
      <c r="AI1635" s="15"/>
    </row>
    <row r="1636" spans="25:35" x14ac:dyDescent="0.3">
      <c r="Y1636" s="14"/>
      <c r="Z1636" s="15"/>
      <c r="AA1636" s="15"/>
      <c r="AB1636" s="15"/>
      <c r="AI1636" s="15"/>
    </row>
    <row r="1637" spans="25:35" x14ac:dyDescent="0.3">
      <c r="Y1637" s="14"/>
      <c r="Z1637" s="15"/>
      <c r="AA1637" s="15"/>
      <c r="AB1637" s="15"/>
      <c r="AI1637" s="15"/>
    </row>
    <row r="1638" spans="25:35" x14ac:dyDescent="0.3">
      <c r="Y1638" s="14"/>
      <c r="Z1638" s="15"/>
      <c r="AA1638" s="15"/>
      <c r="AB1638" s="15"/>
      <c r="AI1638" s="15"/>
    </row>
    <row r="1639" spans="25:35" x14ac:dyDescent="0.3">
      <c r="Y1639" s="14"/>
      <c r="Z1639" s="15"/>
      <c r="AA1639" s="15"/>
      <c r="AB1639" s="15"/>
      <c r="AI1639" s="15"/>
    </row>
    <row r="1640" spans="25:35" x14ac:dyDescent="0.3">
      <c r="Y1640" s="14"/>
      <c r="Z1640" s="15"/>
      <c r="AA1640" s="15"/>
      <c r="AB1640" s="15"/>
      <c r="AI1640" s="15"/>
    </row>
    <row r="1641" spans="25:35" x14ac:dyDescent="0.3">
      <c r="Y1641" s="14"/>
      <c r="Z1641" s="15"/>
      <c r="AA1641" s="15"/>
      <c r="AB1641" s="15"/>
      <c r="AI1641" s="15"/>
    </row>
    <row r="1642" spans="25:35" x14ac:dyDescent="0.3">
      <c r="Y1642" s="14"/>
      <c r="Z1642" s="15"/>
      <c r="AA1642" s="15"/>
      <c r="AB1642" s="15"/>
      <c r="AI1642" s="15"/>
    </row>
    <row r="1643" spans="25:35" x14ac:dyDescent="0.3">
      <c r="Y1643" s="14"/>
      <c r="Z1643" s="15"/>
      <c r="AA1643" s="15"/>
      <c r="AB1643" s="15"/>
      <c r="AI1643" s="15"/>
    </row>
    <row r="1644" spans="25:35" x14ac:dyDescent="0.3">
      <c r="Y1644" s="14"/>
      <c r="Z1644" s="15"/>
      <c r="AA1644" s="15"/>
      <c r="AB1644" s="15"/>
      <c r="AI1644" s="15"/>
    </row>
    <row r="1645" spans="25:35" x14ac:dyDescent="0.3">
      <c r="Y1645" s="14"/>
      <c r="Z1645" s="15"/>
      <c r="AA1645" s="19"/>
      <c r="AB1645" s="15"/>
      <c r="AI1645" s="15"/>
    </row>
    <row r="1646" spans="25:35" x14ac:dyDescent="0.3">
      <c r="Y1646" s="14"/>
      <c r="Z1646" s="15"/>
      <c r="AA1646" s="15"/>
      <c r="AB1646" s="15"/>
      <c r="AI1646" s="15"/>
    </row>
    <row r="1647" spans="25:35" x14ac:dyDescent="0.3">
      <c r="Y1647" s="14"/>
      <c r="Z1647" s="15"/>
      <c r="AA1647" s="15"/>
      <c r="AB1647" s="15"/>
      <c r="AI1647" s="15"/>
    </row>
    <row r="1648" spans="25:35" x14ac:dyDescent="0.3">
      <c r="Y1648" s="14"/>
      <c r="Z1648" s="15"/>
      <c r="AA1648" s="15"/>
      <c r="AI1648" s="15"/>
    </row>
    <row r="1649" spans="25:35" x14ac:dyDescent="0.3">
      <c r="Y1649" s="14"/>
      <c r="Z1649" s="15"/>
      <c r="AA1649" s="15"/>
      <c r="AI1649" s="15"/>
    </row>
    <row r="1650" spans="25:35" x14ac:dyDescent="0.3">
      <c r="Y1650" s="14"/>
      <c r="Z1650" s="15"/>
      <c r="AA1650" s="15"/>
      <c r="AI1650" s="15"/>
    </row>
    <row r="1651" spans="25:35" x14ac:dyDescent="0.3">
      <c r="Y1651" s="14"/>
      <c r="Z1651" s="15"/>
      <c r="AA1651" s="15"/>
      <c r="AI1651" s="15"/>
    </row>
    <row r="1652" spans="25:35" x14ac:dyDescent="0.3">
      <c r="Y1652" s="14"/>
      <c r="Z1652" s="15"/>
      <c r="AA1652" s="19"/>
      <c r="AI1652" s="15"/>
    </row>
    <row r="1653" spans="25:35" x14ac:dyDescent="0.3">
      <c r="Y1653" s="14"/>
      <c r="Z1653" s="15"/>
      <c r="AA1653" s="19"/>
      <c r="AI1653" s="15"/>
    </row>
    <row r="1654" spans="25:35" x14ac:dyDescent="0.3">
      <c r="Y1654" s="14"/>
      <c r="Z1654" s="15"/>
      <c r="AA1654" s="15"/>
      <c r="AI1654" s="15"/>
    </row>
    <row r="1655" spans="25:35" x14ac:dyDescent="0.3">
      <c r="Y1655" s="14"/>
      <c r="Z1655" s="15"/>
      <c r="AA1655" s="15"/>
      <c r="AI1655" s="15"/>
    </row>
    <row r="1656" spans="25:35" x14ac:dyDescent="0.3">
      <c r="Y1656" s="14"/>
      <c r="Z1656" s="15"/>
      <c r="AA1656" s="15"/>
      <c r="AI1656" s="15"/>
    </row>
    <row r="1657" spans="25:35" x14ac:dyDescent="0.3">
      <c r="Y1657" s="14"/>
      <c r="Z1657" s="15"/>
      <c r="AA1657" s="15"/>
      <c r="AI1657" s="15"/>
    </row>
    <row r="1658" spans="25:35" x14ac:dyDescent="0.3">
      <c r="Y1658" s="14"/>
      <c r="Z1658" s="15"/>
      <c r="AA1658" s="15"/>
      <c r="AI1658" s="15"/>
    </row>
    <row r="1659" spans="25:35" x14ac:dyDescent="0.3">
      <c r="Y1659" s="14"/>
      <c r="Z1659" s="15"/>
      <c r="AA1659" s="15"/>
      <c r="AI1659" s="15"/>
    </row>
    <row r="1660" spans="25:35" x14ac:dyDescent="0.3">
      <c r="Y1660" s="14"/>
      <c r="Z1660" s="15"/>
      <c r="AA1660" s="15"/>
      <c r="AI1660" s="15"/>
    </row>
    <row r="1661" spans="25:35" x14ac:dyDescent="0.3">
      <c r="Y1661" s="14"/>
      <c r="Z1661" s="15"/>
      <c r="AA1661" s="19"/>
      <c r="AI1661" s="15"/>
    </row>
    <row r="1662" spans="25:35" x14ac:dyDescent="0.3">
      <c r="Y1662" s="14"/>
      <c r="Z1662" s="15"/>
      <c r="AA1662" s="19"/>
      <c r="AI1662" s="15"/>
    </row>
    <row r="1663" spans="25:35" x14ac:dyDescent="0.3">
      <c r="Y1663" s="14"/>
      <c r="Z1663" s="15"/>
      <c r="AA1663" s="15"/>
      <c r="AI1663" s="15"/>
    </row>
    <row r="1664" spans="25:35" x14ac:dyDescent="0.3">
      <c r="Y1664" s="14"/>
      <c r="Z1664" s="15"/>
      <c r="AA1664" s="15"/>
      <c r="AI1664" s="15"/>
    </row>
    <row r="1665" spans="25:35" x14ac:dyDescent="0.3">
      <c r="Y1665" s="14"/>
      <c r="Z1665" s="15"/>
      <c r="AA1665" s="15"/>
      <c r="AI1665" s="15"/>
    </row>
    <row r="1666" spans="25:35" x14ac:dyDescent="0.3">
      <c r="Y1666" s="14"/>
      <c r="Z1666" s="15"/>
      <c r="AA1666" s="15"/>
      <c r="AI1666" s="15"/>
    </row>
    <row r="1667" spans="25:35" x14ac:dyDescent="0.3">
      <c r="Y1667" s="14"/>
      <c r="Z1667" s="15"/>
      <c r="AA1667" s="15"/>
      <c r="AI1667" s="15"/>
    </row>
    <row r="1668" spans="25:35" x14ac:dyDescent="0.3">
      <c r="Y1668" s="14"/>
      <c r="Z1668" s="15"/>
      <c r="AA1668" s="15"/>
      <c r="AI1668" s="15"/>
    </row>
    <row r="1669" spans="25:35" x14ac:dyDescent="0.3">
      <c r="Y1669" s="14"/>
      <c r="Z1669" s="15"/>
      <c r="AA1669" s="15"/>
      <c r="AI1669" s="15"/>
    </row>
    <row r="1670" spans="25:35" x14ac:dyDescent="0.3">
      <c r="Y1670" s="14"/>
      <c r="Z1670" s="15"/>
      <c r="AA1670" s="15"/>
      <c r="AI1670" s="15"/>
    </row>
    <row r="1671" spans="25:35" x14ac:dyDescent="0.3">
      <c r="Y1671" s="14"/>
      <c r="Z1671" s="15"/>
      <c r="AA1671" s="15"/>
      <c r="AI1671" s="15"/>
    </row>
    <row r="1672" spans="25:35" x14ac:dyDescent="0.3">
      <c r="Y1672" s="14"/>
      <c r="Z1672" s="15"/>
      <c r="AA1672" s="15"/>
      <c r="AI1672" s="15"/>
    </row>
    <row r="1673" spans="25:35" x14ac:dyDescent="0.3">
      <c r="Y1673" s="14"/>
      <c r="Z1673" s="15"/>
      <c r="AA1673" s="15"/>
      <c r="AI1673" s="15"/>
    </row>
    <row r="1674" spans="25:35" x14ac:dyDescent="0.3">
      <c r="Y1674" s="14"/>
      <c r="Z1674" s="15"/>
      <c r="AA1674" s="19"/>
      <c r="AI1674" s="15"/>
    </row>
    <row r="1675" spans="25:35" x14ac:dyDescent="0.3">
      <c r="Y1675" s="14"/>
      <c r="Z1675" s="15"/>
      <c r="AA1675" s="15"/>
      <c r="AI1675" s="15"/>
    </row>
    <row r="1676" spans="25:35" x14ac:dyDescent="0.3">
      <c r="Y1676" s="14"/>
      <c r="Z1676" s="15"/>
      <c r="AA1676" s="15"/>
      <c r="AI1676" s="15"/>
    </row>
    <row r="1677" spans="25:35" x14ac:dyDescent="0.3">
      <c r="Y1677" s="14"/>
      <c r="Z1677" s="15"/>
      <c r="AA1677" s="19"/>
      <c r="AI1677" s="15"/>
    </row>
    <row r="1678" spans="25:35" x14ac:dyDescent="0.3">
      <c r="Y1678" s="14"/>
      <c r="Z1678" s="15"/>
      <c r="AA1678" s="15"/>
      <c r="AI1678" s="15"/>
    </row>
    <row r="1679" spans="25:35" x14ac:dyDescent="0.3">
      <c r="Y1679" s="14"/>
      <c r="Z1679" s="15"/>
      <c r="AA1679" s="15"/>
      <c r="AI1679" s="15"/>
    </row>
    <row r="1680" spans="25:35" x14ac:dyDescent="0.3">
      <c r="Y1680" s="14"/>
      <c r="Z1680" s="15"/>
      <c r="AA1680" s="19"/>
      <c r="AI1680" s="15"/>
    </row>
    <row r="1681" spans="25:35" x14ac:dyDescent="0.3">
      <c r="Y1681" s="14"/>
      <c r="Z1681" s="15"/>
      <c r="AA1681" s="15"/>
      <c r="AI1681" s="15"/>
    </row>
    <row r="1682" spans="25:35" x14ac:dyDescent="0.3">
      <c r="Y1682" s="14"/>
      <c r="Z1682" s="15"/>
      <c r="AA1682" s="19"/>
      <c r="AI1682" s="15"/>
    </row>
    <row r="1683" spans="25:35" x14ac:dyDescent="0.3">
      <c r="Y1683" s="14"/>
      <c r="Z1683" s="15"/>
      <c r="AA1683" s="15"/>
      <c r="AI1683" s="15"/>
    </row>
    <row r="1684" spans="25:35" x14ac:dyDescent="0.3">
      <c r="Y1684" s="14"/>
      <c r="Z1684" s="15"/>
      <c r="AA1684" s="15"/>
      <c r="AI1684" s="15"/>
    </row>
    <row r="1685" spans="25:35" x14ac:dyDescent="0.3">
      <c r="Y1685" s="14"/>
      <c r="Z1685" s="15"/>
      <c r="AA1685" s="19"/>
      <c r="AI1685" s="15"/>
    </row>
    <row r="1686" spans="25:35" x14ac:dyDescent="0.3">
      <c r="Y1686" s="14"/>
      <c r="Z1686" s="15"/>
      <c r="AA1686" s="15"/>
      <c r="AI1686" s="15"/>
    </row>
    <row r="1687" spans="25:35" x14ac:dyDescent="0.3">
      <c r="Y1687" s="14"/>
      <c r="Z1687" s="15"/>
      <c r="AA1687" s="15"/>
      <c r="AI1687" s="15"/>
    </row>
    <row r="1688" spans="25:35" x14ac:dyDescent="0.3">
      <c r="Y1688" s="14"/>
      <c r="Z1688" s="15"/>
      <c r="AA1688" s="15"/>
      <c r="AI1688" s="15"/>
    </row>
    <row r="1689" spans="25:35" x14ac:dyDescent="0.3">
      <c r="Y1689" s="14"/>
      <c r="Z1689" s="15"/>
      <c r="AA1689" s="15"/>
      <c r="AI1689" s="15"/>
    </row>
    <row r="1690" spans="25:35" x14ac:dyDescent="0.3">
      <c r="Y1690" s="14"/>
      <c r="Z1690" s="15"/>
      <c r="AA1690" s="19"/>
      <c r="AI1690" s="15"/>
    </row>
    <row r="1691" spans="25:35" x14ac:dyDescent="0.3">
      <c r="Y1691" s="14"/>
      <c r="Z1691" s="15"/>
      <c r="AA1691" s="15"/>
      <c r="AI1691" s="15"/>
    </row>
    <row r="1692" spans="25:35" x14ac:dyDescent="0.3">
      <c r="Y1692" s="14"/>
      <c r="Z1692" s="15"/>
      <c r="AA1692" s="15"/>
      <c r="AI1692" s="15"/>
    </row>
    <row r="1693" spans="25:35" x14ac:dyDescent="0.3">
      <c r="Y1693" s="14"/>
      <c r="Z1693" s="15"/>
      <c r="AA1693" s="15"/>
      <c r="AI1693" s="15"/>
    </row>
    <row r="1694" spans="25:35" x14ac:dyDescent="0.3">
      <c r="Y1694" s="14"/>
      <c r="Z1694" s="15"/>
      <c r="AA1694" s="15"/>
      <c r="AI1694" s="15"/>
    </row>
    <row r="1695" spans="25:35" x14ac:dyDescent="0.3">
      <c r="Y1695" s="14"/>
      <c r="Z1695" s="15"/>
      <c r="AA1695" s="15"/>
      <c r="AI1695" s="15"/>
    </row>
    <row r="1696" spans="25:35" x14ac:dyDescent="0.3">
      <c r="Y1696" s="14"/>
      <c r="Z1696" s="15"/>
      <c r="AA1696" s="19"/>
      <c r="AI1696" s="15"/>
    </row>
    <row r="1697" spans="25:35" x14ac:dyDescent="0.3">
      <c r="Y1697" s="14"/>
      <c r="Z1697" s="15"/>
      <c r="AA1697" s="19"/>
      <c r="AI1697" s="15"/>
    </row>
    <row r="1698" spans="25:35" x14ac:dyDescent="0.3">
      <c r="Y1698" s="14"/>
      <c r="Z1698" s="15"/>
      <c r="AA1698" s="19"/>
      <c r="AI1698" s="15"/>
    </row>
    <row r="1699" spans="25:35" x14ac:dyDescent="0.3">
      <c r="AA1699" s="15"/>
    </row>
    <row r="1700" spans="25:35" x14ac:dyDescent="0.3">
      <c r="AA1700" s="15"/>
    </row>
    <row r="1701" spans="25:35" x14ac:dyDescent="0.3">
      <c r="AA1701" s="15"/>
    </row>
    <row r="1702" spans="25:35" x14ac:dyDescent="0.3">
      <c r="AA1702" s="19"/>
    </row>
    <row r="1703" spans="25:35" x14ac:dyDescent="0.3">
      <c r="AA1703" s="19"/>
    </row>
    <row r="1704" spans="25:35" x14ac:dyDescent="0.3">
      <c r="AA1704" s="19"/>
    </row>
    <row r="1705" spans="25:35" x14ac:dyDescent="0.3">
      <c r="AA1705" s="19"/>
    </row>
    <row r="1706" spans="25:35" x14ac:dyDescent="0.3">
      <c r="AA1706" s="19"/>
    </row>
    <row r="1707" spans="25:35" x14ac:dyDescent="0.3">
      <c r="AA1707" s="15"/>
    </row>
    <row r="1708" spans="25:35" x14ac:dyDescent="0.3">
      <c r="AA1708" s="15"/>
    </row>
    <row r="1709" spans="25:35" x14ac:dyDescent="0.3">
      <c r="AA1709" s="15"/>
    </row>
    <row r="1710" spans="25:35" x14ac:dyDescent="0.3">
      <c r="AA1710" s="15"/>
    </row>
    <row r="1711" spans="25:35" x14ac:dyDescent="0.3">
      <c r="AA1711" s="19"/>
    </row>
    <row r="1712" spans="25:35" x14ac:dyDescent="0.3">
      <c r="AA1712" s="15"/>
    </row>
    <row r="1713" spans="27:27" x14ac:dyDescent="0.3">
      <c r="AA1713" s="15"/>
    </row>
    <row r="1714" spans="27:27" x14ac:dyDescent="0.3">
      <c r="AA1714" s="15"/>
    </row>
    <row r="1715" spans="27:27" x14ac:dyDescent="0.3">
      <c r="AA1715" s="15"/>
    </row>
    <row r="1716" spans="27:27" x14ac:dyDescent="0.3">
      <c r="AA1716" s="15"/>
    </row>
    <row r="1717" spans="27:27" x14ac:dyDescent="0.3">
      <c r="AA1717" s="15"/>
    </row>
    <row r="1718" spans="27:27" x14ac:dyDescent="0.3">
      <c r="AA1718" s="15"/>
    </row>
    <row r="1719" spans="27:27" x14ac:dyDescent="0.3">
      <c r="AA1719" s="15"/>
    </row>
    <row r="1720" spans="27:27" x14ac:dyDescent="0.3">
      <c r="AA1720" s="15"/>
    </row>
    <row r="1721" spans="27:27" x14ac:dyDescent="0.3">
      <c r="AA1721" s="15"/>
    </row>
    <row r="1722" spans="27:27" x14ac:dyDescent="0.3">
      <c r="AA1722" s="15"/>
    </row>
    <row r="1723" spans="27:27" x14ac:dyDescent="0.3">
      <c r="AA1723" s="15"/>
    </row>
    <row r="1724" spans="27:27" x14ac:dyDescent="0.3">
      <c r="AA1724" s="19"/>
    </row>
    <row r="1725" spans="27:27" x14ac:dyDescent="0.3">
      <c r="AA1725" s="15"/>
    </row>
    <row r="1726" spans="27:27" x14ac:dyDescent="0.3">
      <c r="AA1726" s="15"/>
    </row>
    <row r="1727" spans="27:27" x14ac:dyDescent="0.3">
      <c r="AA1727" s="15"/>
    </row>
    <row r="1728" spans="27:27" x14ac:dyDescent="0.3">
      <c r="AA1728" s="15"/>
    </row>
    <row r="1729" spans="27:27" x14ac:dyDescent="0.3">
      <c r="AA1729" s="15"/>
    </row>
    <row r="1730" spans="27:27" x14ac:dyDescent="0.3">
      <c r="AA1730" s="15"/>
    </row>
    <row r="1731" spans="27:27" x14ac:dyDescent="0.3">
      <c r="AA1731" s="15"/>
    </row>
    <row r="1732" spans="27:27" x14ac:dyDescent="0.3">
      <c r="AA1732" s="15"/>
    </row>
    <row r="1733" spans="27:27" x14ac:dyDescent="0.3">
      <c r="AA1733" s="15"/>
    </row>
    <row r="1734" spans="27:27" x14ac:dyDescent="0.3">
      <c r="AA1734" s="15"/>
    </row>
    <row r="1735" spans="27:27" x14ac:dyDescent="0.3">
      <c r="AA1735" s="15"/>
    </row>
    <row r="1736" spans="27:27" x14ac:dyDescent="0.3">
      <c r="AA1736" s="15"/>
    </row>
    <row r="1737" spans="27:27" x14ac:dyDescent="0.3">
      <c r="AA1737" s="15"/>
    </row>
    <row r="1738" spans="27:27" x14ac:dyDescent="0.3">
      <c r="AA1738" s="15"/>
    </row>
    <row r="1739" spans="27:27" x14ac:dyDescent="0.3">
      <c r="AA1739" s="15"/>
    </row>
    <row r="1740" spans="27:27" x14ac:dyDescent="0.3">
      <c r="AA1740" s="15"/>
    </row>
    <row r="1741" spans="27:27" x14ac:dyDescent="0.3">
      <c r="AA1741" s="19"/>
    </row>
    <row r="1742" spans="27:27" x14ac:dyDescent="0.3">
      <c r="AA1742" s="19"/>
    </row>
    <row r="1743" spans="27:27" x14ac:dyDescent="0.3">
      <c r="AA1743" s="15"/>
    </row>
    <row r="1744" spans="27:27" x14ac:dyDescent="0.3">
      <c r="AA1744" s="15"/>
    </row>
    <row r="1745" spans="27:27" x14ac:dyDescent="0.3">
      <c r="AA1745" s="15"/>
    </row>
    <row r="1746" spans="27:27" x14ac:dyDescent="0.3">
      <c r="AA1746" s="19"/>
    </row>
    <row r="1747" spans="27:27" x14ac:dyDescent="0.3">
      <c r="AA1747" s="19"/>
    </row>
    <row r="1748" spans="27:27" x14ac:dyDescent="0.3">
      <c r="AA1748" s="19"/>
    </row>
    <row r="1749" spans="27:27" x14ac:dyDescent="0.3">
      <c r="AA1749" s="15"/>
    </row>
    <row r="1750" spans="27:27" x14ac:dyDescent="0.3">
      <c r="AA1750" s="15"/>
    </row>
    <row r="1751" spans="27:27" x14ac:dyDescent="0.3">
      <c r="AA1751" s="15"/>
    </row>
    <row r="1752" spans="27:27" x14ac:dyDescent="0.3">
      <c r="AA1752" s="15"/>
    </row>
    <row r="1753" spans="27:27" x14ac:dyDescent="0.3">
      <c r="AA1753" s="15"/>
    </row>
    <row r="1754" spans="27:27" x14ac:dyDescent="0.3">
      <c r="AA1754" s="15"/>
    </row>
    <row r="1755" spans="27:27" x14ac:dyDescent="0.3">
      <c r="AA1755" s="15"/>
    </row>
    <row r="1756" spans="27:27" x14ac:dyDescent="0.3">
      <c r="AA1756" s="15"/>
    </row>
    <row r="1757" spans="27:27" x14ac:dyDescent="0.3">
      <c r="AA1757" s="15"/>
    </row>
    <row r="1758" spans="27:27" x14ac:dyDescent="0.3">
      <c r="AA1758" s="15"/>
    </row>
    <row r="1759" spans="27:27" x14ac:dyDescent="0.3">
      <c r="AA1759" s="15"/>
    </row>
    <row r="1760" spans="27:27" x14ac:dyDescent="0.3">
      <c r="AA1760" s="15"/>
    </row>
    <row r="1761" spans="27:27" x14ac:dyDescent="0.3">
      <c r="AA1761" s="15"/>
    </row>
    <row r="1762" spans="27:27" x14ac:dyDescent="0.3">
      <c r="AA1762" s="15"/>
    </row>
    <row r="1763" spans="27:27" x14ac:dyDescent="0.3">
      <c r="AA1763" s="15"/>
    </row>
    <row r="1764" spans="27:27" x14ac:dyDescent="0.3">
      <c r="AA1764" s="15"/>
    </row>
    <row r="1765" spans="27:27" x14ac:dyDescent="0.3">
      <c r="AA1765" s="15"/>
    </row>
    <row r="1766" spans="27:27" x14ac:dyDescent="0.3">
      <c r="AA1766" s="19"/>
    </row>
    <row r="1767" spans="27:27" x14ac:dyDescent="0.3">
      <c r="AA1767" s="15"/>
    </row>
    <row r="1768" spans="27:27" x14ac:dyDescent="0.3">
      <c r="AA1768" s="15"/>
    </row>
    <row r="1769" spans="27:27" x14ac:dyDescent="0.3">
      <c r="AA1769" s="15"/>
    </row>
    <row r="1770" spans="27:27" x14ac:dyDescent="0.3">
      <c r="AA1770" s="15"/>
    </row>
    <row r="1771" spans="27:27" x14ac:dyDescent="0.3">
      <c r="AA1771" s="15"/>
    </row>
    <row r="1772" spans="27:27" x14ac:dyDescent="0.3">
      <c r="AA1772" s="15"/>
    </row>
    <row r="1773" spans="27:27" x14ac:dyDescent="0.3">
      <c r="AA1773" s="15"/>
    </row>
    <row r="1774" spans="27:27" x14ac:dyDescent="0.3">
      <c r="AA1774" s="15"/>
    </row>
    <row r="1775" spans="27:27" x14ac:dyDescent="0.3">
      <c r="AA1775" s="15"/>
    </row>
    <row r="1776" spans="27:27" x14ac:dyDescent="0.3">
      <c r="AA1776" s="15"/>
    </row>
    <row r="1777" spans="27:27" x14ac:dyDescent="0.3">
      <c r="AA1777" s="19"/>
    </row>
    <row r="1778" spans="27:27" x14ac:dyDescent="0.3">
      <c r="AA1778" s="19"/>
    </row>
    <row r="1779" spans="27:27" x14ac:dyDescent="0.3">
      <c r="AA1779" s="15"/>
    </row>
    <row r="1780" spans="27:27" x14ac:dyDescent="0.3">
      <c r="AA1780" s="15"/>
    </row>
    <row r="1781" spans="27:27" x14ac:dyDescent="0.3">
      <c r="AA1781" s="15"/>
    </row>
    <row r="1782" spans="27:27" x14ac:dyDescent="0.3">
      <c r="AA1782" s="15"/>
    </row>
    <row r="1783" spans="27:27" x14ac:dyDescent="0.3">
      <c r="AA1783" s="15"/>
    </row>
    <row r="1784" spans="27:27" x14ac:dyDescent="0.3">
      <c r="AA1784" s="15"/>
    </row>
    <row r="1785" spans="27:27" x14ac:dyDescent="0.3">
      <c r="AA1785" s="15"/>
    </row>
    <row r="1786" spans="27:27" x14ac:dyDescent="0.3">
      <c r="AA1786" s="15"/>
    </row>
    <row r="1787" spans="27:27" x14ac:dyDescent="0.3">
      <c r="AA1787" s="15"/>
    </row>
    <row r="1788" spans="27:27" x14ac:dyDescent="0.3">
      <c r="AA1788" s="15"/>
    </row>
    <row r="1789" spans="27:27" x14ac:dyDescent="0.3">
      <c r="AA1789" s="15"/>
    </row>
    <row r="1790" spans="27:27" x14ac:dyDescent="0.3">
      <c r="AA1790" s="15"/>
    </row>
    <row r="1791" spans="27:27" x14ac:dyDescent="0.3">
      <c r="AA1791" s="15"/>
    </row>
    <row r="1792" spans="27:27" x14ac:dyDescent="0.3">
      <c r="AA1792" s="15"/>
    </row>
    <row r="1793" spans="27:27" x14ac:dyDescent="0.3">
      <c r="AA1793" s="15"/>
    </row>
    <row r="1794" spans="27:27" x14ac:dyDescent="0.3">
      <c r="AA1794" s="15"/>
    </row>
    <row r="1795" spans="27:27" x14ac:dyDescent="0.3">
      <c r="AA1795" s="15"/>
    </row>
    <row r="1796" spans="27:27" x14ac:dyDescent="0.3">
      <c r="AA1796" s="15"/>
    </row>
    <row r="1797" spans="27:27" x14ac:dyDescent="0.3">
      <c r="AA1797" s="15"/>
    </row>
    <row r="1798" spans="27:27" x14ac:dyDescent="0.3">
      <c r="AA1798" s="15"/>
    </row>
    <row r="1799" spans="27:27" x14ac:dyDescent="0.3">
      <c r="AA1799" s="15"/>
    </row>
    <row r="1800" spans="27:27" x14ac:dyDescent="0.3">
      <c r="AA1800" s="15"/>
    </row>
    <row r="1801" spans="27:27" x14ac:dyDescent="0.3">
      <c r="AA1801" s="15"/>
    </row>
    <row r="1802" spans="27:27" x14ac:dyDescent="0.3">
      <c r="AA1802" s="15"/>
    </row>
    <row r="1803" spans="27:27" x14ac:dyDescent="0.3">
      <c r="AA1803" s="15"/>
    </row>
    <row r="1804" spans="27:27" x14ac:dyDescent="0.3">
      <c r="AA1804" s="15"/>
    </row>
    <row r="1805" spans="27:27" x14ac:dyDescent="0.3">
      <c r="AA1805" s="15"/>
    </row>
    <row r="1806" spans="27:27" x14ac:dyDescent="0.3">
      <c r="AA1806" s="15"/>
    </row>
    <row r="1807" spans="27:27" x14ac:dyDescent="0.3">
      <c r="AA1807" s="15"/>
    </row>
    <row r="1808" spans="27:27" x14ac:dyDescent="0.3">
      <c r="AA1808" s="19"/>
    </row>
    <row r="1809" spans="27:27" x14ac:dyDescent="0.3">
      <c r="AA1809" s="19"/>
    </row>
    <row r="1810" spans="27:27" x14ac:dyDescent="0.3">
      <c r="AA1810" s="19"/>
    </row>
    <row r="1811" spans="27:27" x14ac:dyDescent="0.3">
      <c r="AA1811" s="19"/>
    </row>
    <row r="1812" spans="27:27" x14ac:dyDescent="0.3">
      <c r="AA1812" s="15"/>
    </row>
    <row r="1813" spans="27:27" x14ac:dyDescent="0.3">
      <c r="AA1813" s="19"/>
    </row>
    <row r="1814" spans="27:27" x14ac:dyDescent="0.3">
      <c r="AA1814" s="19"/>
    </row>
    <row r="1815" spans="27:27" x14ac:dyDescent="0.3">
      <c r="AA1815" s="15"/>
    </row>
    <row r="1816" spans="27:27" x14ac:dyDescent="0.3">
      <c r="AA1816" s="15"/>
    </row>
    <row r="1817" spans="27:27" x14ac:dyDescent="0.3">
      <c r="AA1817" s="15"/>
    </row>
    <row r="1818" spans="27:27" x14ac:dyDescent="0.3">
      <c r="AA1818" s="15"/>
    </row>
    <row r="1819" spans="27:27" x14ac:dyDescent="0.3">
      <c r="AA1819" s="15"/>
    </row>
    <row r="1820" spans="27:27" x14ac:dyDescent="0.3">
      <c r="AA1820" s="15"/>
    </row>
    <row r="1821" spans="27:27" x14ac:dyDescent="0.3">
      <c r="AA1821" s="19"/>
    </row>
    <row r="1822" spans="27:27" x14ac:dyDescent="0.3">
      <c r="AA1822" s="19"/>
    </row>
    <row r="1823" spans="27:27" x14ac:dyDescent="0.3">
      <c r="AA1823" s="19"/>
    </row>
    <row r="1824" spans="27:27" x14ac:dyDescent="0.3">
      <c r="AA1824" s="19"/>
    </row>
    <row r="1825" spans="27:27" x14ac:dyDescent="0.3">
      <c r="AA1825" s="19"/>
    </row>
    <row r="1826" spans="27:27" x14ac:dyDescent="0.3">
      <c r="AA1826" s="15"/>
    </row>
    <row r="1827" spans="27:27" x14ac:dyDescent="0.3">
      <c r="AA1827" s="15"/>
    </row>
    <row r="1828" spans="27:27" x14ac:dyDescent="0.3">
      <c r="AA1828" s="15"/>
    </row>
    <row r="1829" spans="27:27" x14ac:dyDescent="0.3">
      <c r="AA1829" s="15"/>
    </row>
    <row r="1830" spans="27:27" x14ac:dyDescent="0.3">
      <c r="AA1830" s="19"/>
    </row>
    <row r="1831" spans="27:27" x14ac:dyDescent="0.3">
      <c r="AA1831" s="15"/>
    </row>
    <row r="1832" spans="27:27" x14ac:dyDescent="0.3">
      <c r="AA1832" s="15"/>
    </row>
    <row r="1833" spans="27:27" x14ac:dyDescent="0.3">
      <c r="AA1833" s="15"/>
    </row>
    <row r="1834" spans="27:27" x14ac:dyDescent="0.3">
      <c r="AA1834" s="15"/>
    </row>
    <row r="1835" spans="27:27" x14ac:dyDescent="0.3">
      <c r="AA1835" s="15"/>
    </row>
    <row r="1836" spans="27:27" x14ac:dyDescent="0.3">
      <c r="AA1836" s="15"/>
    </row>
    <row r="1837" spans="27:27" x14ac:dyDescent="0.3">
      <c r="AA1837" s="19"/>
    </row>
    <row r="1838" spans="27:27" x14ac:dyDescent="0.3">
      <c r="AA1838" s="15"/>
    </row>
    <row r="1839" spans="27:27" x14ac:dyDescent="0.3">
      <c r="AA1839" s="15"/>
    </row>
    <row r="1840" spans="27:27" x14ac:dyDescent="0.3">
      <c r="AA1840" s="15"/>
    </row>
    <row r="1841" spans="27:27" x14ac:dyDescent="0.3">
      <c r="AA1841" s="15"/>
    </row>
    <row r="1842" spans="27:27" x14ac:dyDescent="0.3">
      <c r="AA1842" s="15"/>
    </row>
    <row r="1843" spans="27:27" x14ac:dyDescent="0.3">
      <c r="AA1843" s="15"/>
    </row>
    <row r="1844" spans="27:27" x14ac:dyDescent="0.3">
      <c r="AA1844" s="15"/>
    </row>
    <row r="1845" spans="27:27" x14ac:dyDescent="0.3">
      <c r="AA1845" s="15"/>
    </row>
    <row r="1846" spans="27:27" x14ac:dyDescent="0.3">
      <c r="AA1846" s="15"/>
    </row>
    <row r="1847" spans="27:27" x14ac:dyDescent="0.3">
      <c r="AA1847" s="15"/>
    </row>
    <row r="1848" spans="27:27" x14ac:dyDescent="0.3">
      <c r="AA1848" s="15"/>
    </row>
    <row r="1849" spans="27:27" x14ac:dyDescent="0.3">
      <c r="AA1849" s="15"/>
    </row>
    <row r="1850" spans="27:27" x14ac:dyDescent="0.3">
      <c r="AA1850" s="15"/>
    </row>
    <row r="1851" spans="27:27" x14ac:dyDescent="0.3">
      <c r="AA1851" s="15"/>
    </row>
    <row r="1852" spans="27:27" x14ac:dyDescent="0.3">
      <c r="AA1852" s="15"/>
    </row>
    <row r="1853" spans="27:27" x14ac:dyDescent="0.3">
      <c r="AA1853" s="19"/>
    </row>
    <row r="1854" spans="27:27" x14ac:dyDescent="0.3">
      <c r="AA1854" s="15"/>
    </row>
    <row r="1855" spans="27:27" x14ac:dyDescent="0.3">
      <c r="AA1855" s="15"/>
    </row>
    <row r="1856" spans="27:27" x14ac:dyDescent="0.3">
      <c r="AA1856" s="15"/>
    </row>
    <row r="1857" spans="27:27" x14ac:dyDescent="0.3">
      <c r="AA1857" s="15"/>
    </row>
    <row r="1858" spans="27:27" x14ac:dyDescent="0.3">
      <c r="AA1858" s="15"/>
    </row>
    <row r="1859" spans="27:27" x14ac:dyDescent="0.3">
      <c r="AA1859" s="15"/>
    </row>
    <row r="1860" spans="27:27" x14ac:dyDescent="0.3">
      <c r="AA1860" s="15"/>
    </row>
    <row r="1861" spans="27:27" x14ac:dyDescent="0.3">
      <c r="AA1861" s="15"/>
    </row>
    <row r="1862" spans="27:27" x14ac:dyDescent="0.3">
      <c r="AA1862" s="19"/>
    </row>
    <row r="1863" spans="27:27" x14ac:dyDescent="0.3">
      <c r="AA1863" s="15"/>
    </row>
    <row r="1864" spans="27:27" x14ac:dyDescent="0.3">
      <c r="AA1864" s="15"/>
    </row>
    <row r="1865" spans="27:27" x14ac:dyDescent="0.3">
      <c r="AA1865" s="15"/>
    </row>
    <row r="1866" spans="27:27" x14ac:dyDescent="0.3">
      <c r="AA1866" s="15"/>
    </row>
    <row r="1867" spans="27:27" x14ac:dyDescent="0.3">
      <c r="AA1867" s="15"/>
    </row>
    <row r="1868" spans="27:27" x14ac:dyDescent="0.3">
      <c r="AA1868" s="15"/>
    </row>
    <row r="1869" spans="27:27" x14ac:dyDescent="0.3">
      <c r="AA1869" s="19"/>
    </row>
    <row r="1870" spans="27:27" x14ac:dyDescent="0.3">
      <c r="AA1870" s="19"/>
    </row>
    <row r="1871" spans="27:27" x14ac:dyDescent="0.3">
      <c r="AA1871" s="19"/>
    </row>
    <row r="1872" spans="27:27" x14ac:dyDescent="0.3">
      <c r="AA1872" s="19"/>
    </row>
    <row r="1873" spans="27:27" x14ac:dyDescent="0.3">
      <c r="AA1873" s="15"/>
    </row>
    <row r="1874" spans="27:27" x14ac:dyDescent="0.3">
      <c r="AA1874" s="15"/>
    </row>
    <row r="1875" spans="27:27" x14ac:dyDescent="0.3">
      <c r="AA1875" s="15"/>
    </row>
    <row r="1876" spans="27:27" x14ac:dyDescent="0.3">
      <c r="AA1876" s="15"/>
    </row>
    <row r="1877" spans="27:27" x14ac:dyDescent="0.3">
      <c r="AA1877" s="15"/>
    </row>
    <row r="1878" spans="27:27" x14ac:dyDescent="0.3">
      <c r="AA1878" s="15"/>
    </row>
    <row r="1879" spans="27:27" x14ac:dyDescent="0.3">
      <c r="AA1879" s="15"/>
    </row>
    <row r="1880" spans="27:27" x14ac:dyDescent="0.3">
      <c r="AA1880" s="15"/>
    </row>
    <row r="1881" spans="27:27" x14ac:dyDescent="0.3">
      <c r="AA1881" s="15"/>
    </row>
    <row r="1882" spans="27:27" x14ac:dyDescent="0.3">
      <c r="AA1882" s="15"/>
    </row>
    <row r="1883" spans="27:27" x14ac:dyDescent="0.3">
      <c r="AA1883" s="15"/>
    </row>
    <row r="1884" spans="27:27" x14ac:dyDescent="0.3">
      <c r="AA1884" s="15"/>
    </row>
    <row r="1885" spans="27:27" x14ac:dyDescent="0.3">
      <c r="AA1885" s="15"/>
    </row>
    <row r="1886" spans="27:27" x14ac:dyDescent="0.3">
      <c r="AA1886" s="15"/>
    </row>
    <row r="1887" spans="27:27" x14ac:dyDescent="0.3">
      <c r="AA1887" s="15"/>
    </row>
    <row r="1888" spans="27:27" x14ac:dyDescent="0.3">
      <c r="AA1888" s="15"/>
    </row>
    <row r="1889" spans="27:27" x14ac:dyDescent="0.3">
      <c r="AA1889" s="15"/>
    </row>
    <row r="1890" spans="27:27" x14ac:dyDescent="0.3">
      <c r="AA1890" s="15"/>
    </row>
    <row r="1891" spans="27:27" x14ac:dyDescent="0.3">
      <c r="AA1891" s="15"/>
    </row>
    <row r="1892" spans="27:27" x14ac:dyDescent="0.3">
      <c r="AA1892" s="15"/>
    </row>
    <row r="1893" spans="27:27" x14ac:dyDescent="0.3">
      <c r="AA1893" s="15"/>
    </row>
    <row r="1894" spans="27:27" x14ac:dyDescent="0.3">
      <c r="AA1894" s="15"/>
    </row>
    <row r="1895" spans="27:27" x14ac:dyDescent="0.3">
      <c r="AA1895" s="15"/>
    </row>
    <row r="1896" spans="27:27" x14ac:dyDescent="0.3">
      <c r="AA1896" s="15"/>
    </row>
    <row r="1897" spans="27:27" x14ac:dyDescent="0.3">
      <c r="AA1897" s="19"/>
    </row>
    <row r="1898" spans="27:27" x14ac:dyDescent="0.3">
      <c r="AA1898" s="15"/>
    </row>
    <row r="1899" spans="27:27" x14ac:dyDescent="0.3">
      <c r="AA1899" s="19"/>
    </row>
    <row r="1900" spans="27:27" x14ac:dyDescent="0.3">
      <c r="AA1900" s="15"/>
    </row>
    <row r="1901" spans="27:27" x14ac:dyDescent="0.3">
      <c r="AA1901" s="19"/>
    </row>
    <row r="1902" spans="27:27" x14ac:dyDescent="0.3">
      <c r="AA1902" s="15"/>
    </row>
    <row r="1903" spans="27:27" x14ac:dyDescent="0.3">
      <c r="AA1903" s="15"/>
    </row>
    <row r="1904" spans="27:27" x14ac:dyDescent="0.3">
      <c r="AA1904" s="15"/>
    </row>
    <row r="1905" spans="27:27" x14ac:dyDescent="0.3">
      <c r="AA1905" s="15"/>
    </row>
    <row r="1906" spans="27:27" x14ac:dyDescent="0.3">
      <c r="AA1906" s="15"/>
    </row>
    <row r="1907" spans="27:27" x14ac:dyDescent="0.3">
      <c r="AA1907" s="15"/>
    </row>
    <row r="1908" spans="27:27" x14ac:dyDescent="0.3">
      <c r="AA1908" s="15"/>
    </row>
    <row r="1909" spans="27:27" x14ac:dyDescent="0.3">
      <c r="AA1909" s="15"/>
    </row>
    <row r="1910" spans="27:27" x14ac:dyDescent="0.3">
      <c r="AA1910" s="15"/>
    </row>
    <row r="1911" spans="27:27" x14ac:dyDescent="0.3">
      <c r="AA1911" s="15"/>
    </row>
    <row r="1912" spans="27:27" x14ac:dyDescent="0.3">
      <c r="AA1912" s="15"/>
    </row>
    <row r="1913" spans="27:27" x14ac:dyDescent="0.3">
      <c r="AA1913" s="15"/>
    </row>
    <row r="1914" spans="27:27" x14ac:dyDescent="0.3">
      <c r="AA1914" s="15"/>
    </row>
    <row r="1915" spans="27:27" x14ac:dyDescent="0.3">
      <c r="AA1915" s="15"/>
    </row>
    <row r="1916" spans="27:27" x14ac:dyDescent="0.3">
      <c r="AA1916" s="19"/>
    </row>
    <row r="1917" spans="27:27" x14ac:dyDescent="0.3">
      <c r="AA1917" s="19"/>
    </row>
    <row r="1918" spans="27:27" x14ac:dyDescent="0.3">
      <c r="AA1918" s="19"/>
    </row>
    <row r="1919" spans="27:27" x14ac:dyDescent="0.3">
      <c r="AA1919" s="15"/>
    </row>
    <row r="1920" spans="27:27" x14ac:dyDescent="0.3">
      <c r="AA1920" s="15"/>
    </row>
    <row r="1921" spans="27:27" x14ac:dyDescent="0.3">
      <c r="AA1921" s="15"/>
    </row>
    <row r="1922" spans="27:27" x14ac:dyDescent="0.3">
      <c r="AA1922" s="15"/>
    </row>
    <row r="1923" spans="27:27" x14ac:dyDescent="0.3">
      <c r="AA1923" s="15"/>
    </row>
    <row r="1924" spans="27:27" x14ac:dyDescent="0.3">
      <c r="AA1924" s="15"/>
    </row>
    <row r="1925" spans="27:27" x14ac:dyDescent="0.3">
      <c r="AA1925" s="15"/>
    </row>
    <row r="1926" spans="27:27" x14ac:dyDescent="0.3">
      <c r="AA1926" s="15"/>
    </row>
    <row r="1927" spans="27:27" x14ac:dyDescent="0.3">
      <c r="AA1927" s="15"/>
    </row>
    <row r="1928" spans="27:27" x14ac:dyDescent="0.3">
      <c r="AA1928" s="15"/>
    </row>
    <row r="1929" spans="27:27" x14ac:dyDescent="0.3">
      <c r="AA1929" s="19"/>
    </row>
    <row r="1930" spans="27:27" x14ac:dyDescent="0.3">
      <c r="AA1930" s="19"/>
    </row>
    <row r="1931" spans="27:27" x14ac:dyDescent="0.3">
      <c r="AA1931" s="15"/>
    </row>
    <row r="1932" spans="27:27" x14ac:dyDescent="0.3">
      <c r="AA1932" s="19"/>
    </row>
    <row r="1933" spans="27:27" x14ac:dyDescent="0.3">
      <c r="AA1933" s="19"/>
    </row>
    <row r="1934" spans="27:27" x14ac:dyDescent="0.3">
      <c r="AA1934" s="15"/>
    </row>
    <row r="1935" spans="27:27" x14ac:dyDescent="0.3">
      <c r="AA1935" s="19"/>
    </row>
    <row r="1936" spans="27:27" x14ac:dyDescent="0.3">
      <c r="AA1936" s="19"/>
    </row>
    <row r="1937" spans="27:27" x14ac:dyDescent="0.3">
      <c r="AA1937" s="15"/>
    </row>
    <row r="1938" spans="27:27" x14ac:dyDescent="0.3">
      <c r="AA1938" s="15"/>
    </row>
    <row r="1939" spans="27:27" x14ac:dyDescent="0.3">
      <c r="AA1939" s="15"/>
    </row>
    <row r="1940" spans="27:27" x14ac:dyDescent="0.3">
      <c r="AA1940" s="15"/>
    </row>
    <row r="1941" spans="27:27" x14ac:dyDescent="0.3">
      <c r="AA1941" s="19"/>
    </row>
    <row r="1942" spans="27:27" x14ac:dyDescent="0.3">
      <c r="AA1942" s="15"/>
    </row>
    <row r="1943" spans="27:27" x14ac:dyDescent="0.3">
      <c r="AA1943" s="15"/>
    </row>
    <row r="1944" spans="27:27" x14ac:dyDescent="0.3">
      <c r="AA1944" s="15"/>
    </row>
    <row r="1945" spans="27:27" x14ac:dyDescent="0.3">
      <c r="AA1945" s="15"/>
    </row>
    <row r="1946" spans="27:27" x14ac:dyDescent="0.3">
      <c r="AA1946" s="15"/>
    </row>
    <row r="1947" spans="27:27" x14ac:dyDescent="0.3">
      <c r="AA1947" s="15"/>
    </row>
    <row r="1948" spans="27:27" x14ac:dyDescent="0.3">
      <c r="AA1948" s="15"/>
    </row>
    <row r="1949" spans="27:27" x14ac:dyDescent="0.3">
      <c r="AA1949" s="15"/>
    </row>
    <row r="1950" spans="27:27" x14ac:dyDescent="0.3">
      <c r="AA1950" s="15"/>
    </row>
    <row r="1951" spans="27:27" x14ac:dyDescent="0.3">
      <c r="AA1951" s="15"/>
    </row>
    <row r="1952" spans="27:27" x14ac:dyDescent="0.3">
      <c r="AA1952" s="15"/>
    </row>
    <row r="1953" spans="27:27" x14ac:dyDescent="0.3">
      <c r="AA1953" s="15"/>
    </row>
    <row r="1954" spans="27:27" x14ac:dyDescent="0.3">
      <c r="AA1954" s="15"/>
    </row>
    <row r="1955" spans="27:27" x14ac:dyDescent="0.3">
      <c r="AA1955" s="19"/>
    </row>
    <row r="1956" spans="27:27" x14ac:dyDescent="0.3">
      <c r="AA1956" s="19"/>
    </row>
    <row r="1957" spans="27:27" x14ac:dyDescent="0.3">
      <c r="AA1957" s="19"/>
    </row>
    <row r="1958" spans="27:27" x14ac:dyDescent="0.3">
      <c r="AA1958" s="19"/>
    </row>
    <row r="1959" spans="27:27" x14ac:dyDescent="0.3">
      <c r="AA1959" s="19"/>
    </row>
    <row r="1960" spans="27:27" x14ac:dyDescent="0.3">
      <c r="AA1960" s="19"/>
    </row>
    <row r="1961" spans="27:27" x14ac:dyDescent="0.3">
      <c r="AA1961" s="15"/>
    </row>
    <row r="1962" spans="27:27" x14ac:dyDescent="0.3">
      <c r="AA1962" s="15"/>
    </row>
    <row r="1963" spans="27:27" x14ac:dyDescent="0.3">
      <c r="AA1963" s="15"/>
    </row>
    <row r="1964" spans="27:27" x14ac:dyDescent="0.3">
      <c r="AA1964" s="15"/>
    </row>
    <row r="1965" spans="27:27" x14ac:dyDescent="0.3">
      <c r="AA1965" s="15"/>
    </row>
    <row r="1966" spans="27:27" x14ac:dyDescent="0.3">
      <c r="AA1966" s="15"/>
    </row>
    <row r="1967" spans="27:27" x14ac:dyDescent="0.3">
      <c r="AA1967" s="15"/>
    </row>
    <row r="1968" spans="27:27" x14ac:dyDescent="0.3">
      <c r="AA1968" s="15"/>
    </row>
    <row r="1969" spans="27:27" x14ac:dyDescent="0.3">
      <c r="AA1969" s="15"/>
    </row>
    <row r="1970" spans="27:27" x14ac:dyDescent="0.3">
      <c r="AA1970" s="19"/>
    </row>
    <row r="1971" spans="27:27" x14ac:dyDescent="0.3">
      <c r="AA1971" s="15"/>
    </row>
    <row r="1972" spans="27:27" x14ac:dyDescent="0.3">
      <c r="AA1972" s="19"/>
    </row>
    <row r="1973" spans="27:27" x14ac:dyDescent="0.3">
      <c r="AA1973" s="15"/>
    </row>
    <row r="1974" spans="27:27" x14ac:dyDescent="0.3">
      <c r="AA1974" s="19"/>
    </row>
    <row r="1975" spans="27:27" x14ac:dyDescent="0.3">
      <c r="AA1975" s="15"/>
    </row>
    <row r="1976" spans="27:27" x14ac:dyDescent="0.3">
      <c r="AA1976" s="15"/>
    </row>
    <row r="1977" spans="27:27" x14ac:dyDescent="0.3">
      <c r="AA1977" s="15"/>
    </row>
    <row r="1978" spans="27:27" x14ac:dyDescent="0.3">
      <c r="AA1978" s="15"/>
    </row>
    <row r="1979" spans="27:27" x14ac:dyDescent="0.3">
      <c r="AA1979" s="19"/>
    </row>
    <row r="1980" spans="27:27" x14ac:dyDescent="0.3">
      <c r="AA1980" s="15"/>
    </row>
    <row r="1981" spans="27:27" x14ac:dyDescent="0.3">
      <c r="AA1981" s="15"/>
    </row>
    <row r="1982" spans="27:27" x14ac:dyDescent="0.3">
      <c r="AA1982" s="15"/>
    </row>
    <row r="1983" spans="27:27" x14ac:dyDescent="0.3">
      <c r="AA1983" s="15"/>
    </row>
    <row r="1984" spans="27:27" x14ac:dyDescent="0.3">
      <c r="AA1984" s="15"/>
    </row>
    <row r="1985" spans="27:27" x14ac:dyDescent="0.3">
      <c r="AA1985" s="15"/>
    </row>
    <row r="1986" spans="27:27" x14ac:dyDescent="0.3">
      <c r="AA1986" s="15"/>
    </row>
    <row r="1987" spans="27:27" x14ac:dyDescent="0.3">
      <c r="AA1987" s="15"/>
    </row>
    <row r="1988" spans="27:27" x14ac:dyDescent="0.3">
      <c r="AA1988" s="15"/>
    </row>
    <row r="1989" spans="27:27" x14ac:dyDescent="0.3">
      <c r="AA1989" s="15"/>
    </row>
    <row r="1990" spans="27:27" x14ac:dyDescent="0.3">
      <c r="AA1990" s="15"/>
    </row>
    <row r="1991" spans="27:27" x14ac:dyDescent="0.3">
      <c r="AA1991" s="15"/>
    </row>
    <row r="1992" spans="27:27" x14ac:dyDescent="0.3">
      <c r="AA1992" s="15"/>
    </row>
    <row r="1993" spans="27:27" x14ac:dyDescent="0.3">
      <c r="AA1993" s="15"/>
    </row>
    <row r="1994" spans="27:27" x14ac:dyDescent="0.3">
      <c r="AA1994" s="15"/>
    </row>
    <row r="1995" spans="27:27" x14ac:dyDescent="0.3">
      <c r="AA1995" s="15"/>
    </row>
    <row r="1996" spans="27:27" x14ac:dyDescent="0.3">
      <c r="AA1996" s="15"/>
    </row>
    <row r="1997" spans="27:27" x14ac:dyDescent="0.3">
      <c r="AA1997" s="18"/>
    </row>
    <row r="1998" spans="27:27" x14ac:dyDescent="0.3">
      <c r="AA1998" s="21"/>
    </row>
    <row r="1999" spans="27:27" x14ac:dyDescent="0.3">
      <c r="AA1999" s="21"/>
    </row>
    <row r="2000" spans="27:27" x14ac:dyDescent="0.3">
      <c r="AA2000" s="21"/>
    </row>
    <row r="2001" spans="27:27" x14ac:dyDescent="0.3">
      <c r="AA2001" s="21"/>
    </row>
    <row r="2002" spans="27:27" x14ac:dyDescent="0.3">
      <c r="AA2002" s="21"/>
    </row>
    <row r="2003" spans="27:27" x14ac:dyDescent="0.3">
      <c r="AA2003" s="21"/>
    </row>
    <row r="2005" spans="27:27" x14ac:dyDescent="0.3">
      <c r="AA2005" s="21"/>
    </row>
    <row r="2006" spans="27:27" x14ac:dyDescent="0.3">
      <c r="AA2006" s="21"/>
    </row>
    <row r="2007" spans="27:27" x14ac:dyDescent="0.3">
      <c r="AA2007" s="21"/>
    </row>
    <row r="2008" spans="27:27" x14ac:dyDescent="0.3">
      <c r="AA2008" s="21"/>
    </row>
    <row r="2009" spans="27:27" x14ac:dyDescent="0.3">
      <c r="AA2009" s="21"/>
    </row>
    <row r="2010" spans="27:27" x14ac:dyDescent="0.3">
      <c r="AA2010" s="21"/>
    </row>
    <row r="2011" spans="27:27" x14ac:dyDescent="0.3">
      <c r="AA2011" s="21"/>
    </row>
    <row r="2012" spans="27:27" x14ac:dyDescent="0.3">
      <c r="AA2012" s="21"/>
    </row>
    <row r="2013" spans="27:27" x14ac:dyDescent="0.3">
      <c r="AA2013" s="21"/>
    </row>
    <row r="2014" spans="27:27" x14ac:dyDescent="0.3">
      <c r="AA2014" s="21"/>
    </row>
    <row r="2015" spans="27:27" x14ac:dyDescent="0.3">
      <c r="AA2015" s="21"/>
    </row>
    <row r="2017" spans="27:27" x14ac:dyDescent="0.3">
      <c r="AA2017" s="21"/>
    </row>
    <row r="2018" spans="27:27" x14ac:dyDescent="0.3">
      <c r="AA2018" s="21"/>
    </row>
    <row r="2019" spans="27:27" x14ac:dyDescent="0.3">
      <c r="AA2019" s="21"/>
    </row>
    <row r="2020" spans="27:27" x14ac:dyDescent="0.3">
      <c r="AA2020" s="21"/>
    </row>
    <row r="2021" spans="27:27" x14ac:dyDescent="0.3">
      <c r="AA2021" s="21"/>
    </row>
    <row r="2022" spans="27:27" x14ac:dyDescent="0.3">
      <c r="AA2022" s="21"/>
    </row>
    <row r="2023" spans="27:27" x14ac:dyDescent="0.3">
      <c r="AA2023" s="21"/>
    </row>
    <row r="2024" spans="27:27" x14ac:dyDescent="0.3">
      <c r="AA2024" s="21"/>
    </row>
    <row r="2025" spans="27:27" x14ac:dyDescent="0.3">
      <c r="AA2025" s="21"/>
    </row>
    <row r="2026" spans="27:27" x14ac:dyDescent="0.3">
      <c r="AA2026" s="21"/>
    </row>
    <row r="2027" spans="27:27" x14ac:dyDescent="0.3">
      <c r="AA2027" s="21"/>
    </row>
    <row r="2028" spans="27:27" x14ac:dyDescent="0.3">
      <c r="AA2028" s="21"/>
    </row>
    <row r="2029" spans="27:27" x14ac:dyDescent="0.3">
      <c r="AA2029" s="21"/>
    </row>
    <row r="2030" spans="27:27" x14ac:dyDescent="0.3">
      <c r="AA2030" s="21"/>
    </row>
    <row r="2031" spans="27:27" x14ac:dyDescent="0.3">
      <c r="AA2031" s="21"/>
    </row>
    <row r="2032" spans="27:27" x14ac:dyDescent="0.3">
      <c r="AA2032" s="21"/>
    </row>
    <row r="2033" spans="27:27" x14ac:dyDescent="0.3">
      <c r="AA2033" s="21"/>
    </row>
    <row r="2034" spans="27:27" x14ac:dyDescent="0.3">
      <c r="AA2034" s="21"/>
    </row>
    <row r="2035" spans="27:27" x14ac:dyDescent="0.3">
      <c r="AA2035" s="21"/>
    </row>
    <row r="2036" spans="27:27" x14ac:dyDescent="0.3">
      <c r="AA2036" s="21"/>
    </row>
    <row r="2038" spans="27:27" x14ac:dyDescent="0.3">
      <c r="AA2038" s="21"/>
    </row>
    <row r="2039" spans="27:27" x14ac:dyDescent="0.3">
      <c r="AA2039" s="21"/>
    </row>
    <row r="2040" spans="27:27" x14ac:dyDescent="0.3">
      <c r="AA2040" s="21"/>
    </row>
    <row r="2041" spans="27:27" x14ac:dyDescent="0.3">
      <c r="AA2041" s="21"/>
    </row>
    <row r="2042" spans="27:27" x14ac:dyDescent="0.3">
      <c r="AA2042" s="21"/>
    </row>
    <row r="2043" spans="27:27" x14ac:dyDescent="0.3">
      <c r="AA2043" s="21"/>
    </row>
    <row r="2044" spans="27:27" x14ac:dyDescent="0.3">
      <c r="AA2044" s="21"/>
    </row>
    <row r="2045" spans="27:27" x14ac:dyDescent="0.3">
      <c r="AA2045" s="21"/>
    </row>
    <row r="2046" spans="27:27" x14ac:dyDescent="0.3">
      <c r="AA2046" s="21"/>
    </row>
    <row r="2047" spans="27:27" x14ac:dyDescent="0.3">
      <c r="AA2047" s="21"/>
    </row>
    <row r="2048" spans="27:27" x14ac:dyDescent="0.3">
      <c r="AA2048" s="21"/>
    </row>
    <row r="2049" spans="27:27" x14ac:dyDescent="0.3">
      <c r="AA2049" s="21"/>
    </row>
    <row r="2050" spans="27:27" x14ac:dyDescent="0.3">
      <c r="AA2050" s="21"/>
    </row>
    <row r="2051" spans="27:27" x14ac:dyDescent="0.3">
      <c r="AA2051" s="21"/>
    </row>
    <row r="2052" spans="27:27" x14ac:dyDescent="0.3">
      <c r="AA2052" s="21"/>
    </row>
    <row r="2053" spans="27:27" x14ac:dyDescent="0.3">
      <c r="AA2053" s="21"/>
    </row>
    <row r="2054" spans="27:27" x14ac:dyDescent="0.3">
      <c r="AA2054" s="21"/>
    </row>
    <row r="2055" spans="27:27" x14ac:dyDescent="0.3">
      <c r="AA2055" s="21"/>
    </row>
    <row r="2059" spans="27:27" x14ac:dyDescent="0.3">
      <c r="AA2059" s="21"/>
    </row>
    <row r="2060" spans="27:27" x14ac:dyDescent="0.3">
      <c r="AA2060" s="21"/>
    </row>
    <row r="2061" spans="27:27" x14ac:dyDescent="0.3">
      <c r="AA2061" s="21"/>
    </row>
    <row r="2062" spans="27:27" x14ac:dyDescent="0.3">
      <c r="AA2062" s="21"/>
    </row>
    <row r="2063" spans="27:27" x14ac:dyDescent="0.3">
      <c r="AA2063" s="21"/>
    </row>
    <row r="2064" spans="27:27" x14ac:dyDescent="0.3">
      <c r="AA2064" s="21"/>
    </row>
    <row r="2065" spans="27:27" x14ac:dyDescent="0.3">
      <c r="AA2065" s="21"/>
    </row>
    <row r="2066" spans="27:27" x14ac:dyDescent="0.3">
      <c r="AA2066" s="21"/>
    </row>
    <row r="2067" spans="27:27" x14ac:dyDescent="0.3">
      <c r="AA2067" s="21"/>
    </row>
    <row r="2068" spans="27:27" x14ac:dyDescent="0.3">
      <c r="AA2068" s="21"/>
    </row>
    <row r="2069" spans="27:27" x14ac:dyDescent="0.3">
      <c r="AA2069" s="21"/>
    </row>
    <row r="2070" spans="27:27" x14ac:dyDescent="0.3">
      <c r="AA2070" s="21"/>
    </row>
    <row r="2071" spans="27:27" x14ac:dyDescent="0.3">
      <c r="AA2071" s="21"/>
    </row>
    <row r="2072" spans="27:27" x14ac:dyDescent="0.3">
      <c r="AA2072" s="21"/>
    </row>
    <row r="2073" spans="27:27" x14ac:dyDescent="0.3">
      <c r="AA2073" s="21"/>
    </row>
    <row r="2074" spans="27:27" x14ac:dyDescent="0.3">
      <c r="AA2074" s="21"/>
    </row>
    <row r="2075" spans="27:27" x14ac:dyDescent="0.3">
      <c r="AA2075" s="21"/>
    </row>
    <row r="2076" spans="27:27" x14ac:dyDescent="0.3">
      <c r="AA2076" s="21"/>
    </row>
    <row r="2077" spans="27:27" x14ac:dyDescent="0.3">
      <c r="AA2077" s="21"/>
    </row>
    <row r="2078" spans="27:27" x14ac:dyDescent="0.3">
      <c r="AA2078" s="21"/>
    </row>
    <row r="2079" spans="27:27" x14ac:dyDescent="0.3">
      <c r="AA2079" s="21"/>
    </row>
    <row r="2080" spans="27:27" x14ac:dyDescent="0.3">
      <c r="AA2080" s="21"/>
    </row>
    <row r="2081" spans="27:27" x14ac:dyDescent="0.3">
      <c r="AA2081" s="21"/>
    </row>
    <row r="2082" spans="27:27" x14ac:dyDescent="0.3">
      <c r="AA2082" s="21"/>
    </row>
    <row r="2083" spans="27:27" x14ac:dyDescent="0.3">
      <c r="AA2083" s="21"/>
    </row>
    <row r="2091" spans="27:27" x14ac:dyDescent="0.3">
      <c r="AA2091" s="21"/>
    </row>
    <row r="2092" spans="27:27" x14ac:dyDescent="0.3">
      <c r="AA2092" s="21"/>
    </row>
    <row r="2093" spans="27:27" x14ac:dyDescent="0.3">
      <c r="AA2093" s="21"/>
    </row>
    <row r="2094" spans="27:27" x14ac:dyDescent="0.3">
      <c r="AA2094" s="21"/>
    </row>
    <row r="2095" spans="27:27" x14ac:dyDescent="0.3">
      <c r="AA2095" s="21"/>
    </row>
    <row r="2096" spans="27:27" x14ac:dyDescent="0.3">
      <c r="AA2096" s="21"/>
    </row>
    <row r="2097" spans="27:27" x14ac:dyDescent="0.3">
      <c r="AA2097" s="21"/>
    </row>
    <row r="2098" spans="27:27" x14ac:dyDescent="0.3">
      <c r="AA2098" s="21"/>
    </row>
    <row r="2099" spans="27:27" x14ac:dyDescent="0.3">
      <c r="AA2099" s="21"/>
    </row>
    <row r="2100" spans="27:27" x14ac:dyDescent="0.3">
      <c r="AA2100" s="21"/>
    </row>
    <row r="2101" spans="27:27" x14ac:dyDescent="0.3">
      <c r="AA2101" s="21"/>
    </row>
    <row r="2102" spans="27:27" x14ac:dyDescent="0.3">
      <c r="AA2102" s="21"/>
    </row>
    <row r="2103" spans="27:27" x14ac:dyDescent="0.3">
      <c r="AA2103" s="21"/>
    </row>
    <row r="2104" spans="27:27" x14ac:dyDescent="0.3">
      <c r="AA2104" s="21"/>
    </row>
    <row r="2105" spans="27:27" x14ac:dyDescent="0.3">
      <c r="AA2105" s="21"/>
    </row>
    <row r="2106" spans="27:27" x14ac:dyDescent="0.3">
      <c r="AA2106" s="21"/>
    </row>
    <row r="2107" spans="27:27" x14ac:dyDescent="0.3">
      <c r="AA2107" s="21"/>
    </row>
    <row r="2108" spans="27:27" x14ac:dyDescent="0.3">
      <c r="AA2108" s="21"/>
    </row>
    <row r="2116" spans="27:27" x14ac:dyDescent="0.3">
      <c r="AA2116" s="21"/>
    </row>
    <row r="2117" spans="27:27" x14ac:dyDescent="0.3">
      <c r="AA2117" s="21"/>
    </row>
    <row r="2118" spans="27:27" x14ac:dyDescent="0.3">
      <c r="AA2118" s="21"/>
    </row>
    <row r="2119" spans="27:27" x14ac:dyDescent="0.3">
      <c r="AA2119" s="21"/>
    </row>
    <row r="2120" spans="27:27" x14ac:dyDescent="0.3">
      <c r="AA2120" s="21"/>
    </row>
    <row r="2121" spans="27:27" x14ac:dyDescent="0.3">
      <c r="AA2121" s="21"/>
    </row>
    <row r="2122" spans="27:27" x14ac:dyDescent="0.3">
      <c r="AA2122" s="21"/>
    </row>
    <row r="2123" spans="27:27" x14ac:dyDescent="0.3">
      <c r="AA2123" s="21"/>
    </row>
    <row r="2124" spans="27:27" x14ac:dyDescent="0.3">
      <c r="AA2124" s="21"/>
    </row>
    <row r="2125" spans="27:27" x14ac:dyDescent="0.3">
      <c r="AA2125" s="21"/>
    </row>
    <row r="2126" spans="27:27" x14ac:dyDescent="0.3">
      <c r="AA2126" s="21"/>
    </row>
    <row r="2127" spans="27:27" x14ac:dyDescent="0.3">
      <c r="AA2127" s="21"/>
    </row>
    <row r="2128" spans="27:27" x14ac:dyDescent="0.3">
      <c r="AA2128" s="21"/>
    </row>
    <row r="2130" spans="27:27" x14ac:dyDescent="0.3">
      <c r="AA2130" s="21"/>
    </row>
    <row r="2131" spans="27:27" x14ac:dyDescent="0.3">
      <c r="AA2131" s="21"/>
    </row>
    <row r="2132" spans="27:27" x14ac:dyDescent="0.3">
      <c r="AA2132" s="21"/>
    </row>
    <row r="2133" spans="27:27" x14ac:dyDescent="0.3">
      <c r="AA2133" s="21"/>
    </row>
    <row r="2134" spans="27:27" x14ac:dyDescent="0.3">
      <c r="AA2134" s="21"/>
    </row>
    <row r="2135" spans="27:27" x14ac:dyDescent="0.3">
      <c r="AA2135" s="21"/>
    </row>
    <row r="2136" spans="27:27" x14ac:dyDescent="0.3">
      <c r="AA2136" s="21"/>
    </row>
    <row r="2137" spans="27:27" x14ac:dyDescent="0.3">
      <c r="AA2137" s="21"/>
    </row>
    <row r="2138" spans="27:27" x14ac:dyDescent="0.3">
      <c r="AA2138" s="21"/>
    </row>
    <row r="2139" spans="27:27" x14ac:dyDescent="0.3">
      <c r="AA2139" s="21"/>
    </row>
    <row r="2140" spans="27:27" x14ac:dyDescent="0.3">
      <c r="AA2140" s="21"/>
    </row>
    <row r="2141" spans="27:27" x14ac:dyDescent="0.3">
      <c r="AA2141" s="21"/>
    </row>
    <row r="2142" spans="27:27" x14ac:dyDescent="0.3">
      <c r="AA2142" s="21"/>
    </row>
    <row r="2143" spans="27:27" x14ac:dyDescent="0.3">
      <c r="AA2143" s="21"/>
    </row>
    <row r="2144" spans="27:27" x14ac:dyDescent="0.3">
      <c r="AA2144" s="21"/>
    </row>
    <row r="2145" spans="27:27" x14ac:dyDescent="0.3">
      <c r="AA2145" s="21"/>
    </row>
    <row r="2146" spans="27:27" x14ac:dyDescent="0.3">
      <c r="AA2146" s="21"/>
    </row>
    <row r="2147" spans="27:27" x14ac:dyDescent="0.3">
      <c r="AA2147" s="21"/>
    </row>
    <row r="2148" spans="27:27" x14ac:dyDescent="0.3">
      <c r="AA2148" s="21"/>
    </row>
    <row r="2149" spans="27:27" x14ac:dyDescent="0.3">
      <c r="AA2149" s="21"/>
    </row>
    <row r="2150" spans="27:27" x14ac:dyDescent="0.3">
      <c r="AA2150" s="21"/>
    </row>
    <row r="2151" spans="27:27" x14ac:dyDescent="0.3">
      <c r="AA2151" s="21"/>
    </row>
    <row r="2152" spans="27:27" x14ac:dyDescent="0.3">
      <c r="AA2152" s="21"/>
    </row>
    <row r="2153" spans="27:27" x14ac:dyDescent="0.3">
      <c r="AA2153" s="21"/>
    </row>
    <row r="2154" spans="27:27" x14ac:dyDescent="0.3">
      <c r="AA2154" s="21"/>
    </row>
    <row r="2155" spans="27:27" x14ac:dyDescent="0.3">
      <c r="AA2155" s="21"/>
    </row>
    <row r="2156" spans="27:27" x14ac:dyDescent="0.3">
      <c r="AA2156" s="21"/>
    </row>
    <row r="2157" spans="27:27" x14ac:dyDescent="0.3">
      <c r="AA2157" s="21"/>
    </row>
    <row r="2158" spans="27:27" x14ac:dyDescent="0.3">
      <c r="AA2158" s="21"/>
    </row>
    <row r="2159" spans="27:27" x14ac:dyDescent="0.3">
      <c r="AA2159" s="21"/>
    </row>
    <row r="2160" spans="27:27" x14ac:dyDescent="0.3">
      <c r="AA2160" s="21"/>
    </row>
    <row r="2161" spans="27:27" x14ac:dyDescent="0.3">
      <c r="AA2161" s="21"/>
    </row>
    <row r="2162" spans="27:27" x14ac:dyDescent="0.3">
      <c r="AA2162" s="21"/>
    </row>
    <row r="2163" spans="27:27" x14ac:dyDescent="0.3">
      <c r="AA2163" s="21"/>
    </row>
    <row r="2164" spans="27:27" x14ac:dyDescent="0.3">
      <c r="AA2164" s="21"/>
    </row>
    <row r="2165" spans="27:27" x14ac:dyDescent="0.3">
      <c r="AA2165" s="21"/>
    </row>
    <row r="2166" spans="27:27" x14ac:dyDescent="0.3">
      <c r="AA2166" s="21"/>
    </row>
    <row r="2167" spans="27:27" x14ac:dyDescent="0.3">
      <c r="AA2167" s="21"/>
    </row>
    <row r="2168" spans="27:27" x14ac:dyDescent="0.3">
      <c r="AA2168" s="21"/>
    </row>
    <row r="2169" spans="27:27" x14ac:dyDescent="0.3">
      <c r="AA2169" s="21"/>
    </row>
    <row r="2170" spans="27:27" x14ac:dyDescent="0.3">
      <c r="AA2170" s="21"/>
    </row>
    <row r="2171" spans="27:27" x14ac:dyDescent="0.3">
      <c r="AA2171" s="21"/>
    </row>
    <row r="2172" spans="27:27" x14ac:dyDescent="0.3">
      <c r="AA2172" s="21"/>
    </row>
    <row r="2173" spans="27:27" x14ac:dyDescent="0.3">
      <c r="AA2173" s="21"/>
    </row>
    <row r="2174" spans="27:27" x14ac:dyDescent="0.3">
      <c r="AA2174" s="21"/>
    </row>
    <row r="2175" spans="27:27" x14ac:dyDescent="0.3">
      <c r="AA2175" s="21"/>
    </row>
    <row r="2176" spans="27:27" x14ac:dyDescent="0.3">
      <c r="AA2176" s="21"/>
    </row>
    <row r="2177" spans="27:27" x14ac:dyDescent="0.3">
      <c r="AA2177" s="21"/>
    </row>
    <row r="2178" spans="27:27" x14ac:dyDescent="0.3">
      <c r="AA2178" s="21"/>
    </row>
    <row r="2179" spans="27:27" x14ac:dyDescent="0.3">
      <c r="AA2179" s="21"/>
    </row>
    <row r="2180" spans="27:27" x14ac:dyDescent="0.3">
      <c r="AA2180" s="21"/>
    </row>
    <row r="2181" spans="27:27" x14ac:dyDescent="0.3">
      <c r="AA2181" s="21"/>
    </row>
    <row r="2182" spans="27:27" x14ac:dyDescent="0.3">
      <c r="AA2182" s="21"/>
    </row>
    <row r="2183" spans="27:27" x14ac:dyDescent="0.3">
      <c r="AA2183" s="21"/>
    </row>
    <row r="2210" spans="27:27" x14ac:dyDescent="0.3">
      <c r="AA2210" s="21"/>
    </row>
    <row r="2211" spans="27:27" x14ac:dyDescent="0.3">
      <c r="AA2211" s="21"/>
    </row>
    <row r="2212" spans="27:27" x14ac:dyDescent="0.3">
      <c r="AA2212" s="21"/>
    </row>
    <row r="2213" spans="27:27" x14ac:dyDescent="0.3">
      <c r="AA2213" s="21"/>
    </row>
    <row r="2214" spans="27:27" x14ac:dyDescent="0.3">
      <c r="AA2214" s="21"/>
    </row>
    <row r="2215" spans="27:27" x14ac:dyDescent="0.3">
      <c r="AA2215" s="21"/>
    </row>
    <row r="2216" spans="27:27" x14ac:dyDescent="0.3">
      <c r="AA2216" s="21"/>
    </row>
    <row r="2217" spans="27:27" x14ac:dyDescent="0.3">
      <c r="AA2217" s="21"/>
    </row>
    <row r="2218" spans="27:27" x14ac:dyDescent="0.3">
      <c r="AA2218" s="21"/>
    </row>
    <row r="2219" spans="27:27" x14ac:dyDescent="0.3">
      <c r="AA2219" s="21"/>
    </row>
    <row r="2220" spans="27:27" x14ac:dyDescent="0.3">
      <c r="AA2220" s="21"/>
    </row>
    <row r="2221" spans="27:27" x14ac:dyDescent="0.3">
      <c r="AA2221" s="21"/>
    </row>
    <row r="2222" spans="27:27" x14ac:dyDescent="0.3">
      <c r="AA2222" s="21"/>
    </row>
    <row r="2223" spans="27:27" x14ac:dyDescent="0.3">
      <c r="AA2223" s="21"/>
    </row>
    <row r="2224" spans="27:27" x14ac:dyDescent="0.3">
      <c r="AA2224" s="21"/>
    </row>
    <row r="2225" spans="27:27" x14ac:dyDescent="0.3">
      <c r="AA2225" s="21"/>
    </row>
    <row r="2228" spans="27:27" x14ac:dyDescent="0.3">
      <c r="AA2228" s="21"/>
    </row>
    <row r="2229" spans="27:27" x14ac:dyDescent="0.3">
      <c r="AA2229" s="21"/>
    </row>
    <row r="2230" spans="27:27" x14ac:dyDescent="0.3">
      <c r="AA2230" s="21"/>
    </row>
    <row r="2231" spans="27:27" x14ac:dyDescent="0.3">
      <c r="AA2231" s="21"/>
    </row>
    <row r="2232" spans="27:27" x14ac:dyDescent="0.3">
      <c r="AA2232" s="21"/>
    </row>
    <row r="2233" spans="27:27" x14ac:dyDescent="0.3">
      <c r="AA2233" s="21"/>
    </row>
    <row r="2234" spans="27:27" x14ac:dyDescent="0.3">
      <c r="AA2234" s="21"/>
    </row>
    <row r="2235" spans="27:27" x14ac:dyDescent="0.3">
      <c r="AA2235" s="21"/>
    </row>
    <row r="2236" spans="27:27" x14ac:dyDescent="0.3">
      <c r="AA2236" s="21"/>
    </row>
    <row r="2237" spans="27:27" x14ac:dyDescent="0.3">
      <c r="AA2237" s="21"/>
    </row>
    <row r="2238" spans="27:27" x14ac:dyDescent="0.3">
      <c r="AA2238" s="21"/>
    </row>
    <row r="2239" spans="27:27" x14ac:dyDescent="0.3">
      <c r="AA2239" s="21"/>
    </row>
    <row r="2240" spans="27:27" x14ac:dyDescent="0.3">
      <c r="AA2240" s="21"/>
    </row>
    <row r="2241" spans="27:27" x14ac:dyDescent="0.3">
      <c r="AA2241" s="21"/>
    </row>
    <row r="2242" spans="27:27" x14ac:dyDescent="0.3">
      <c r="AA2242" s="21"/>
    </row>
    <row r="2243" spans="27:27" x14ac:dyDescent="0.3">
      <c r="AA2243" s="21"/>
    </row>
    <row r="2244" spans="27:27" x14ac:dyDescent="0.3">
      <c r="AA2244" s="21"/>
    </row>
    <row r="2245" spans="27:27" x14ac:dyDescent="0.3">
      <c r="AA2245" s="21"/>
    </row>
    <row r="2246" spans="27:27" x14ac:dyDescent="0.3">
      <c r="AA2246" s="21"/>
    </row>
    <row r="2247" spans="27:27" x14ac:dyDescent="0.3">
      <c r="AA2247" s="21"/>
    </row>
    <row r="2248" spans="27:27" x14ac:dyDescent="0.3">
      <c r="AA2248" s="21"/>
    </row>
    <row r="2249" spans="27:27" x14ac:dyDescent="0.3">
      <c r="AA2249" s="21"/>
    </row>
    <row r="2250" spans="27:27" x14ac:dyDescent="0.3">
      <c r="AA2250" s="21"/>
    </row>
    <row r="2251" spans="27:27" x14ac:dyDescent="0.3">
      <c r="AA2251" s="21"/>
    </row>
    <row r="2252" spans="27:27" x14ac:dyDescent="0.3">
      <c r="AA2252" s="21"/>
    </row>
    <row r="2253" spans="27:27" x14ac:dyDescent="0.3">
      <c r="AA2253" s="21"/>
    </row>
    <row r="2254" spans="27:27" x14ac:dyDescent="0.3">
      <c r="AA2254" s="21"/>
    </row>
    <row r="2255" spans="27:27" x14ac:dyDescent="0.3">
      <c r="AA2255" s="21"/>
    </row>
    <row r="2256" spans="27:27" x14ac:dyDescent="0.3">
      <c r="AA2256" s="21"/>
    </row>
    <row r="2257" spans="27:27" x14ac:dyDescent="0.3">
      <c r="AA2257" s="21"/>
    </row>
    <row r="2258" spans="27:27" x14ac:dyDescent="0.3">
      <c r="AA2258" s="21"/>
    </row>
    <row r="2259" spans="27:27" x14ac:dyDescent="0.3">
      <c r="AA2259" s="21"/>
    </row>
    <row r="2273" spans="27:27" x14ac:dyDescent="0.3">
      <c r="AA2273" s="21"/>
    </row>
    <row r="2274" spans="27:27" x14ac:dyDescent="0.3">
      <c r="AA2274" s="21"/>
    </row>
    <row r="2275" spans="27:27" x14ac:dyDescent="0.3">
      <c r="AA2275" s="21"/>
    </row>
    <row r="2276" spans="27:27" x14ac:dyDescent="0.3">
      <c r="AA2276" s="21"/>
    </row>
    <row r="2277" spans="27:27" x14ac:dyDescent="0.3">
      <c r="AA2277" s="21"/>
    </row>
    <row r="2278" spans="27:27" x14ac:dyDescent="0.3">
      <c r="AA2278" s="21"/>
    </row>
    <row r="2279" spans="27:27" x14ac:dyDescent="0.3">
      <c r="AA2279" s="21"/>
    </row>
    <row r="2280" spans="27:27" x14ac:dyDescent="0.3">
      <c r="AA2280" s="21"/>
    </row>
    <row r="2281" spans="27:27" x14ac:dyDescent="0.3">
      <c r="AA2281" s="21"/>
    </row>
    <row r="2282" spans="27:27" x14ac:dyDescent="0.3">
      <c r="AA2282" s="21"/>
    </row>
    <row r="2283" spans="27:27" x14ac:dyDescent="0.3">
      <c r="AA2283" s="21"/>
    </row>
    <row r="2284" spans="27:27" x14ac:dyDescent="0.3">
      <c r="AA2284" s="21"/>
    </row>
    <row r="2285" spans="27:27" x14ac:dyDescent="0.3">
      <c r="AA2285" s="21"/>
    </row>
    <row r="2286" spans="27:27" x14ac:dyDescent="0.3">
      <c r="AA2286" s="21"/>
    </row>
    <row r="2287" spans="27:27" x14ac:dyDescent="0.3">
      <c r="AA2287" s="21"/>
    </row>
    <row r="2288" spans="27:27" x14ac:dyDescent="0.3">
      <c r="AA2288" s="21"/>
    </row>
    <row r="2289" spans="27:27" x14ac:dyDescent="0.3">
      <c r="AA2289" s="21"/>
    </row>
    <row r="2290" spans="27:27" x14ac:dyDescent="0.3">
      <c r="AA2290" s="21"/>
    </row>
    <row r="2291" spans="27:27" x14ac:dyDescent="0.3">
      <c r="AA2291" s="21"/>
    </row>
    <row r="2292" spans="27:27" x14ac:dyDescent="0.3">
      <c r="AA2292" s="21"/>
    </row>
    <row r="2293" spans="27:27" x14ac:dyDescent="0.3">
      <c r="AA2293" s="21"/>
    </row>
    <row r="2294" spans="27:27" x14ac:dyDescent="0.3">
      <c r="AA2294" s="21"/>
    </row>
    <row r="2295" spans="27:27" x14ac:dyDescent="0.3">
      <c r="AA2295" s="21"/>
    </row>
    <row r="2296" spans="27:27" x14ac:dyDescent="0.3">
      <c r="AA2296" s="21"/>
    </row>
    <row r="2297" spans="27:27" x14ac:dyDescent="0.3">
      <c r="AA2297" s="21"/>
    </row>
    <row r="2298" spans="27:27" x14ac:dyDescent="0.3">
      <c r="AA2298" s="21"/>
    </row>
    <row r="2299" spans="27:27" x14ac:dyDescent="0.3">
      <c r="AA2299" s="21"/>
    </row>
    <row r="2300" spans="27:27" x14ac:dyDescent="0.3">
      <c r="AA2300" s="21"/>
    </row>
    <row r="2301" spans="27:27" x14ac:dyDescent="0.3">
      <c r="AA2301" s="21"/>
    </row>
    <row r="2305" spans="27:27" x14ac:dyDescent="0.3">
      <c r="AA2305" s="21"/>
    </row>
    <row r="2306" spans="27:27" x14ac:dyDescent="0.3">
      <c r="AA2306" s="21"/>
    </row>
    <row r="2307" spans="27:27" x14ac:dyDescent="0.3">
      <c r="AA2307" s="21"/>
    </row>
    <row r="2308" spans="27:27" x14ac:dyDescent="0.3">
      <c r="AA2308" s="21"/>
    </row>
    <row r="2309" spans="27:27" x14ac:dyDescent="0.3">
      <c r="AA2309" s="21"/>
    </row>
    <row r="2310" spans="27:27" x14ac:dyDescent="0.3">
      <c r="AA2310" s="21"/>
    </row>
    <row r="2311" spans="27:27" x14ac:dyDescent="0.3">
      <c r="AA2311" s="21"/>
    </row>
    <row r="2312" spans="27:27" x14ac:dyDescent="0.3">
      <c r="AA2312" s="21"/>
    </row>
    <row r="2313" spans="27:27" x14ac:dyDescent="0.3">
      <c r="AA2313" s="21"/>
    </row>
    <row r="2314" spans="27:27" x14ac:dyDescent="0.3">
      <c r="AA2314" s="21"/>
    </row>
    <row r="2315" spans="27:27" x14ac:dyDescent="0.3">
      <c r="AA2315" s="21"/>
    </row>
    <row r="2316" spans="27:27" x14ac:dyDescent="0.3">
      <c r="AA2316" s="21"/>
    </row>
    <row r="2317" spans="27:27" x14ac:dyDescent="0.3">
      <c r="AA2317" s="21"/>
    </row>
    <row r="2319" spans="27:27" x14ac:dyDescent="0.3">
      <c r="AA2319" s="21"/>
    </row>
    <row r="2320" spans="27:27" x14ac:dyDescent="0.3">
      <c r="AA2320" s="21"/>
    </row>
    <row r="2321" spans="27:27" x14ac:dyDescent="0.3">
      <c r="AA2321" s="21"/>
    </row>
    <row r="2322" spans="27:27" x14ac:dyDescent="0.3">
      <c r="AA2322" s="21"/>
    </row>
    <row r="2323" spans="27:27" x14ac:dyDescent="0.3">
      <c r="AA2323" s="21"/>
    </row>
    <row r="2324" spans="27:27" x14ac:dyDescent="0.3">
      <c r="AA2324" s="21"/>
    </row>
    <row r="2325" spans="27:27" x14ac:dyDescent="0.3">
      <c r="AA2325" s="21"/>
    </row>
    <row r="2326" spans="27:27" x14ac:dyDescent="0.3">
      <c r="AA2326" s="21"/>
    </row>
    <row r="2327" spans="27:27" x14ac:dyDescent="0.3">
      <c r="AA2327" s="21"/>
    </row>
    <row r="2328" spans="27:27" x14ac:dyDescent="0.3">
      <c r="AA2328" s="21"/>
    </row>
    <row r="2329" spans="27:27" x14ac:dyDescent="0.3">
      <c r="AA2329" s="21"/>
    </row>
    <row r="2330" spans="27:27" x14ac:dyDescent="0.3">
      <c r="AA2330" s="21"/>
    </row>
    <row r="2331" spans="27:27" x14ac:dyDescent="0.3">
      <c r="AA2331" s="21"/>
    </row>
    <row r="2332" spans="27:27" x14ac:dyDescent="0.3">
      <c r="AA2332" s="21"/>
    </row>
    <row r="2333" spans="27:27" x14ac:dyDescent="0.3">
      <c r="AA2333" s="21"/>
    </row>
    <row r="2334" spans="27:27" x14ac:dyDescent="0.3">
      <c r="AA2334" s="21"/>
    </row>
    <row r="2335" spans="27:27" x14ac:dyDescent="0.3">
      <c r="AA2335" s="21"/>
    </row>
    <row r="2336" spans="27:27" x14ac:dyDescent="0.3">
      <c r="AA2336" s="21"/>
    </row>
    <row r="2337" spans="27:27" x14ac:dyDescent="0.3">
      <c r="AA2337" s="21"/>
    </row>
    <row r="2338" spans="27:27" x14ac:dyDescent="0.3">
      <c r="AA2338" s="21"/>
    </row>
    <row r="2339" spans="27:27" x14ac:dyDescent="0.3">
      <c r="AA2339" s="21"/>
    </row>
    <row r="2340" spans="27:27" x14ac:dyDescent="0.3">
      <c r="AA2340" s="21"/>
    </row>
    <row r="2341" spans="27:27" x14ac:dyDescent="0.3">
      <c r="AA2341" s="21"/>
    </row>
    <row r="2342" spans="27:27" x14ac:dyDescent="0.3">
      <c r="AA2342" s="21"/>
    </row>
    <row r="2343" spans="27:27" x14ac:dyDescent="0.3">
      <c r="AA2343" s="21"/>
    </row>
    <row r="2344" spans="27:27" x14ac:dyDescent="0.3">
      <c r="AA2344" s="21"/>
    </row>
    <row r="2345" spans="27:27" x14ac:dyDescent="0.3">
      <c r="AA2345" s="21"/>
    </row>
    <row r="2346" spans="27:27" x14ac:dyDescent="0.3">
      <c r="AA2346" s="21"/>
    </row>
    <row r="2347" spans="27:27" x14ac:dyDescent="0.3">
      <c r="AA2347" s="21"/>
    </row>
    <row r="2350" spans="27:27" x14ac:dyDescent="0.3">
      <c r="AA2350" s="21"/>
    </row>
    <row r="2351" spans="27:27" x14ac:dyDescent="0.3">
      <c r="AA2351" s="21"/>
    </row>
    <row r="2352" spans="27:27" x14ac:dyDescent="0.3">
      <c r="AA2352" s="21"/>
    </row>
    <row r="2353" spans="27:27" x14ac:dyDescent="0.3">
      <c r="AA2353" s="21"/>
    </row>
    <row r="2354" spans="27:27" x14ac:dyDescent="0.3">
      <c r="AA2354" s="21"/>
    </row>
    <row r="2355" spans="27:27" x14ac:dyDescent="0.3">
      <c r="AA2355" s="21"/>
    </row>
    <row r="2356" spans="27:27" x14ac:dyDescent="0.3">
      <c r="AA2356" s="21"/>
    </row>
    <row r="2357" spans="27:27" x14ac:dyDescent="0.3">
      <c r="AA2357" s="21"/>
    </row>
    <row r="2358" spans="27:27" x14ac:dyDescent="0.3">
      <c r="AA2358" s="21"/>
    </row>
    <row r="2359" spans="27:27" x14ac:dyDescent="0.3">
      <c r="AA2359" s="21"/>
    </row>
    <row r="2360" spans="27:27" x14ac:dyDescent="0.3">
      <c r="AA2360" s="21"/>
    </row>
    <row r="2361" spans="27:27" x14ac:dyDescent="0.3">
      <c r="AA2361" s="21"/>
    </row>
    <row r="2362" spans="27:27" x14ac:dyDescent="0.3">
      <c r="AA2362" s="21"/>
    </row>
    <row r="2363" spans="27:27" x14ac:dyDescent="0.3">
      <c r="AA2363" s="21"/>
    </row>
    <row r="2364" spans="27:27" x14ac:dyDescent="0.3">
      <c r="AA2364" s="21"/>
    </row>
    <row r="2365" spans="27:27" x14ac:dyDescent="0.3">
      <c r="AA2365" s="21"/>
    </row>
    <row r="2366" spans="27:27" x14ac:dyDescent="0.3">
      <c r="AA2366" s="21"/>
    </row>
    <row r="2367" spans="27:27" x14ac:dyDescent="0.3">
      <c r="AA2367" s="21"/>
    </row>
    <row r="2368" spans="27:27" x14ac:dyDescent="0.3">
      <c r="AA2368" s="21"/>
    </row>
    <row r="2369" spans="27:27" x14ac:dyDescent="0.3">
      <c r="AA2369" s="21"/>
    </row>
    <row r="2370" spans="27:27" x14ac:dyDescent="0.3">
      <c r="AA2370" s="21"/>
    </row>
    <row r="2371" spans="27:27" x14ac:dyDescent="0.3">
      <c r="AA2371" s="21"/>
    </row>
    <row r="2372" spans="27:27" x14ac:dyDescent="0.3">
      <c r="AA2372" s="21"/>
    </row>
    <row r="2373" spans="27:27" x14ac:dyDescent="0.3">
      <c r="AA2373" s="21"/>
    </row>
    <row r="2374" spans="27:27" x14ac:dyDescent="0.3">
      <c r="AA2374" s="21"/>
    </row>
    <row r="2375" spans="27:27" x14ac:dyDescent="0.3">
      <c r="AA2375" s="21"/>
    </row>
    <row r="2376" spans="27:27" x14ac:dyDescent="0.3">
      <c r="AA2376" s="21"/>
    </row>
    <row r="2377" spans="27:27" x14ac:dyDescent="0.3">
      <c r="AA2377" s="21"/>
    </row>
    <row r="2378" spans="27:27" x14ac:dyDescent="0.3">
      <c r="AA2378" s="21"/>
    </row>
    <row r="2379" spans="27:27" x14ac:dyDescent="0.3">
      <c r="AA2379" s="21"/>
    </row>
    <row r="2380" spans="27:27" x14ac:dyDescent="0.3">
      <c r="AA2380" s="21"/>
    </row>
    <row r="2381" spans="27:27" x14ac:dyDescent="0.3">
      <c r="AA2381" s="21"/>
    </row>
    <row r="2382" spans="27:27" x14ac:dyDescent="0.3">
      <c r="AA2382" s="21"/>
    </row>
    <row r="2383" spans="27:27" x14ac:dyDescent="0.3">
      <c r="AA2383" s="21"/>
    </row>
    <row r="2384" spans="27:27" x14ac:dyDescent="0.3">
      <c r="AA2384" s="21"/>
    </row>
    <row r="2385" spans="27:27" x14ac:dyDescent="0.3">
      <c r="AA2385" s="21"/>
    </row>
    <row r="2386" spans="27:27" x14ac:dyDescent="0.3">
      <c r="AA2386" s="21"/>
    </row>
    <row r="2387" spans="27:27" x14ac:dyDescent="0.3">
      <c r="AA2387" s="21"/>
    </row>
    <row r="2388" spans="27:27" x14ac:dyDescent="0.3">
      <c r="AA2388" s="21"/>
    </row>
    <row r="2389" spans="27:27" x14ac:dyDescent="0.3">
      <c r="AA2389" s="21"/>
    </row>
    <row r="2390" spans="27:27" x14ac:dyDescent="0.3">
      <c r="AA2390" s="21"/>
    </row>
    <row r="2391" spans="27:27" x14ac:dyDescent="0.3">
      <c r="AA2391" s="21"/>
    </row>
    <row r="2392" spans="27:27" x14ac:dyDescent="0.3">
      <c r="AA2392" s="21"/>
    </row>
    <row r="2393" spans="27:27" x14ac:dyDescent="0.3">
      <c r="AA2393" s="21"/>
    </row>
    <row r="2394" spans="27:27" x14ac:dyDescent="0.3">
      <c r="AA2394" s="21"/>
    </row>
    <row r="2401" spans="27:27" x14ac:dyDescent="0.3">
      <c r="AA2401" s="21"/>
    </row>
    <row r="2402" spans="27:27" x14ac:dyDescent="0.3">
      <c r="AA2402" s="21"/>
    </row>
    <row r="2403" spans="27:27" x14ac:dyDescent="0.3">
      <c r="AA2403" s="21"/>
    </row>
    <row r="2404" spans="27:27" x14ac:dyDescent="0.3">
      <c r="AA2404" s="21"/>
    </row>
    <row r="2405" spans="27:27" x14ac:dyDescent="0.3">
      <c r="AA2405" s="21"/>
    </row>
    <row r="2406" spans="27:27" x14ac:dyDescent="0.3">
      <c r="AA2406" s="21"/>
    </row>
    <row r="2407" spans="27:27" x14ac:dyDescent="0.3">
      <c r="AA2407" s="21"/>
    </row>
    <row r="2408" spans="27:27" x14ac:dyDescent="0.3">
      <c r="AA2408" s="21"/>
    </row>
    <row r="2409" spans="27:27" x14ac:dyDescent="0.3">
      <c r="AA2409" s="21"/>
    </row>
    <row r="2410" spans="27:27" x14ac:dyDescent="0.3">
      <c r="AA2410" s="21"/>
    </row>
    <row r="2411" spans="27:27" x14ac:dyDescent="0.3">
      <c r="AA2411" s="21"/>
    </row>
    <row r="2412" spans="27:27" x14ac:dyDescent="0.3">
      <c r="AA2412" s="21"/>
    </row>
    <row r="2413" spans="27:27" x14ac:dyDescent="0.3">
      <c r="AA2413" s="21"/>
    </row>
    <row r="2414" spans="27:27" x14ac:dyDescent="0.3">
      <c r="AA2414" s="21"/>
    </row>
    <row r="2415" spans="27:27" x14ac:dyDescent="0.3">
      <c r="AA2415" s="21"/>
    </row>
    <row r="2416" spans="27:27" x14ac:dyDescent="0.3">
      <c r="AA2416" s="21"/>
    </row>
    <row r="2417" spans="27:27" x14ac:dyDescent="0.3">
      <c r="AA2417" s="21"/>
    </row>
    <row r="2418" spans="27:27" x14ac:dyDescent="0.3">
      <c r="AA2418" s="21"/>
    </row>
    <row r="2421" spans="27:27" x14ac:dyDescent="0.3">
      <c r="AA2421" s="21"/>
    </row>
    <row r="2422" spans="27:27" x14ac:dyDescent="0.3">
      <c r="AA2422" s="21"/>
    </row>
    <row r="2423" spans="27:27" x14ac:dyDescent="0.3">
      <c r="AA2423" s="21"/>
    </row>
    <row r="2424" spans="27:27" x14ac:dyDescent="0.3">
      <c r="AA2424" s="21"/>
    </row>
    <row r="2425" spans="27:27" x14ac:dyDescent="0.3">
      <c r="AA2425" s="21"/>
    </row>
    <row r="2428" spans="27:27" x14ac:dyDescent="0.3">
      <c r="AA2428" s="21"/>
    </row>
    <row r="2429" spans="27:27" x14ac:dyDescent="0.3">
      <c r="AA2429" s="21"/>
    </row>
    <row r="2430" spans="27:27" x14ac:dyDescent="0.3">
      <c r="AA2430" s="21"/>
    </row>
    <row r="2431" spans="27:27" x14ac:dyDescent="0.3">
      <c r="AA2431" s="21"/>
    </row>
    <row r="2432" spans="27:27" x14ac:dyDescent="0.3">
      <c r="AA2432" s="21"/>
    </row>
    <row r="2433" spans="27:27" x14ac:dyDescent="0.3">
      <c r="AA2433" s="21"/>
    </row>
    <row r="2434" spans="27:27" x14ac:dyDescent="0.3">
      <c r="AA2434" s="21"/>
    </row>
    <row r="2435" spans="27:27" x14ac:dyDescent="0.3">
      <c r="AA2435" s="21"/>
    </row>
    <row r="2436" spans="27:27" x14ac:dyDescent="0.3">
      <c r="AA2436" s="21"/>
    </row>
    <row r="2437" spans="27:27" x14ac:dyDescent="0.3">
      <c r="AA2437" s="21"/>
    </row>
    <row r="2438" spans="27:27" x14ac:dyDescent="0.3">
      <c r="AA2438" s="21"/>
    </row>
    <row r="2439" spans="27:27" x14ac:dyDescent="0.3">
      <c r="AA2439" s="21"/>
    </row>
    <row r="2441" spans="27:27" x14ac:dyDescent="0.3">
      <c r="AA2441" s="21"/>
    </row>
    <row r="2442" spans="27:27" x14ac:dyDescent="0.3">
      <c r="AA2442" s="21"/>
    </row>
    <row r="2443" spans="27:27" x14ac:dyDescent="0.3">
      <c r="AA2443" s="21"/>
    </row>
    <row r="2444" spans="27:27" x14ac:dyDescent="0.3">
      <c r="AA2444" s="21"/>
    </row>
    <row r="2445" spans="27:27" x14ac:dyDescent="0.3">
      <c r="AA2445" s="21"/>
    </row>
    <row r="2446" spans="27:27" x14ac:dyDescent="0.3">
      <c r="AA2446" s="21"/>
    </row>
    <row r="2447" spans="27:27" x14ac:dyDescent="0.3">
      <c r="AA2447" s="21"/>
    </row>
    <row r="2448" spans="27:27" x14ac:dyDescent="0.3">
      <c r="AA2448" s="21"/>
    </row>
    <row r="2449" spans="27:27" x14ac:dyDescent="0.3">
      <c r="AA2449" s="21"/>
    </row>
    <row r="2450" spans="27:27" x14ac:dyDescent="0.3">
      <c r="AA2450" s="21"/>
    </row>
    <row r="2451" spans="27:27" x14ac:dyDescent="0.3">
      <c r="AA2451" s="21"/>
    </row>
    <row r="2452" spans="27:27" x14ac:dyDescent="0.3">
      <c r="AA2452" s="21"/>
    </row>
    <row r="2453" spans="27:27" x14ac:dyDescent="0.3">
      <c r="AA2453" s="21"/>
    </row>
    <row r="2455" spans="27:27" x14ac:dyDescent="0.3">
      <c r="AA2455" s="21"/>
    </row>
    <row r="2456" spans="27:27" x14ac:dyDescent="0.3">
      <c r="AA2456" s="21"/>
    </row>
    <row r="2458" spans="27:27" x14ac:dyDescent="0.3">
      <c r="AA2458" s="21"/>
    </row>
    <row r="2459" spans="27:27" x14ac:dyDescent="0.3">
      <c r="AA2459" s="21"/>
    </row>
    <row r="2460" spans="27:27" x14ac:dyDescent="0.3">
      <c r="AA2460" s="21"/>
    </row>
    <row r="2461" spans="27:27" x14ac:dyDescent="0.3">
      <c r="AA2461" s="21"/>
    </row>
    <row r="2462" spans="27:27" x14ac:dyDescent="0.3">
      <c r="AA2462" s="21"/>
    </row>
    <row r="2463" spans="27:27" x14ac:dyDescent="0.3">
      <c r="AA2463" s="21"/>
    </row>
    <row r="2466" spans="27:27" x14ac:dyDescent="0.3">
      <c r="AA2466" s="21"/>
    </row>
    <row r="2469" spans="27:27" x14ac:dyDescent="0.3">
      <c r="AA2469" s="21"/>
    </row>
    <row r="2470" spans="27:27" x14ac:dyDescent="0.3">
      <c r="AA2470" s="21"/>
    </row>
    <row r="2471" spans="27:27" x14ac:dyDescent="0.3">
      <c r="AA2471" s="21"/>
    </row>
    <row r="2472" spans="27:27" x14ac:dyDescent="0.3">
      <c r="AA2472" s="21"/>
    </row>
    <row r="2473" spans="27:27" x14ac:dyDescent="0.3">
      <c r="AA2473" s="21"/>
    </row>
    <row r="2474" spans="27:27" x14ac:dyDescent="0.3">
      <c r="AA2474" s="21"/>
    </row>
    <row r="2475" spans="27:27" x14ac:dyDescent="0.3">
      <c r="AA2475" s="21"/>
    </row>
    <row r="2476" spans="27:27" x14ac:dyDescent="0.3">
      <c r="AA2476" s="21"/>
    </row>
    <row r="2477" spans="27:27" x14ac:dyDescent="0.3">
      <c r="AA2477" s="21"/>
    </row>
    <row r="2478" spans="27:27" x14ac:dyDescent="0.3">
      <c r="AA2478" s="21"/>
    </row>
    <row r="2479" spans="27:27" x14ac:dyDescent="0.3">
      <c r="AA2479" s="21"/>
    </row>
    <row r="2480" spans="27:27" x14ac:dyDescent="0.3">
      <c r="AA2480" s="21"/>
    </row>
    <row r="2481" spans="27:27" x14ac:dyDescent="0.3">
      <c r="AA2481" s="21"/>
    </row>
    <row r="2482" spans="27:27" x14ac:dyDescent="0.3">
      <c r="AA2482" s="21"/>
    </row>
    <row r="2483" spans="27:27" x14ac:dyDescent="0.3">
      <c r="AA2483" s="21"/>
    </row>
    <row r="2484" spans="27:27" x14ac:dyDescent="0.3">
      <c r="AA2484" s="21"/>
    </row>
    <row r="2485" spans="27:27" x14ac:dyDescent="0.3">
      <c r="AA2485" s="21"/>
    </row>
    <row r="2486" spans="27:27" x14ac:dyDescent="0.3">
      <c r="AA2486" s="21"/>
    </row>
    <row r="2487" spans="27:27" x14ac:dyDescent="0.3">
      <c r="AA2487" s="21"/>
    </row>
    <row r="2488" spans="27:27" x14ac:dyDescent="0.3">
      <c r="AA2488" s="21"/>
    </row>
    <row r="2489" spans="27:27" x14ac:dyDescent="0.3">
      <c r="AA2489" s="21"/>
    </row>
    <row r="2490" spans="27:27" x14ac:dyDescent="0.3">
      <c r="AA2490" s="21"/>
    </row>
    <row r="2491" spans="27:27" x14ac:dyDescent="0.3">
      <c r="AA2491" s="21"/>
    </row>
    <row r="2492" spans="27:27" x14ac:dyDescent="0.3">
      <c r="AA2492" s="21"/>
    </row>
    <row r="2493" spans="27:27" x14ac:dyDescent="0.3">
      <c r="AA2493" s="21"/>
    </row>
    <row r="2494" spans="27:27" x14ac:dyDescent="0.3">
      <c r="AA2494" s="21"/>
    </row>
    <row r="2495" spans="27:27" x14ac:dyDescent="0.3">
      <c r="AA2495" s="21"/>
    </row>
    <row r="2496" spans="27:27" x14ac:dyDescent="0.3">
      <c r="AA2496" s="21"/>
    </row>
    <row r="2497" spans="27:27" x14ac:dyDescent="0.3">
      <c r="AA2497" s="21"/>
    </row>
    <row r="2498" spans="27:27" x14ac:dyDescent="0.3">
      <c r="AA2498" s="21"/>
    </row>
    <row r="2499" spans="27:27" x14ac:dyDescent="0.3">
      <c r="AA2499" s="21"/>
    </row>
    <row r="2500" spans="27:27" x14ac:dyDescent="0.3">
      <c r="AA2500" s="21"/>
    </row>
    <row r="2501" spans="27:27" x14ac:dyDescent="0.3">
      <c r="AA2501" s="21"/>
    </row>
    <row r="2502" spans="27:27" x14ac:dyDescent="0.3">
      <c r="AA2502" s="21"/>
    </row>
    <row r="2503" spans="27:27" x14ac:dyDescent="0.3">
      <c r="AA2503" s="21"/>
    </row>
    <row r="2504" spans="27:27" x14ac:dyDescent="0.3">
      <c r="AA2504" s="21"/>
    </row>
    <row r="2505" spans="27:27" x14ac:dyDescent="0.3">
      <c r="AA2505" s="21"/>
    </row>
    <row r="2506" spans="27:27" x14ac:dyDescent="0.3">
      <c r="AA2506" s="21"/>
    </row>
    <row r="2507" spans="27:27" x14ac:dyDescent="0.3">
      <c r="AA2507" s="21"/>
    </row>
    <row r="2508" spans="27:27" x14ac:dyDescent="0.3">
      <c r="AA2508" s="21"/>
    </row>
    <row r="2509" spans="27:27" x14ac:dyDescent="0.3">
      <c r="AA2509" s="21"/>
    </row>
    <row r="2510" spans="27:27" x14ac:dyDescent="0.3">
      <c r="AA2510" s="21"/>
    </row>
    <row r="2511" spans="27:27" x14ac:dyDescent="0.3">
      <c r="AA2511" s="21"/>
    </row>
    <row r="2512" spans="27:27" x14ac:dyDescent="0.3">
      <c r="AA2512" s="21"/>
    </row>
    <row r="2513" spans="27:27" x14ac:dyDescent="0.3">
      <c r="AA2513" s="21"/>
    </row>
    <row r="2514" spans="27:27" x14ac:dyDescent="0.3">
      <c r="AA2514" s="21"/>
    </row>
    <row r="2515" spans="27:27" x14ac:dyDescent="0.3">
      <c r="AA2515" s="21"/>
    </row>
    <row r="2516" spans="27:27" x14ac:dyDescent="0.3">
      <c r="AA2516" s="21"/>
    </row>
    <row r="2517" spans="27:27" x14ac:dyDescent="0.3">
      <c r="AA2517" s="21"/>
    </row>
    <row r="2518" spans="27:27" x14ac:dyDescent="0.3">
      <c r="AA2518" s="21"/>
    </row>
    <row r="2519" spans="27:27" x14ac:dyDescent="0.3">
      <c r="AA2519" s="21"/>
    </row>
    <row r="2520" spans="27:27" x14ac:dyDescent="0.3">
      <c r="AA2520" s="21"/>
    </row>
    <row r="2521" spans="27:27" x14ac:dyDescent="0.3">
      <c r="AA2521" s="21"/>
    </row>
    <row r="2522" spans="27:27" x14ac:dyDescent="0.3">
      <c r="AA2522" s="21"/>
    </row>
    <row r="2523" spans="27:27" x14ac:dyDescent="0.3">
      <c r="AA2523" s="21"/>
    </row>
    <row r="2524" spans="27:27" x14ac:dyDescent="0.3">
      <c r="AA2524" s="21"/>
    </row>
    <row r="2525" spans="27:27" x14ac:dyDescent="0.3">
      <c r="AA2525" s="21"/>
    </row>
    <row r="2526" spans="27:27" x14ac:dyDescent="0.3">
      <c r="AA2526" s="21"/>
    </row>
    <row r="2527" spans="27:27" x14ac:dyDescent="0.3">
      <c r="AA2527" s="21"/>
    </row>
    <row r="2528" spans="27:27" x14ac:dyDescent="0.3">
      <c r="AA2528" s="21"/>
    </row>
    <row r="2529" spans="27:27" x14ac:dyDescent="0.3">
      <c r="AA2529" s="21"/>
    </row>
    <row r="2530" spans="27:27" x14ac:dyDescent="0.3">
      <c r="AA2530" s="21"/>
    </row>
    <row r="2531" spans="27:27" x14ac:dyDescent="0.3">
      <c r="AA2531" s="21"/>
    </row>
    <row r="2532" spans="27:27" x14ac:dyDescent="0.3">
      <c r="AA2532" s="21"/>
    </row>
    <row r="2533" spans="27:27" x14ac:dyDescent="0.3">
      <c r="AA2533" s="21"/>
    </row>
    <row r="2534" spans="27:27" x14ac:dyDescent="0.3">
      <c r="AA2534" s="21"/>
    </row>
    <row r="2535" spans="27:27" x14ac:dyDescent="0.3">
      <c r="AA2535" s="21"/>
    </row>
    <row r="2536" spans="27:27" x14ac:dyDescent="0.3">
      <c r="AA2536" s="21"/>
    </row>
    <row r="2537" spans="27:27" x14ac:dyDescent="0.3">
      <c r="AA2537" s="21"/>
    </row>
    <row r="2538" spans="27:27" x14ac:dyDescent="0.3">
      <c r="AA2538" s="21"/>
    </row>
    <row r="2539" spans="27:27" x14ac:dyDescent="0.3">
      <c r="AA2539" s="21"/>
    </row>
    <row r="2540" spans="27:27" x14ac:dyDescent="0.3">
      <c r="AA2540" s="21"/>
    </row>
    <row r="2541" spans="27:27" x14ac:dyDescent="0.3">
      <c r="AA2541" s="21"/>
    </row>
    <row r="2542" spans="27:27" x14ac:dyDescent="0.3">
      <c r="AA2542" s="21"/>
    </row>
    <row r="2543" spans="27:27" x14ac:dyDescent="0.3">
      <c r="AA2543" s="21"/>
    </row>
    <row r="2544" spans="27:27" x14ac:dyDescent="0.3">
      <c r="AA2544" s="21"/>
    </row>
    <row r="2545" spans="27:27" x14ac:dyDescent="0.3">
      <c r="AA2545" s="21"/>
    </row>
    <row r="2546" spans="27:27" x14ac:dyDescent="0.3">
      <c r="AA2546" s="21"/>
    </row>
    <row r="2547" spans="27:27" x14ac:dyDescent="0.3">
      <c r="AA2547" s="21"/>
    </row>
    <row r="2548" spans="27:27" x14ac:dyDescent="0.3">
      <c r="AA2548" s="21"/>
    </row>
    <row r="2549" spans="27:27" x14ac:dyDescent="0.3">
      <c r="AA2549" s="21"/>
    </row>
    <row r="2550" spans="27:27" x14ac:dyDescent="0.3">
      <c r="AA2550" s="21"/>
    </row>
    <row r="2551" spans="27:27" x14ac:dyDescent="0.3">
      <c r="AA2551" s="21"/>
    </row>
    <row r="2552" spans="27:27" x14ac:dyDescent="0.3">
      <c r="AA2552" s="21"/>
    </row>
    <row r="2553" spans="27:27" x14ac:dyDescent="0.3">
      <c r="AA2553" s="21"/>
    </row>
    <row r="2554" spans="27:27" x14ac:dyDescent="0.3">
      <c r="AA2554" s="21"/>
    </row>
    <row r="2555" spans="27:27" x14ac:dyDescent="0.3">
      <c r="AA2555" s="21"/>
    </row>
    <row r="2556" spans="27:27" x14ac:dyDescent="0.3">
      <c r="AA2556" s="21"/>
    </row>
    <row r="2557" spans="27:27" x14ac:dyDescent="0.3">
      <c r="AA2557" s="21"/>
    </row>
    <row r="2558" spans="27:27" x14ac:dyDescent="0.3">
      <c r="AA2558" s="21"/>
    </row>
    <row r="2559" spans="27:27" x14ac:dyDescent="0.3">
      <c r="AA2559" s="21"/>
    </row>
    <row r="2560" spans="27:27" x14ac:dyDescent="0.3">
      <c r="AA2560" s="21"/>
    </row>
    <row r="2561" spans="27:27" x14ac:dyDescent="0.3">
      <c r="AA2561" s="21"/>
    </row>
    <row r="2562" spans="27:27" x14ac:dyDescent="0.3">
      <c r="AA2562" s="21"/>
    </row>
    <row r="2563" spans="27:27" x14ac:dyDescent="0.3">
      <c r="AA2563" s="21"/>
    </row>
    <row r="2564" spans="27:27" x14ac:dyDescent="0.3">
      <c r="AA2564" s="21"/>
    </row>
  </sheetData>
  <autoFilter ref="Y1:AB1437" xr:uid="{5FA87E79-B954-42ED-AE19-6587A4255C7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BatchUpdateDropdownRefData">
                <anchor moveWithCells="1" sizeWithCells="1">
                  <from>
                    <xdr:col>30</xdr:col>
                    <xdr:colOff>0</xdr:colOff>
                    <xdr:row>2</xdr:row>
                    <xdr:rowOff>160020</xdr:rowOff>
                  </from>
                  <to>
                    <xdr:col>32</xdr:col>
                    <xdr:colOff>464820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TestExportAllModules">
                <anchor moveWithCells="1" sizeWithCells="1">
                  <from>
                    <xdr:col>16</xdr:col>
                    <xdr:colOff>312420</xdr:colOff>
                    <xdr:row>11</xdr:row>
                    <xdr:rowOff>45720</xdr:rowOff>
                  </from>
                  <to>
                    <xdr:col>17</xdr:col>
                    <xdr:colOff>502920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CFF1A-57F3-4B16-821B-CEA564F03534}">
  <sheetPr codeName="Sheet2"/>
  <dimension ref="A1:I332"/>
  <sheetViews>
    <sheetView zoomScale="70" zoomScaleNormal="70" workbookViewId="0">
      <selection activeCell="D32" sqref="A1:I332"/>
    </sheetView>
  </sheetViews>
  <sheetFormatPr defaultColWidth="27.44140625" defaultRowHeight="14.4" x14ac:dyDescent="0.3"/>
  <cols>
    <col min="1" max="1" width="47.77734375" customWidth="1"/>
    <col min="2" max="2" width="15.21875" style="2" customWidth="1"/>
    <col min="3" max="3" width="15" style="2" bestFit="1" customWidth="1"/>
    <col min="4" max="4" width="11.21875" customWidth="1"/>
    <col min="5" max="5" width="10.77734375" bestFit="1" customWidth="1"/>
    <col min="6" max="6" width="9.21875" bestFit="1" customWidth="1"/>
    <col min="7" max="7" width="35.44140625" customWidth="1"/>
    <col min="8" max="8" width="36.77734375" customWidth="1"/>
    <col min="9" max="9" width="27.44140625" style="5"/>
  </cols>
  <sheetData>
    <row r="1" spans="1:9" s="3" customFormat="1" x14ac:dyDescent="0.3">
      <c r="A1"/>
      <c r="B1"/>
      <c r="C1"/>
      <c r="F1"/>
      <c r="G1"/>
      <c r="H1"/>
      <c r="I1" s="4"/>
    </row>
    <row r="2" spans="1:9" x14ac:dyDescent="0.3">
      <c r="H2" s="1"/>
      <c r="I2"/>
    </row>
    <row r="3" spans="1:9" x14ac:dyDescent="0.3">
      <c r="H3" s="1"/>
      <c r="I3"/>
    </row>
    <row r="4" spans="1:9" x14ac:dyDescent="0.3">
      <c r="H4" s="1"/>
      <c r="I4"/>
    </row>
    <row r="5" spans="1:9" x14ac:dyDescent="0.3">
      <c r="H5" s="1"/>
      <c r="I5"/>
    </row>
    <row r="6" spans="1:9" x14ac:dyDescent="0.3">
      <c r="H6" s="1"/>
      <c r="I6"/>
    </row>
    <row r="7" spans="1:9" x14ac:dyDescent="0.3">
      <c r="H7" s="1"/>
      <c r="I7"/>
    </row>
    <row r="8" spans="1:9" x14ac:dyDescent="0.3">
      <c r="H8" s="1"/>
      <c r="I8"/>
    </row>
    <row r="9" spans="1:9" x14ac:dyDescent="0.3">
      <c r="H9" s="1"/>
      <c r="I9"/>
    </row>
    <row r="10" spans="1:9" x14ac:dyDescent="0.3">
      <c r="H10" s="1"/>
      <c r="I10"/>
    </row>
    <row r="11" spans="1:9" x14ac:dyDescent="0.3">
      <c r="H11" s="1"/>
      <c r="I11"/>
    </row>
    <row r="12" spans="1:9" x14ac:dyDescent="0.3">
      <c r="H12" s="1"/>
      <c r="I12"/>
    </row>
    <row r="13" spans="1:9" x14ac:dyDescent="0.3">
      <c r="H13" s="1"/>
      <c r="I13"/>
    </row>
    <row r="14" spans="1:9" x14ac:dyDescent="0.3">
      <c r="H14" s="1"/>
      <c r="I14"/>
    </row>
    <row r="15" spans="1:9" x14ac:dyDescent="0.3">
      <c r="H15" s="1"/>
      <c r="I15"/>
    </row>
    <row r="16" spans="1:9" x14ac:dyDescent="0.3">
      <c r="H16" s="1"/>
      <c r="I16"/>
    </row>
    <row r="17" spans="8:9" x14ac:dyDescent="0.3">
      <c r="H17" s="1"/>
      <c r="I17"/>
    </row>
    <row r="18" spans="8:9" x14ac:dyDescent="0.3">
      <c r="H18" s="1"/>
      <c r="I18"/>
    </row>
    <row r="19" spans="8:9" x14ac:dyDescent="0.3">
      <c r="H19" s="1"/>
      <c r="I19"/>
    </row>
    <row r="20" spans="8:9" x14ac:dyDescent="0.3">
      <c r="H20" s="1"/>
      <c r="I20"/>
    </row>
    <row r="21" spans="8:9" x14ac:dyDescent="0.3">
      <c r="H21" s="1"/>
      <c r="I21"/>
    </row>
    <row r="22" spans="8:9" x14ac:dyDescent="0.3">
      <c r="H22" s="1"/>
      <c r="I22"/>
    </row>
    <row r="23" spans="8:9" x14ac:dyDescent="0.3">
      <c r="H23" s="1"/>
      <c r="I23"/>
    </row>
    <row r="24" spans="8:9" x14ac:dyDescent="0.3">
      <c r="H24" s="1"/>
      <c r="I24"/>
    </row>
    <row r="25" spans="8:9" x14ac:dyDescent="0.3">
      <c r="H25" s="1"/>
      <c r="I25"/>
    </row>
    <row r="26" spans="8:9" x14ac:dyDescent="0.3">
      <c r="H26" s="1"/>
      <c r="I26"/>
    </row>
    <row r="27" spans="8:9" x14ac:dyDescent="0.3">
      <c r="H27" s="1"/>
      <c r="I27"/>
    </row>
    <row r="28" spans="8:9" x14ac:dyDescent="0.3">
      <c r="H28" s="1"/>
      <c r="I28"/>
    </row>
    <row r="29" spans="8:9" x14ac:dyDescent="0.3">
      <c r="H29" s="1"/>
      <c r="I29"/>
    </row>
    <row r="30" spans="8:9" x14ac:dyDescent="0.3">
      <c r="H30" s="1"/>
      <c r="I30"/>
    </row>
    <row r="31" spans="8:9" x14ac:dyDescent="0.3">
      <c r="H31" s="1"/>
      <c r="I31"/>
    </row>
    <row r="32" spans="8:9" x14ac:dyDescent="0.3">
      <c r="H32" s="1"/>
      <c r="I32"/>
    </row>
    <row r="33" spans="8:9" x14ac:dyDescent="0.3">
      <c r="H33" s="1"/>
      <c r="I33"/>
    </row>
    <row r="34" spans="8:9" x14ac:dyDescent="0.3">
      <c r="H34" s="1"/>
      <c r="I34"/>
    </row>
    <row r="35" spans="8:9" x14ac:dyDescent="0.3">
      <c r="H35" s="1"/>
      <c r="I35"/>
    </row>
    <row r="36" spans="8:9" x14ac:dyDescent="0.3">
      <c r="H36" s="1"/>
      <c r="I36"/>
    </row>
    <row r="37" spans="8:9" x14ac:dyDescent="0.3">
      <c r="H37" s="1"/>
      <c r="I37"/>
    </row>
    <row r="38" spans="8:9" x14ac:dyDescent="0.3">
      <c r="H38" s="1"/>
      <c r="I38"/>
    </row>
    <row r="39" spans="8:9" x14ac:dyDescent="0.3">
      <c r="H39" s="1"/>
      <c r="I39"/>
    </row>
    <row r="40" spans="8:9" x14ac:dyDescent="0.3">
      <c r="H40" s="1"/>
      <c r="I40"/>
    </row>
    <row r="41" spans="8:9" x14ac:dyDescent="0.3">
      <c r="H41" s="1"/>
      <c r="I41"/>
    </row>
    <row r="42" spans="8:9" x14ac:dyDescent="0.3">
      <c r="H42" s="1"/>
      <c r="I42"/>
    </row>
    <row r="43" spans="8:9" x14ac:dyDescent="0.3">
      <c r="H43" s="1"/>
      <c r="I43"/>
    </row>
    <row r="44" spans="8:9" x14ac:dyDescent="0.3">
      <c r="H44" s="1"/>
      <c r="I44"/>
    </row>
    <row r="45" spans="8:9" x14ac:dyDescent="0.3">
      <c r="H45" s="1"/>
      <c r="I45"/>
    </row>
    <row r="46" spans="8:9" x14ac:dyDescent="0.3">
      <c r="H46" s="1"/>
      <c r="I46"/>
    </row>
    <row r="47" spans="8:9" x14ac:dyDescent="0.3">
      <c r="H47" s="1"/>
      <c r="I47"/>
    </row>
    <row r="48" spans="8:9" x14ac:dyDescent="0.3">
      <c r="H48" s="1"/>
      <c r="I48"/>
    </row>
    <row r="49" spans="8:9" x14ac:dyDescent="0.3">
      <c r="H49" s="1"/>
      <c r="I49"/>
    </row>
    <row r="50" spans="8:9" x14ac:dyDescent="0.3">
      <c r="H50" s="1"/>
      <c r="I50"/>
    </row>
    <row r="51" spans="8:9" x14ac:dyDescent="0.3">
      <c r="H51" s="1"/>
      <c r="I51"/>
    </row>
    <row r="52" spans="8:9" x14ac:dyDescent="0.3">
      <c r="H52" s="1"/>
      <c r="I52"/>
    </row>
    <row r="53" spans="8:9" x14ac:dyDescent="0.3">
      <c r="H53" s="1"/>
      <c r="I53"/>
    </row>
    <row r="54" spans="8:9" x14ac:dyDescent="0.3">
      <c r="H54" s="1"/>
      <c r="I54"/>
    </row>
    <row r="55" spans="8:9" x14ac:dyDescent="0.3">
      <c r="H55" s="1"/>
      <c r="I55"/>
    </row>
    <row r="56" spans="8:9" x14ac:dyDescent="0.3">
      <c r="H56" s="1"/>
      <c r="I56"/>
    </row>
    <row r="57" spans="8:9" x14ac:dyDescent="0.3">
      <c r="H57" s="1"/>
      <c r="I57"/>
    </row>
    <row r="58" spans="8:9" x14ac:dyDescent="0.3">
      <c r="H58" s="1"/>
      <c r="I58"/>
    </row>
    <row r="59" spans="8:9" x14ac:dyDescent="0.3">
      <c r="H59" s="1"/>
      <c r="I59"/>
    </row>
    <row r="60" spans="8:9" x14ac:dyDescent="0.3">
      <c r="H60" s="1"/>
      <c r="I60"/>
    </row>
    <row r="61" spans="8:9" x14ac:dyDescent="0.3">
      <c r="H61" s="1"/>
      <c r="I61"/>
    </row>
    <row r="62" spans="8:9" x14ac:dyDescent="0.3">
      <c r="H62" s="1"/>
      <c r="I62"/>
    </row>
    <row r="63" spans="8:9" x14ac:dyDescent="0.3">
      <c r="H63" s="1"/>
      <c r="I63"/>
    </row>
    <row r="64" spans="8:9" x14ac:dyDescent="0.3">
      <c r="H64" s="1"/>
      <c r="I64"/>
    </row>
    <row r="65" spans="8:9" x14ac:dyDescent="0.3">
      <c r="H65" s="1"/>
      <c r="I65"/>
    </row>
    <row r="66" spans="8:9" x14ac:dyDescent="0.3">
      <c r="H66" s="1"/>
      <c r="I66"/>
    </row>
    <row r="67" spans="8:9" x14ac:dyDescent="0.3">
      <c r="H67" s="1"/>
      <c r="I67"/>
    </row>
    <row r="68" spans="8:9" x14ac:dyDescent="0.3">
      <c r="H68" s="1"/>
      <c r="I68"/>
    </row>
    <row r="69" spans="8:9" x14ac:dyDescent="0.3">
      <c r="H69" s="1"/>
      <c r="I69"/>
    </row>
    <row r="70" spans="8:9" x14ac:dyDescent="0.3">
      <c r="H70" s="1"/>
      <c r="I70"/>
    </row>
    <row r="71" spans="8:9" x14ac:dyDescent="0.3">
      <c r="H71" s="1"/>
      <c r="I71"/>
    </row>
    <row r="72" spans="8:9" x14ac:dyDescent="0.3">
      <c r="H72" s="1"/>
      <c r="I72"/>
    </row>
    <row r="73" spans="8:9" x14ac:dyDescent="0.3">
      <c r="H73" s="1"/>
      <c r="I73"/>
    </row>
    <row r="74" spans="8:9" x14ac:dyDescent="0.3">
      <c r="H74" s="1"/>
      <c r="I74"/>
    </row>
    <row r="75" spans="8:9" x14ac:dyDescent="0.3">
      <c r="H75" s="1"/>
      <c r="I75"/>
    </row>
    <row r="76" spans="8:9" x14ac:dyDescent="0.3">
      <c r="H76" s="1"/>
      <c r="I76"/>
    </row>
    <row r="77" spans="8:9" x14ac:dyDescent="0.3">
      <c r="H77" s="1"/>
      <c r="I77"/>
    </row>
    <row r="78" spans="8:9" x14ac:dyDescent="0.3">
      <c r="H78" s="1"/>
      <c r="I78"/>
    </row>
    <row r="79" spans="8:9" x14ac:dyDescent="0.3">
      <c r="H79" s="1"/>
      <c r="I79"/>
    </row>
    <row r="80" spans="8:9" x14ac:dyDescent="0.3">
      <c r="H80" s="1"/>
      <c r="I80"/>
    </row>
    <row r="81" spans="8:9" x14ac:dyDescent="0.3">
      <c r="H81" s="1"/>
      <c r="I81"/>
    </row>
    <row r="82" spans="8:9" x14ac:dyDescent="0.3">
      <c r="H82" s="1"/>
      <c r="I82"/>
    </row>
    <row r="83" spans="8:9" x14ac:dyDescent="0.3">
      <c r="H83" s="1"/>
      <c r="I83"/>
    </row>
    <row r="84" spans="8:9" x14ac:dyDescent="0.3">
      <c r="H84" s="1"/>
      <c r="I84"/>
    </row>
    <row r="85" spans="8:9" x14ac:dyDescent="0.3">
      <c r="H85" s="1"/>
      <c r="I85"/>
    </row>
    <row r="86" spans="8:9" x14ac:dyDescent="0.3">
      <c r="H86" s="1"/>
      <c r="I86"/>
    </row>
    <row r="87" spans="8:9" x14ac:dyDescent="0.3">
      <c r="H87" s="1"/>
      <c r="I87"/>
    </row>
    <row r="88" spans="8:9" x14ac:dyDescent="0.3">
      <c r="H88" s="1"/>
      <c r="I88"/>
    </row>
    <row r="89" spans="8:9" x14ac:dyDescent="0.3">
      <c r="H89" s="1"/>
      <c r="I89"/>
    </row>
    <row r="90" spans="8:9" x14ac:dyDescent="0.3">
      <c r="H90" s="1"/>
      <c r="I90"/>
    </row>
    <row r="91" spans="8:9" x14ac:dyDescent="0.3">
      <c r="H91" s="1"/>
      <c r="I91"/>
    </row>
    <row r="92" spans="8:9" x14ac:dyDescent="0.3">
      <c r="H92" s="1"/>
      <c r="I92"/>
    </row>
    <row r="93" spans="8:9" x14ac:dyDescent="0.3">
      <c r="H93" s="1"/>
      <c r="I93"/>
    </row>
    <row r="94" spans="8:9" x14ac:dyDescent="0.3">
      <c r="H94" s="1"/>
      <c r="I94"/>
    </row>
    <row r="95" spans="8:9" x14ac:dyDescent="0.3">
      <c r="H95" s="1"/>
      <c r="I95"/>
    </row>
    <row r="96" spans="8:9" x14ac:dyDescent="0.3">
      <c r="H96" s="1"/>
      <c r="I96"/>
    </row>
    <row r="97" spans="8:9" x14ac:dyDescent="0.3">
      <c r="H97" s="1"/>
      <c r="I97"/>
    </row>
    <row r="98" spans="8:9" x14ac:dyDescent="0.3">
      <c r="H98" s="1"/>
      <c r="I98"/>
    </row>
    <row r="99" spans="8:9" x14ac:dyDescent="0.3">
      <c r="H99" s="1"/>
      <c r="I99"/>
    </row>
    <row r="100" spans="8:9" x14ac:dyDescent="0.3">
      <c r="H100" s="1"/>
      <c r="I100"/>
    </row>
    <row r="101" spans="8:9" x14ac:dyDescent="0.3">
      <c r="H101" s="1"/>
      <c r="I101"/>
    </row>
    <row r="102" spans="8:9" x14ac:dyDescent="0.3">
      <c r="H102" s="1"/>
      <c r="I102"/>
    </row>
    <row r="103" spans="8:9" x14ac:dyDescent="0.3">
      <c r="H103" s="1"/>
      <c r="I103"/>
    </row>
    <row r="104" spans="8:9" x14ac:dyDescent="0.3">
      <c r="H104" s="1"/>
      <c r="I104"/>
    </row>
    <row r="105" spans="8:9" x14ac:dyDescent="0.3">
      <c r="H105" s="1"/>
      <c r="I105"/>
    </row>
    <row r="106" spans="8:9" x14ac:dyDescent="0.3">
      <c r="H106" s="1"/>
      <c r="I106"/>
    </row>
    <row r="107" spans="8:9" x14ac:dyDescent="0.3">
      <c r="H107" s="1"/>
      <c r="I107"/>
    </row>
    <row r="108" spans="8:9" x14ac:dyDescent="0.3">
      <c r="H108" s="1"/>
      <c r="I108"/>
    </row>
    <row r="109" spans="8:9" x14ac:dyDescent="0.3">
      <c r="H109" s="1"/>
      <c r="I109"/>
    </row>
    <row r="110" spans="8:9" x14ac:dyDescent="0.3">
      <c r="H110" s="1"/>
      <c r="I110"/>
    </row>
    <row r="111" spans="8:9" x14ac:dyDescent="0.3">
      <c r="H111" s="1"/>
      <c r="I111"/>
    </row>
    <row r="112" spans="8:9" x14ac:dyDescent="0.3">
      <c r="H112" s="1"/>
      <c r="I112"/>
    </row>
    <row r="113" spans="8:9" x14ac:dyDescent="0.3">
      <c r="H113" s="1"/>
      <c r="I113"/>
    </row>
    <row r="114" spans="8:9" x14ac:dyDescent="0.3">
      <c r="H114" s="1"/>
      <c r="I114"/>
    </row>
    <row r="115" spans="8:9" x14ac:dyDescent="0.3">
      <c r="H115" s="1"/>
      <c r="I115"/>
    </row>
    <row r="116" spans="8:9" x14ac:dyDescent="0.3">
      <c r="H116" s="1"/>
      <c r="I116"/>
    </row>
    <row r="117" spans="8:9" x14ac:dyDescent="0.3">
      <c r="H117" s="1"/>
      <c r="I117"/>
    </row>
    <row r="118" spans="8:9" x14ac:dyDescent="0.3">
      <c r="H118" s="1"/>
      <c r="I118"/>
    </row>
    <row r="119" spans="8:9" x14ac:dyDescent="0.3">
      <c r="H119" s="1"/>
      <c r="I119"/>
    </row>
    <row r="120" spans="8:9" x14ac:dyDescent="0.3">
      <c r="H120" s="1"/>
      <c r="I120"/>
    </row>
    <row r="121" spans="8:9" x14ac:dyDescent="0.3">
      <c r="H121" s="1"/>
      <c r="I121"/>
    </row>
    <row r="122" spans="8:9" x14ac:dyDescent="0.3">
      <c r="H122" s="1"/>
      <c r="I122"/>
    </row>
    <row r="123" spans="8:9" x14ac:dyDescent="0.3">
      <c r="H123" s="1"/>
      <c r="I123"/>
    </row>
    <row r="124" spans="8:9" x14ac:dyDescent="0.3">
      <c r="H124" s="1"/>
      <c r="I124"/>
    </row>
    <row r="125" spans="8:9" x14ac:dyDescent="0.3">
      <c r="H125" s="1"/>
      <c r="I125"/>
    </row>
    <row r="126" spans="8:9" x14ac:dyDescent="0.3">
      <c r="H126" s="1"/>
      <c r="I126"/>
    </row>
    <row r="127" spans="8:9" x14ac:dyDescent="0.3">
      <c r="H127" s="1"/>
      <c r="I127"/>
    </row>
    <row r="128" spans="8:9" x14ac:dyDescent="0.3">
      <c r="H128" s="1"/>
      <c r="I128"/>
    </row>
    <row r="129" spans="8:9" x14ac:dyDescent="0.3">
      <c r="H129" s="1"/>
      <c r="I129"/>
    </row>
    <row r="130" spans="8:9" x14ac:dyDescent="0.3">
      <c r="H130" s="1"/>
      <c r="I130"/>
    </row>
    <row r="131" spans="8:9" x14ac:dyDescent="0.3">
      <c r="H131" s="1"/>
      <c r="I131"/>
    </row>
    <row r="132" spans="8:9" x14ac:dyDescent="0.3">
      <c r="H132" s="1"/>
      <c r="I132"/>
    </row>
    <row r="133" spans="8:9" x14ac:dyDescent="0.3">
      <c r="H133" s="1"/>
      <c r="I133"/>
    </row>
    <row r="134" spans="8:9" x14ac:dyDescent="0.3">
      <c r="H134" s="1"/>
      <c r="I134"/>
    </row>
    <row r="135" spans="8:9" x14ac:dyDescent="0.3">
      <c r="H135" s="1"/>
      <c r="I135"/>
    </row>
    <row r="136" spans="8:9" x14ac:dyDescent="0.3">
      <c r="H136" s="1"/>
      <c r="I136"/>
    </row>
    <row r="137" spans="8:9" x14ac:dyDescent="0.3">
      <c r="H137" s="1"/>
      <c r="I137"/>
    </row>
    <row r="138" spans="8:9" x14ac:dyDescent="0.3">
      <c r="H138" s="1"/>
      <c r="I138"/>
    </row>
    <row r="139" spans="8:9" x14ac:dyDescent="0.3">
      <c r="H139" s="1"/>
      <c r="I139"/>
    </row>
    <row r="140" spans="8:9" x14ac:dyDescent="0.3">
      <c r="H140" s="1"/>
      <c r="I140"/>
    </row>
    <row r="141" spans="8:9" x14ac:dyDescent="0.3">
      <c r="H141" s="1"/>
      <c r="I141"/>
    </row>
    <row r="142" spans="8:9" x14ac:dyDescent="0.3">
      <c r="H142" s="1"/>
      <c r="I142"/>
    </row>
    <row r="143" spans="8:9" x14ac:dyDescent="0.3">
      <c r="H143" s="1"/>
      <c r="I143"/>
    </row>
    <row r="144" spans="8:9" x14ac:dyDescent="0.3">
      <c r="H144" s="1"/>
      <c r="I144"/>
    </row>
    <row r="145" spans="8:9" x14ac:dyDescent="0.3">
      <c r="H145" s="1"/>
      <c r="I145"/>
    </row>
    <row r="146" spans="8:9" x14ac:dyDescent="0.3">
      <c r="H146" s="1"/>
      <c r="I146"/>
    </row>
    <row r="147" spans="8:9" x14ac:dyDescent="0.3">
      <c r="H147" s="1"/>
      <c r="I147"/>
    </row>
    <row r="148" spans="8:9" x14ac:dyDescent="0.3">
      <c r="H148" s="1"/>
      <c r="I148"/>
    </row>
    <row r="149" spans="8:9" x14ac:dyDescent="0.3">
      <c r="H149" s="1"/>
      <c r="I149"/>
    </row>
    <row r="150" spans="8:9" x14ac:dyDescent="0.3">
      <c r="H150" s="1"/>
      <c r="I150"/>
    </row>
    <row r="151" spans="8:9" x14ac:dyDescent="0.3">
      <c r="H151" s="1"/>
      <c r="I151"/>
    </row>
    <row r="152" spans="8:9" x14ac:dyDescent="0.3">
      <c r="H152" s="1"/>
      <c r="I152"/>
    </row>
    <row r="153" spans="8:9" x14ac:dyDescent="0.3">
      <c r="H153" s="1"/>
      <c r="I153"/>
    </row>
    <row r="154" spans="8:9" x14ac:dyDescent="0.3">
      <c r="H154" s="1"/>
      <c r="I154"/>
    </row>
    <row r="155" spans="8:9" x14ac:dyDescent="0.3">
      <c r="H155" s="1"/>
      <c r="I155"/>
    </row>
    <row r="156" spans="8:9" x14ac:dyDescent="0.3">
      <c r="H156" s="1"/>
      <c r="I156"/>
    </row>
    <row r="157" spans="8:9" x14ac:dyDescent="0.3">
      <c r="H157" s="1"/>
      <c r="I157"/>
    </row>
    <row r="158" spans="8:9" x14ac:dyDescent="0.3">
      <c r="H158" s="1"/>
      <c r="I158"/>
    </row>
    <row r="159" spans="8:9" x14ac:dyDescent="0.3">
      <c r="H159" s="1"/>
      <c r="I159"/>
    </row>
    <row r="160" spans="8:9" x14ac:dyDescent="0.3">
      <c r="H160" s="1"/>
      <c r="I160"/>
    </row>
    <row r="161" spans="8:9" x14ac:dyDescent="0.3">
      <c r="H161" s="1"/>
      <c r="I161"/>
    </row>
    <row r="162" spans="8:9" x14ac:dyDescent="0.3">
      <c r="H162" s="1"/>
      <c r="I162"/>
    </row>
    <row r="163" spans="8:9" x14ac:dyDescent="0.3">
      <c r="H163" s="1"/>
      <c r="I163"/>
    </row>
    <row r="164" spans="8:9" x14ac:dyDescent="0.3">
      <c r="H164" s="1"/>
      <c r="I164"/>
    </row>
    <row r="165" spans="8:9" x14ac:dyDescent="0.3">
      <c r="H165" s="1"/>
      <c r="I165"/>
    </row>
    <row r="166" spans="8:9" x14ac:dyDescent="0.3">
      <c r="H166" s="1"/>
      <c r="I166"/>
    </row>
    <row r="167" spans="8:9" x14ac:dyDescent="0.3">
      <c r="H167" s="1"/>
      <c r="I167"/>
    </row>
    <row r="168" spans="8:9" x14ac:dyDescent="0.3">
      <c r="H168" s="1"/>
      <c r="I168"/>
    </row>
    <row r="169" spans="8:9" x14ac:dyDescent="0.3">
      <c r="H169" s="1"/>
      <c r="I169"/>
    </row>
    <row r="170" spans="8:9" x14ac:dyDescent="0.3">
      <c r="H170" s="1"/>
      <c r="I170"/>
    </row>
    <row r="171" spans="8:9" x14ac:dyDescent="0.3">
      <c r="H171" s="1"/>
      <c r="I171"/>
    </row>
    <row r="172" spans="8:9" x14ac:dyDescent="0.3">
      <c r="H172" s="1"/>
      <c r="I172"/>
    </row>
    <row r="173" spans="8:9" x14ac:dyDescent="0.3">
      <c r="H173" s="1"/>
      <c r="I173"/>
    </row>
    <row r="174" spans="8:9" x14ac:dyDescent="0.3">
      <c r="H174" s="1"/>
      <c r="I174"/>
    </row>
    <row r="175" spans="8:9" x14ac:dyDescent="0.3">
      <c r="H175" s="1"/>
      <c r="I175"/>
    </row>
    <row r="176" spans="8:9" x14ac:dyDescent="0.3">
      <c r="H176" s="1"/>
      <c r="I176"/>
    </row>
    <row r="177" spans="8:9" x14ac:dyDescent="0.3">
      <c r="H177" s="1"/>
      <c r="I177"/>
    </row>
    <row r="178" spans="8:9" x14ac:dyDescent="0.3">
      <c r="H178" s="1"/>
      <c r="I178"/>
    </row>
    <row r="179" spans="8:9" x14ac:dyDescent="0.3">
      <c r="H179" s="1"/>
      <c r="I179"/>
    </row>
    <row r="180" spans="8:9" x14ac:dyDescent="0.3">
      <c r="H180" s="1"/>
      <c r="I180"/>
    </row>
    <row r="181" spans="8:9" x14ac:dyDescent="0.3">
      <c r="H181" s="1"/>
      <c r="I181"/>
    </row>
    <row r="182" spans="8:9" x14ac:dyDescent="0.3">
      <c r="H182" s="1"/>
      <c r="I182"/>
    </row>
    <row r="183" spans="8:9" x14ac:dyDescent="0.3">
      <c r="H183" s="1"/>
      <c r="I183"/>
    </row>
    <row r="184" spans="8:9" x14ac:dyDescent="0.3">
      <c r="H184" s="1"/>
      <c r="I184"/>
    </row>
    <row r="185" spans="8:9" x14ac:dyDescent="0.3">
      <c r="H185" s="1"/>
      <c r="I185"/>
    </row>
    <row r="186" spans="8:9" x14ac:dyDescent="0.3">
      <c r="H186" s="1"/>
      <c r="I186"/>
    </row>
    <row r="187" spans="8:9" x14ac:dyDescent="0.3">
      <c r="H187" s="1"/>
      <c r="I187"/>
    </row>
    <row r="188" spans="8:9" x14ac:dyDescent="0.3">
      <c r="H188" s="1"/>
      <c r="I188"/>
    </row>
    <row r="189" spans="8:9" x14ac:dyDescent="0.3">
      <c r="H189" s="1"/>
      <c r="I189"/>
    </row>
    <row r="190" spans="8:9" x14ac:dyDescent="0.3">
      <c r="H190" s="1"/>
    </row>
    <row r="191" spans="8:9" x14ac:dyDescent="0.3">
      <c r="H191" s="1"/>
    </row>
    <row r="192" spans="8:9" x14ac:dyDescent="0.3">
      <c r="H192" s="1"/>
    </row>
    <row r="193" spans="8:8" x14ac:dyDescent="0.3">
      <c r="H193" s="1"/>
    </row>
    <row r="194" spans="8:8" x14ac:dyDescent="0.3">
      <c r="H194" s="1"/>
    </row>
    <row r="195" spans="8:8" x14ac:dyDescent="0.3">
      <c r="H195" s="1"/>
    </row>
    <row r="196" spans="8:8" x14ac:dyDescent="0.3">
      <c r="H196" s="1"/>
    </row>
    <row r="197" spans="8:8" x14ac:dyDescent="0.3">
      <c r="H197" s="1"/>
    </row>
    <row r="198" spans="8:8" x14ac:dyDescent="0.3">
      <c r="H198" s="1"/>
    </row>
    <row r="199" spans="8:8" x14ac:dyDescent="0.3">
      <c r="H199" s="1"/>
    </row>
    <row r="200" spans="8:8" x14ac:dyDescent="0.3">
      <c r="H200" s="1"/>
    </row>
    <row r="201" spans="8:8" x14ac:dyDescent="0.3">
      <c r="H201" s="1"/>
    </row>
    <row r="202" spans="8:8" x14ac:dyDescent="0.3">
      <c r="H202" s="1"/>
    </row>
    <row r="203" spans="8:8" x14ac:dyDescent="0.3">
      <c r="H203" s="1"/>
    </row>
    <row r="204" spans="8:8" x14ac:dyDescent="0.3">
      <c r="H204" s="1"/>
    </row>
    <row r="205" spans="8:8" x14ac:dyDescent="0.3">
      <c r="H205" s="1"/>
    </row>
    <row r="206" spans="8:8" x14ac:dyDescent="0.3">
      <c r="H206" s="1"/>
    </row>
    <row r="207" spans="8:8" x14ac:dyDescent="0.3">
      <c r="H207" s="1"/>
    </row>
    <row r="208" spans="8:8" x14ac:dyDescent="0.3">
      <c r="H208" s="1"/>
    </row>
    <row r="209" spans="8:8" x14ac:dyDescent="0.3">
      <c r="H209" s="1"/>
    </row>
    <row r="210" spans="8:8" x14ac:dyDescent="0.3">
      <c r="H210" s="1"/>
    </row>
    <row r="211" spans="8:8" x14ac:dyDescent="0.3">
      <c r="H211" s="1"/>
    </row>
    <row r="212" spans="8:8" x14ac:dyDescent="0.3">
      <c r="H212" s="1"/>
    </row>
    <row r="213" spans="8:8" x14ac:dyDescent="0.3">
      <c r="H213" s="1"/>
    </row>
    <row r="214" spans="8:8" x14ac:dyDescent="0.3">
      <c r="H214" s="1"/>
    </row>
    <row r="215" spans="8:8" x14ac:dyDescent="0.3">
      <c r="H215" s="1"/>
    </row>
    <row r="216" spans="8:8" x14ac:dyDescent="0.3">
      <c r="H216" s="1"/>
    </row>
    <row r="217" spans="8:8" x14ac:dyDescent="0.3">
      <c r="H217" s="1"/>
    </row>
    <row r="218" spans="8:8" x14ac:dyDescent="0.3">
      <c r="H218" s="1"/>
    </row>
    <row r="219" spans="8:8" x14ac:dyDescent="0.3">
      <c r="H219" s="1"/>
    </row>
    <row r="220" spans="8:8" x14ac:dyDescent="0.3">
      <c r="H220" s="1"/>
    </row>
    <row r="221" spans="8:8" x14ac:dyDescent="0.3">
      <c r="H221" s="1"/>
    </row>
    <row r="222" spans="8:8" x14ac:dyDescent="0.3">
      <c r="H222" s="1"/>
    </row>
    <row r="223" spans="8:8" x14ac:dyDescent="0.3">
      <c r="H223" s="1"/>
    </row>
    <row r="224" spans="8:8" x14ac:dyDescent="0.3">
      <c r="H224" s="1"/>
    </row>
    <row r="225" spans="8:8" x14ac:dyDescent="0.3">
      <c r="H225" s="1"/>
    </row>
    <row r="226" spans="8:8" x14ac:dyDescent="0.3">
      <c r="H226" s="1"/>
    </row>
    <row r="227" spans="8:8" x14ac:dyDescent="0.3">
      <c r="H227" s="1"/>
    </row>
    <row r="228" spans="8:8" x14ac:dyDescent="0.3">
      <c r="H228" s="1"/>
    </row>
    <row r="229" spans="8:8" x14ac:dyDescent="0.3">
      <c r="H229" s="1"/>
    </row>
    <row r="230" spans="8:8" x14ac:dyDescent="0.3">
      <c r="H230" s="1"/>
    </row>
    <row r="231" spans="8:8" x14ac:dyDescent="0.3">
      <c r="H231" s="1"/>
    </row>
    <row r="232" spans="8:8" x14ac:dyDescent="0.3">
      <c r="H232" s="1"/>
    </row>
    <row r="233" spans="8:8" x14ac:dyDescent="0.3">
      <c r="H233" s="1"/>
    </row>
    <row r="234" spans="8:8" x14ac:dyDescent="0.3">
      <c r="H234" s="1"/>
    </row>
    <row r="235" spans="8:8" x14ac:dyDescent="0.3">
      <c r="H235" s="1"/>
    </row>
    <row r="236" spans="8:8" x14ac:dyDescent="0.3">
      <c r="H236" s="1"/>
    </row>
    <row r="237" spans="8:8" x14ac:dyDescent="0.3">
      <c r="H237" s="1"/>
    </row>
    <row r="238" spans="8:8" x14ac:dyDescent="0.3">
      <c r="H238" s="1"/>
    </row>
    <row r="239" spans="8:8" x14ac:dyDescent="0.3">
      <c r="H239" s="1"/>
    </row>
    <row r="240" spans="8:8" x14ac:dyDescent="0.3">
      <c r="H240" s="1"/>
    </row>
    <row r="241" spans="8:8" x14ac:dyDescent="0.3">
      <c r="H241" s="1"/>
    </row>
    <row r="242" spans="8:8" x14ac:dyDescent="0.3">
      <c r="H242" s="1"/>
    </row>
    <row r="243" spans="8:8" x14ac:dyDescent="0.3">
      <c r="H243" s="1"/>
    </row>
    <row r="244" spans="8:8" x14ac:dyDescent="0.3">
      <c r="H244" s="1"/>
    </row>
    <row r="245" spans="8:8" x14ac:dyDescent="0.3">
      <c r="H245" s="1"/>
    </row>
    <row r="246" spans="8:8" x14ac:dyDescent="0.3">
      <c r="H246" s="1"/>
    </row>
    <row r="247" spans="8:8" x14ac:dyDescent="0.3">
      <c r="H247" s="1"/>
    </row>
    <row r="248" spans="8:8" x14ac:dyDescent="0.3">
      <c r="H248" s="1"/>
    </row>
    <row r="249" spans="8:8" x14ac:dyDescent="0.3">
      <c r="H249" s="1"/>
    </row>
    <row r="250" spans="8:8" x14ac:dyDescent="0.3">
      <c r="H250" s="1"/>
    </row>
    <row r="251" spans="8:8" x14ac:dyDescent="0.3">
      <c r="H251" s="1"/>
    </row>
    <row r="252" spans="8:8" x14ac:dyDescent="0.3">
      <c r="H252" s="1"/>
    </row>
    <row r="253" spans="8:8" x14ac:dyDescent="0.3">
      <c r="H253" s="1"/>
    </row>
    <row r="254" spans="8:8" x14ac:dyDescent="0.3">
      <c r="H254" s="1"/>
    </row>
    <row r="255" spans="8:8" x14ac:dyDescent="0.3">
      <c r="H255" s="1"/>
    </row>
    <row r="256" spans="8:8" x14ac:dyDescent="0.3">
      <c r="H256" s="1"/>
    </row>
    <row r="257" spans="8:8" x14ac:dyDescent="0.3">
      <c r="H257" s="1"/>
    </row>
    <row r="258" spans="8:8" x14ac:dyDescent="0.3">
      <c r="H258" s="1"/>
    </row>
    <row r="259" spans="8:8" x14ac:dyDescent="0.3">
      <c r="H259" s="1"/>
    </row>
    <row r="260" spans="8:8" x14ac:dyDescent="0.3">
      <c r="H260" s="1"/>
    </row>
    <row r="261" spans="8:8" x14ac:dyDescent="0.3">
      <c r="H261" s="1"/>
    </row>
    <row r="262" spans="8:8" x14ac:dyDescent="0.3">
      <c r="H262" s="1"/>
    </row>
    <row r="263" spans="8:8" x14ac:dyDescent="0.3">
      <c r="H263" s="1"/>
    </row>
    <row r="264" spans="8:8" x14ac:dyDescent="0.3">
      <c r="H264" s="1"/>
    </row>
    <row r="265" spans="8:8" x14ac:dyDescent="0.3">
      <c r="H265" s="1"/>
    </row>
    <row r="266" spans="8:8" x14ac:dyDescent="0.3">
      <c r="H266" s="1"/>
    </row>
    <row r="267" spans="8:8" x14ac:dyDescent="0.3">
      <c r="H267" s="1"/>
    </row>
    <row r="268" spans="8:8" x14ac:dyDescent="0.3">
      <c r="H268" s="1"/>
    </row>
    <row r="269" spans="8:8" x14ac:dyDescent="0.3">
      <c r="H269" s="1"/>
    </row>
    <row r="270" spans="8:8" x14ac:dyDescent="0.3">
      <c r="H270" s="1"/>
    </row>
    <row r="271" spans="8:8" x14ac:dyDescent="0.3">
      <c r="H271" s="1"/>
    </row>
    <row r="272" spans="8:8" x14ac:dyDescent="0.3">
      <c r="H272" s="1"/>
    </row>
    <row r="273" spans="8:8" x14ac:dyDescent="0.3">
      <c r="H273" s="1"/>
    </row>
    <row r="274" spans="8:8" x14ac:dyDescent="0.3">
      <c r="H274" s="1"/>
    </row>
    <row r="275" spans="8:8" x14ac:dyDescent="0.3">
      <c r="H275" s="1"/>
    </row>
    <row r="276" spans="8:8" x14ac:dyDescent="0.3">
      <c r="H276" s="1"/>
    </row>
    <row r="277" spans="8:8" x14ac:dyDescent="0.3">
      <c r="H277" s="1"/>
    </row>
    <row r="278" spans="8:8" x14ac:dyDescent="0.3">
      <c r="H278" s="1"/>
    </row>
    <row r="279" spans="8:8" x14ac:dyDescent="0.3">
      <c r="H279" s="1"/>
    </row>
    <row r="280" spans="8:8" x14ac:dyDescent="0.3">
      <c r="H280" s="1"/>
    </row>
    <row r="281" spans="8:8" x14ac:dyDescent="0.3">
      <c r="H281" s="1"/>
    </row>
    <row r="282" spans="8:8" x14ac:dyDescent="0.3">
      <c r="H282" s="1"/>
    </row>
    <row r="283" spans="8:8" x14ac:dyDescent="0.3">
      <c r="H283" s="1"/>
    </row>
    <row r="284" spans="8:8" x14ac:dyDescent="0.3">
      <c r="H284" s="1"/>
    </row>
    <row r="285" spans="8:8" x14ac:dyDescent="0.3">
      <c r="H285" s="1"/>
    </row>
    <row r="286" spans="8:8" x14ac:dyDescent="0.3">
      <c r="H286" s="1"/>
    </row>
    <row r="287" spans="8:8" x14ac:dyDescent="0.3">
      <c r="H287" s="1"/>
    </row>
    <row r="288" spans="8:8" x14ac:dyDescent="0.3">
      <c r="H288" s="1"/>
    </row>
    <row r="289" spans="8:8" x14ac:dyDescent="0.3">
      <c r="H289" s="1"/>
    </row>
    <row r="290" spans="8:8" x14ac:dyDescent="0.3">
      <c r="H290" s="1"/>
    </row>
    <row r="291" spans="8:8" x14ac:dyDescent="0.3">
      <c r="H291" s="1"/>
    </row>
    <row r="292" spans="8:8" x14ac:dyDescent="0.3">
      <c r="H292" s="1"/>
    </row>
    <row r="293" spans="8:8" x14ac:dyDescent="0.3">
      <c r="H293" s="1"/>
    </row>
    <row r="294" spans="8:8" x14ac:dyDescent="0.3">
      <c r="H294" s="1"/>
    </row>
    <row r="295" spans="8:8" x14ac:dyDescent="0.3">
      <c r="H295" s="1"/>
    </row>
    <row r="296" spans="8:8" x14ac:dyDescent="0.3">
      <c r="H296" s="1"/>
    </row>
    <row r="297" spans="8:8" x14ac:dyDescent="0.3">
      <c r="H297" s="1"/>
    </row>
    <row r="298" spans="8:8" x14ac:dyDescent="0.3">
      <c r="H298" s="1"/>
    </row>
    <row r="299" spans="8:8" x14ac:dyDescent="0.3">
      <c r="H299" s="1"/>
    </row>
    <row r="300" spans="8:8" x14ac:dyDescent="0.3">
      <c r="H300" s="1"/>
    </row>
    <row r="301" spans="8:8" x14ac:dyDescent="0.3">
      <c r="H301" s="1"/>
    </row>
    <row r="302" spans="8:8" x14ac:dyDescent="0.3">
      <c r="H302" s="1"/>
    </row>
    <row r="303" spans="8:8" x14ac:dyDescent="0.3">
      <c r="H303" s="1"/>
    </row>
    <row r="304" spans="8:8" x14ac:dyDescent="0.3">
      <c r="H304" s="1"/>
    </row>
    <row r="305" spans="8:8" x14ac:dyDescent="0.3">
      <c r="H305" s="1"/>
    </row>
    <row r="306" spans="8:8" x14ac:dyDescent="0.3">
      <c r="H306" s="1"/>
    </row>
    <row r="307" spans="8:8" x14ac:dyDescent="0.3">
      <c r="H307" s="1"/>
    </row>
    <row r="308" spans="8:8" x14ac:dyDescent="0.3">
      <c r="H308" s="1"/>
    </row>
    <row r="309" spans="8:8" x14ac:dyDescent="0.3">
      <c r="H309" s="1"/>
    </row>
    <row r="310" spans="8:8" x14ac:dyDescent="0.3">
      <c r="H310" s="1"/>
    </row>
    <row r="311" spans="8:8" x14ac:dyDescent="0.3">
      <c r="H311" s="1"/>
    </row>
    <row r="312" spans="8:8" x14ac:dyDescent="0.3">
      <c r="H312" s="1"/>
    </row>
    <row r="313" spans="8:8" x14ac:dyDescent="0.3">
      <c r="H313" s="1"/>
    </row>
    <row r="314" spans="8:8" x14ac:dyDescent="0.3">
      <c r="H314" s="1"/>
    </row>
    <row r="315" spans="8:8" x14ac:dyDescent="0.3">
      <c r="H315" s="1"/>
    </row>
    <row r="316" spans="8:8" x14ac:dyDescent="0.3">
      <c r="H316" s="1"/>
    </row>
    <row r="317" spans="8:8" x14ac:dyDescent="0.3">
      <c r="H317" s="1"/>
    </row>
    <row r="318" spans="8:8" x14ac:dyDescent="0.3">
      <c r="H318" s="1"/>
    </row>
    <row r="319" spans="8:8" x14ac:dyDescent="0.3">
      <c r="H319" s="1"/>
    </row>
    <row r="320" spans="8:8" x14ac:dyDescent="0.3">
      <c r="H320" s="1"/>
    </row>
    <row r="321" spans="8:8" x14ac:dyDescent="0.3">
      <c r="H321" s="1"/>
    </row>
    <row r="322" spans="8:8" x14ac:dyDescent="0.3">
      <c r="H322" s="1"/>
    </row>
    <row r="323" spans="8:8" x14ac:dyDescent="0.3">
      <c r="H323" s="1"/>
    </row>
    <row r="324" spans="8:8" x14ac:dyDescent="0.3">
      <c r="H324" s="1"/>
    </row>
    <row r="325" spans="8:8" x14ac:dyDescent="0.3">
      <c r="H325" s="1"/>
    </row>
    <row r="326" spans="8:8" x14ac:dyDescent="0.3">
      <c r="H326" s="1"/>
    </row>
    <row r="327" spans="8:8" x14ac:dyDescent="0.3">
      <c r="H327" s="1"/>
    </row>
    <row r="328" spans="8:8" x14ac:dyDescent="0.3">
      <c r="H328" s="1"/>
    </row>
    <row r="329" spans="8:8" x14ac:dyDescent="0.3">
      <c r="H329" s="1"/>
    </row>
    <row r="330" spans="8:8" x14ac:dyDescent="0.3">
      <c r="H330" s="1"/>
    </row>
    <row r="331" spans="8:8" x14ac:dyDescent="0.3">
      <c r="H331" s="1"/>
    </row>
    <row r="332" spans="8:8" x14ac:dyDescent="0.3">
      <c r="H33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F8E6-0419-4787-A2A9-AC25A215D322}">
  <sheetPr codeName="Sheet4"/>
  <dimension ref="A1"/>
  <sheetViews>
    <sheetView workbookViewId="0">
      <selection activeCell="F27" sqref="A1:XFD1048576"/>
    </sheetView>
  </sheetViews>
  <sheetFormatPr defaultRowHeight="14.4" x14ac:dyDescent="0.3"/>
  <cols>
    <col min="1" max="1" width="13.33203125" customWidth="1"/>
  </cols>
  <sheetData/>
  <pageMargins left="0.7" right="0.7" top="0.75" bottom="0.75" header="0.3" footer="0.3"/>
</worksheet>
</file>

<file path=customUI/customUI14.xml><?xml version="1.0" encoding="utf-8"?>
<customUI xmlns="http://schemas.microsoft.com/office/2009/07/customui" onLoad="MOrbx_onLoad">
  <ribbon startFromScratch="false">
    <!--Hide all default tabs-->
    <tabs>
      <tab id="tab23" label="Monday Add">
        <group id="MOgrp_btns" label="Actions">
          <button id="actions__additem" label="Add Item" size="large" onAction="MObtns_onAction" image="I_A1" tag="runfunction_MO^AddItem^"/>
        </group>
        <group id="MOgrp_btns2" label="Refresh Data">
          <button id="refreshdata__users" label="Users" size="large" onAction="MObtns_onAction" image="I_A1" tag="runfunction_MO^RefreshUsers^"/>
          <button id="refreshdata__groups" label="Groups" size="large" onAction="MObtns_onAction" image="I_B1" tag="runfunction_MO^RefreshGroups^"/>
          <button id="refreshdata__tags" label="Tags" size="large" onAction="MObtns_onAction" image="I_C1" tag="runfunction_MO^RefreshTags^"/>
          <button id="refreshdata__items" label="Items" size="large" onAction="MObtns_onAction" image="I_D1" tag="runfunction_MO^RefreshItems^"/>
          <editBox id="refreshdata__mvreport" label="MV Report Path" getText="MOeditBox_getText" sizeString="xxxxxxxxxxxxxxxxxxxxxxxxxxxxxxx" maxLength="100" onChange="MOeditBox_onChange"/>
        </group>
        <group id="MOgrp_btns3" label="Config">
          <button id="config__checkinchanges" label="Check In Changes" size="large" onAction="MObtns_onAction" image="I_E1" tag="runfunction_vbautils^CheckInChanges^"/>
          <editBox id="config__dataurl" label="Data URL" getText="MOeditBox_getText" sizeString="xxxxxxxxxxxxxxxxxx" maxLength="140" onChange="MOeditBox_onChan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65e641-0544-4f1a-a8d0-d10f45e8285c">
      <Terms xmlns="http://schemas.microsoft.com/office/infopath/2007/PartnerControls"/>
    </lcf76f155ced4ddcb4097134ff3c332f>
    <TaxCatchAll xmlns="4aadb9ab-d5c5-4bce-9480-548403d0cef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0AF71C4C0EC4CB1ABC2EEC457A291" ma:contentTypeVersion="17" ma:contentTypeDescription="Create a new document." ma:contentTypeScope="" ma:versionID="6c765ef06da3f67e39a265345e32aae3">
  <xsd:schema xmlns:xsd="http://www.w3.org/2001/XMLSchema" xmlns:xs="http://www.w3.org/2001/XMLSchema" xmlns:p="http://schemas.microsoft.com/office/2006/metadata/properties" xmlns:ns2="9865e641-0544-4f1a-a8d0-d10f45e8285c" xmlns:ns3="4aadb9ab-d5c5-4bce-9480-548403d0cefb" targetNamespace="http://schemas.microsoft.com/office/2006/metadata/properties" ma:root="true" ma:fieldsID="719571369dcde2ab0f7ee41cc2ccafbe" ns2:_="" ns3:_="">
    <xsd:import namespace="9865e641-0544-4f1a-a8d0-d10f45e8285c"/>
    <xsd:import namespace="4aadb9ab-d5c5-4bce-9480-548403d0c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5e641-0544-4f1a-a8d0-d10f45e82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c7b21c-d491-4792-968b-c9da4f16e0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b9ab-d5c5-4bce-9480-548403d0cefb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454a86f5-2b78-4e74-8a6a-3a26472bed61}" ma:internalName="TaxCatchAll" ma:showField="CatchAllData" ma:web="4aadb9ab-d5c5-4bce-9480-548403d0c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C45899-1C9E-4B82-A9BF-466192F71D6B}">
  <ds:schemaRefs>
    <ds:schemaRef ds:uri="http://purl.org/dc/dcmitype/"/>
    <ds:schemaRef ds:uri="http://schemas.microsoft.com/office/2006/documentManagement/types"/>
    <ds:schemaRef ds:uri="9865e641-0544-4f1a-a8d0-d10f45e8285c"/>
    <ds:schemaRef ds:uri="4aadb9ab-d5c5-4bce-9480-548403d0cefb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3F6A36-CDF2-4F0D-9150-FEE498014B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C2A283-A2E8-4DE3-8B90-B3799E8EA2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5e641-0544-4f1a-a8d0-d10f45e8285c"/>
    <ds:schemaRef ds:uri="4aadb9ab-d5c5-4bce-9480-548403d0c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84</vt:i4>
      </vt:variant>
    </vt:vector>
  </HeadingPairs>
  <TitlesOfParts>
    <vt:vector size="90" baseType="lpstr">
      <vt:lpstr>AddNewItems</vt:lpstr>
      <vt:lpstr>ToDo</vt:lpstr>
      <vt:lpstr>Persist</vt:lpstr>
      <vt:lpstr>Reference</vt:lpstr>
      <vt:lpstr>Folders</vt:lpstr>
      <vt:lpstr>Updates</vt:lpstr>
      <vt:lpstr>actions__additemval</vt:lpstr>
      <vt:lpstr>AddNewItems!ADD_ITEM_GROUP_NAMES</vt:lpstr>
      <vt:lpstr>ADD_ITEM_ITEM_NAMES</vt:lpstr>
      <vt:lpstr>ADD_ITEM_SUBITEM_NAMES</vt:lpstr>
      <vt:lpstr>AddNewItems!ADDITEM_BOARD_NAME</vt:lpstr>
      <vt:lpstr>BOARD_IDS</vt:lpstr>
      <vt:lpstr>BOARD_NAMES</vt:lpstr>
      <vt:lpstr>config__checkinchangesval</vt:lpstr>
      <vt:lpstr>config__dataurlval</vt:lpstr>
      <vt:lpstr>CREATE_FOLDER_FLAG</vt:lpstr>
      <vt:lpstr>dataurl</vt:lpstr>
      <vt:lpstr>FOLDER_COLUMN_LINK</vt:lpstr>
      <vt:lpstr>FOLDERS_COLUMNS</vt:lpstr>
      <vt:lpstr>GROUP_IDS</vt:lpstr>
      <vt:lpstr>GROUP_NAMES</vt:lpstr>
      <vt:lpstr>ITEM_GROUP_NAMES</vt:lpstr>
      <vt:lpstr>ITEM_ITEMIDS</vt:lpstr>
      <vt:lpstr>ITEM_NAMES</vt:lpstr>
      <vt:lpstr>ITEMID_COLUMN</vt:lpstr>
      <vt:lpstr>NEWITEM_ADDEDITEMFOLDER</vt:lpstr>
      <vt:lpstr>NEWITEM_ADDEDITEMID</vt:lpstr>
      <vt:lpstr>NEWITEM_ADDEDITEMURL</vt:lpstr>
      <vt:lpstr>NEWITEM_ADDEDSUBITEMID</vt:lpstr>
      <vt:lpstr>NEWITEM_BOARD_ID</vt:lpstr>
      <vt:lpstr>NEWITEM_DATA</vt:lpstr>
      <vt:lpstr>NEWITEM_GROUP_ID</vt:lpstr>
      <vt:lpstr>NEWITEM_ITEM_NAME</vt:lpstr>
      <vt:lpstr>NEWITEM_ITEMID</vt:lpstr>
      <vt:lpstr>NEWITEM_NEWITEM_NAME</vt:lpstr>
      <vt:lpstr>NEWITEM_NEWITEM_UPDATE</vt:lpstr>
      <vt:lpstr>NEWITEM_OWNER</vt:lpstr>
      <vt:lpstr>NEWITEM_STATUS</vt:lpstr>
      <vt:lpstr>NEWITEM_TAG</vt:lpstr>
      <vt:lpstr>NEWITEM_TAG2</vt:lpstr>
      <vt:lpstr>NEWSUBITEM_NEWSUBITEM_NAME</vt:lpstr>
      <vt:lpstr>NEWSUBITEM_NEWSUBITEM_UPDATE</vt:lpstr>
      <vt:lpstr>NEWSUBITEM_OWNER</vt:lpstr>
      <vt:lpstr>NEWSUBITEM_STATUS</vt:lpstr>
      <vt:lpstr>NEWSUBITEM_TAG</vt:lpstr>
      <vt:lpstr>NEWSUBITEM_TAG2</vt:lpstr>
      <vt:lpstr>OWNERID</vt:lpstr>
      <vt:lpstr>persistdata</vt:lpstr>
      <vt:lpstr>refreshdata__groupsval</vt:lpstr>
      <vt:lpstr>refreshdata__itemsval</vt:lpstr>
      <vt:lpstr>refreshdata__mvreportval</vt:lpstr>
      <vt:lpstr>refreshdata__tagsval</vt:lpstr>
      <vt:lpstr>refreshdata__usersval</vt:lpstr>
      <vt:lpstr>REFSHEET</vt:lpstr>
      <vt:lpstr>REFSHEET_DIR</vt:lpstr>
      <vt:lpstr>ribbonpointerval</vt:lpstr>
      <vt:lpstr>SEARCH_TEXT_COLUMN</vt:lpstr>
      <vt:lpstr>SEARCH_TEXT_COLUMN_INDEX</vt:lpstr>
      <vt:lpstr>searchby__nameval</vt:lpstr>
      <vt:lpstr>SELECT_BOARD</vt:lpstr>
      <vt:lpstr>SELECT_GROUP</vt:lpstr>
      <vt:lpstr>AddNewItems!SELECT_GROUP_NAMES</vt:lpstr>
      <vt:lpstr>AddNewItems!SELECT_ITEM_NAMES</vt:lpstr>
      <vt:lpstr>SELECT_ITEMS</vt:lpstr>
      <vt:lpstr>Reference!SELECT_SUBITEM_NAMES</vt:lpstr>
      <vt:lpstr>SELECT_SUBITEM_NAMES</vt:lpstr>
      <vt:lpstr>STATUS_DATA</vt:lpstr>
      <vt:lpstr>STATUS_ENUM</vt:lpstr>
      <vt:lpstr>STATUS_LABELS</vt:lpstr>
      <vt:lpstr>SUBITEM_ITEMNAMES</vt:lpstr>
      <vt:lpstr>SUBITEM_SUBITEMIDS</vt:lpstr>
      <vt:lpstr>SUBITEM_SUBITEMNAMES</vt:lpstr>
      <vt:lpstr>SUBITEMOWNERID</vt:lpstr>
      <vt:lpstr>TAGS_DATA</vt:lpstr>
      <vt:lpstr>TAGS_ID</vt:lpstr>
      <vt:lpstr>TAGS_NAMES</vt:lpstr>
      <vt:lpstr>USERS_ID</vt:lpstr>
      <vt:lpstr>USERS_NAMES</vt:lpstr>
      <vt:lpstr>VIEWER_COLUMN</vt:lpstr>
      <vt:lpstr>VIEWER_COLUMN_FILTER_INPUT</vt:lpstr>
      <vt:lpstr>VIEWER_COLUMN_FORMAT</vt:lpstr>
      <vt:lpstr>VIEWER_COLUMN_HEADER_FORMAT</vt:lpstr>
      <vt:lpstr>VIEWER_COLUMN_NAMES</vt:lpstr>
      <vt:lpstr>VIEWER_COLUMN_TYPE</vt:lpstr>
      <vt:lpstr>VIEWER_COLUMN_VISIBLE</vt:lpstr>
      <vt:lpstr>VIEWER_COLUMN_WIDTH</vt:lpstr>
      <vt:lpstr>VIEWER_DATA_BOARDID</vt:lpstr>
      <vt:lpstr>VIEWER_DATA_BOARDNAMES</vt:lpstr>
      <vt:lpstr>VIEWER_VALUE_COLUMN</vt:lpstr>
      <vt:lpstr>VIEWER_VALUE_NAMES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Velox</dc:creator>
  <cp:lastModifiedBy>Velox</cp:lastModifiedBy>
  <dcterms:created xsi:type="dcterms:W3CDTF">2022-05-19T15:24:07Z</dcterms:created>
  <dcterms:modified xsi:type="dcterms:W3CDTF">2024-01-02T17:32:49Z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0x01010059A0AF71C4C0EC4CB1ABC2EEC457A291</vt:lpwstr>
  </property>
  <property fmtid="{D5CDD505-2E9C-101B-9397-08002B2CF9AE}" pid="3" name="MediaServiceImageTags">
    <vt:lpwstr/>
  </property>
</Properties>
</file>